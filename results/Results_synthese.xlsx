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e_" sheetId="1" state="visible" r:id="rId3"/>
    <sheet name="S_" sheetId="2" state="visible" r:id="rId4"/>
    <sheet name="Boulliung_2023" sheetId="3" state="visible" r:id="rId5"/>
    <sheet name="Bell_2025" sheetId="4" state="visible" r:id="rId6"/>
    <sheet name="synthese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<sst xmlns="http://schemas.openxmlformats.org/spreadsheetml/2006/main" count="1703" uniqueCount="1011">
  <si>
    <t xml:space="preserve">filename</t>
  </si>
  <si>
    <t xml:space="preserve">sample</t>
  </si>
  <si>
    <t xml:space="preserve">Situation</t>
  </si>
  <si>
    <t xml:space="preserve">check_good</t>
  </si>
  <si>
    <t xml:space="preserve">f1</t>
  </si>
  <si>
    <t xml:space="preserve">f2</t>
  </si>
  <si>
    <t xml:space="preserve">Fe3_area_ratio</t>
  </si>
  <si>
    <t xml:space="preserve">centroid_fit</t>
  </si>
  <si>
    <t xml:space="preserve">centroid_trapz</t>
  </si>
  <si>
    <t xml:space="preserve">redox_F2017</t>
  </si>
  <si>
    <t xml:space="preserve">redox_m</t>
  </si>
  <si>
    <t xml:space="preserve">FE3 mean</t>
  </si>
  <si>
    <t xml:space="preserve">FE3 std</t>
  </si>
  <si>
    <t xml:space="preserve">S6/Stot</t>
  </si>
  <si>
    <t xml:space="preserve">GFL_PL_780_11_07_CORE_pt10_01.dat</t>
  </si>
  <si>
    <t xml:space="preserve">GFL_PL_780_11_07_CORE</t>
  </si>
  <si>
    <t xml:space="preserve">7112.285</t>
  </si>
  <si>
    <t xml:space="preserve">7113.951</t>
  </si>
  <si>
    <t xml:space="preserve">0.428</t>
  </si>
  <si>
    <t xml:space="preserve">7112.997</t>
  </si>
  <si>
    <t xml:space="preserve">7112.921958924962</t>
  </si>
  <si>
    <t xml:space="preserve">30.0</t>
  </si>
  <si>
    <t xml:space="preserve">GFL_PL_780_11_07_CORE_pt6_01.dat</t>
  </si>
  <si>
    <t xml:space="preserve">7112.298</t>
  </si>
  <si>
    <t xml:space="preserve">7113.955</t>
  </si>
  <si>
    <t xml:space="preserve">0.416</t>
  </si>
  <si>
    <t xml:space="preserve">7112.988</t>
  </si>
  <si>
    <t xml:space="preserve">7112.905625032357</t>
  </si>
  <si>
    <t xml:space="preserve">29.0</t>
  </si>
  <si>
    <t xml:space="preserve">GFL_PL_780_11_07_CORE_pt7_01.dat</t>
  </si>
  <si>
    <t xml:space="preserve">7112.284</t>
  </si>
  <si>
    <t xml:space="preserve">7113.937</t>
  </si>
  <si>
    <t xml:space="preserve">0.424</t>
  </si>
  <si>
    <t xml:space="preserve">7112.986</t>
  </si>
  <si>
    <t xml:space="preserve">7112.8959992410855</t>
  </si>
  <si>
    <t xml:space="preserve">GFL_PL_780_11_07_CORE_pt8_01.dat</t>
  </si>
  <si>
    <t xml:space="preserve">7112.295</t>
  </si>
  <si>
    <t xml:space="preserve">7113.957</t>
  </si>
  <si>
    <t xml:space="preserve">0.419</t>
  </si>
  <si>
    <t xml:space="preserve">7112.991</t>
  </si>
  <si>
    <t xml:space="preserve">7112.929001708846</t>
  </si>
  <si>
    <t xml:space="preserve">GFL_PL_780_11_07_CORE_pt9_01.dat</t>
  </si>
  <si>
    <t xml:space="preserve">7112.283</t>
  </si>
  <si>
    <t xml:space="preserve">7113.93</t>
  </si>
  <si>
    <t xml:space="preserve">0.423</t>
  </si>
  <si>
    <t xml:space="preserve">7112.98</t>
  </si>
  <si>
    <t xml:space="preserve">7112.915297455137</t>
  </si>
  <si>
    <t xml:space="preserve">GFL_PL_780_11_07_POI1_04.dat</t>
  </si>
  <si>
    <t xml:space="preserve">GFL_PL_780_11_07</t>
  </si>
  <si>
    <t xml:space="preserve">7112.323</t>
  </si>
  <si>
    <t xml:space="preserve">7114.007</t>
  </si>
  <si>
    <t xml:space="preserve">0.407</t>
  </si>
  <si>
    <t xml:space="preserve">7113.008</t>
  </si>
  <si>
    <t xml:space="preserve">7112.905003621711</t>
  </si>
  <si>
    <t xml:space="preserve">28.0</t>
  </si>
  <si>
    <t xml:space="preserve">GFL_PL_780_11_07_POI2_01.dat</t>
  </si>
  <si>
    <t xml:space="preserve">7112.326</t>
  </si>
  <si>
    <t xml:space="preserve">7113.999</t>
  </si>
  <si>
    <t xml:space="preserve">0.406</t>
  </si>
  <si>
    <t xml:space="preserve">7113.006</t>
  </si>
  <si>
    <t xml:space="preserve">7112.874846077124</t>
  </si>
  <si>
    <t xml:space="preserve">GFL_PL_780_11_07_POI3_01.dat</t>
  </si>
  <si>
    <t xml:space="preserve">7112.324</t>
  </si>
  <si>
    <t xml:space="preserve">7114.013</t>
  </si>
  <si>
    <t xml:space="preserve">0.405</t>
  </si>
  <si>
    <t xml:space="preserve">7112.912275105307</t>
  </si>
  <si>
    <t xml:space="preserve">GFL_PL_780_11_07_POI4_01.dat</t>
  </si>
  <si>
    <t xml:space="preserve">7112.328</t>
  </si>
  <si>
    <t xml:space="preserve">0.404</t>
  </si>
  <si>
    <t xml:space="preserve">7113.004</t>
  </si>
  <si>
    <t xml:space="preserve">7112.890206162459</t>
  </si>
  <si>
    <t xml:space="preserve">GFL_PL_780_11_07_POI5_01.dat</t>
  </si>
  <si>
    <t xml:space="preserve">7112.335</t>
  </si>
  <si>
    <t xml:space="preserve">7113.015</t>
  </si>
  <si>
    <t xml:space="preserve">7112.922332556761</t>
  </si>
  <si>
    <t xml:space="preserve">GFL_PL_780_11_07_ptmaps10_01.dat</t>
  </si>
  <si>
    <t xml:space="preserve">GFL_PL_780_11_07_MAP</t>
  </si>
  <si>
    <t xml:space="preserve">7112.313</t>
  </si>
  <si>
    <t xml:space="preserve">7113.962</t>
  </si>
  <si>
    <t xml:space="preserve">0.413</t>
  </si>
  <si>
    <t xml:space="preserve">7112.995</t>
  </si>
  <si>
    <t xml:space="preserve">7112.881825337857</t>
  </si>
  <si>
    <t xml:space="preserve">GFL_PL_780_11_07_ptmaps11_01.dat</t>
  </si>
  <si>
    <t xml:space="preserve">7112.348</t>
  </si>
  <si>
    <t xml:space="preserve">7114.031</t>
  </si>
  <si>
    <t xml:space="preserve">0.402</t>
  </si>
  <si>
    <t xml:space="preserve">7113.025</t>
  </si>
  <si>
    <t xml:space="preserve">7112.858953332249</t>
  </si>
  <si>
    <t xml:space="preserve">GFL_PL_780_11_07_ptmaps12_01.dat</t>
  </si>
  <si>
    <t xml:space="preserve">7112.316</t>
  </si>
  <si>
    <t xml:space="preserve">7113.981</t>
  </si>
  <si>
    <t xml:space="preserve">0.446</t>
  </si>
  <si>
    <t xml:space="preserve">7113.058</t>
  </si>
  <si>
    <t xml:space="preserve">7112.9721091864985</t>
  </si>
  <si>
    <t xml:space="preserve">31.0</t>
  </si>
  <si>
    <t xml:space="preserve">GFL_PL_780_11_07_ptmaps13_01.dat</t>
  </si>
  <si>
    <t xml:space="preserve">7112.309</t>
  </si>
  <si>
    <t xml:space="preserve">7113.969</t>
  </si>
  <si>
    <t xml:space="preserve">7112.982</t>
  </si>
  <si>
    <t xml:space="preserve">7112.89361165901</t>
  </si>
  <si>
    <t xml:space="preserve">GFL_PL_780_11_07_ptmaps14_01.dat</t>
  </si>
  <si>
    <t xml:space="preserve">7112.303</t>
  </si>
  <si>
    <t xml:space="preserve">7113.956</t>
  </si>
  <si>
    <t xml:space="preserve">7112.971</t>
  </si>
  <si>
    <t xml:space="preserve">7112.861141221186</t>
  </si>
  <si>
    <t xml:space="preserve">GFL_PL_780_11_07_ptmaps15_01.dat</t>
  </si>
  <si>
    <t xml:space="preserve">7113.95</t>
  </si>
  <si>
    <t xml:space="preserve">7112.973</t>
  </si>
  <si>
    <t xml:space="preserve">7112.9023513739285</t>
  </si>
  <si>
    <t xml:space="preserve">GFL_PL_780_11_07_ptmaps16_01.dat</t>
  </si>
  <si>
    <t xml:space="preserve">7112.289</t>
  </si>
  <si>
    <t xml:space="preserve">7113.953</t>
  </si>
  <si>
    <t xml:space="preserve">0.417</t>
  </si>
  <si>
    <t xml:space="preserve">7112.879876992709</t>
  </si>
  <si>
    <t xml:space="preserve">GFL_PL_780_11_07_ptmaps17_01.dat</t>
  </si>
  <si>
    <t xml:space="preserve">7112.305</t>
  </si>
  <si>
    <t xml:space="preserve">7113.971</t>
  </si>
  <si>
    <t xml:space="preserve">0.422</t>
  </si>
  <si>
    <t xml:space="preserve">7113.007</t>
  </si>
  <si>
    <t xml:space="preserve">7112.920633211517</t>
  </si>
  <si>
    <t xml:space="preserve">GFL_PL_780_11_07_ptmaps18_01.dat</t>
  </si>
  <si>
    <t xml:space="preserve">7112.299</t>
  </si>
  <si>
    <t xml:space="preserve">7113.946</t>
  </si>
  <si>
    <t xml:space="preserve">0.42</t>
  </si>
  <si>
    <t xml:space="preserve">7112.894026603788</t>
  </si>
  <si>
    <t xml:space="preserve">GFL_PL_780_11_07_ptmaps19_01.dat</t>
  </si>
  <si>
    <t xml:space="preserve">7112.297</t>
  </si>
  <si>
    <t xml:space="preserve">0.41</t>
  </si>
  <si>
    <t xml:space="preserve">7112.975</t>
  </si>
  <si>
    <t xml:space="preserve">7112.871037841513</t>
  </si>
  <si>
    <t xml:space="preserve">GFL_PL_780_11_07_ptmaps20_01.dat</t>
  </si>
  <si>
    <t xml:space="preserve">7113.972</t>
  </si>
  <si>
    <t xml:space="preserve">0.476</t>
  </si>
  <si>
    <t xml:space="preserve">7113.1</t>
  </si>
  <si>
    <t xml:space="preserve">7113.033314304187</t>
  </si>
  <si>
    <t xml:space="preserve">33.0</t>
  </si>
  <si>
    <t xml:space="preserve">GFL_PL_780_11_07_ptmaps2_01.dat</t>
  </si>
  <si>
    <t xml:space="preserve">7112.332</t>
  </si>
  <si>
    <t xml:space="preserve">7113.896</t>
  </si>
  <si>
    <t xml:space="preserve">7112.983</t>
  </si>
  <si>
    <t xml:space="preserve">7112.9113647339345</t>
  </si>
  <si>
    <t xml:space="preserve">27.0</t>
  </si>
  <si>
    <t xml:space="preserve">GFL_PL_780_11_07_ptmaps3_01.dat</t>
  </si>
  <si>
    <t xml:space="preserve">7112.338</t>
  </si>
  <si>
    <t xml:space="preserve">7113.987</t>
  </si>
  <si>
    <t xml:space="preserve">0.409</t>
  </si>
  <si>
    <t xml:space="preserve">7113.012</t>
  </si>
  <si>
    <t xml:space="preserve">7112.907880490031</t>
  </si>
  <si>
    <t xml:space="preserve">GFL_PL_780_11_07_ptmaps4_01.dat</t>
  </si>
  <si>
    <t xml:space="preserve">7113.978</t>
  </si>
  <si>
    <t xml:space="preserve">0.418</t>
  </si>
  <si>
    <t xml:space="preserve">7113.016</t>
  </si>
  <si>
    <t xml:space="preserve">7112.93980373187</t>
  </si>
  <si>
    <t xml:space="preserve">GFL_PL_780_11_07_ptmaps5_01.dat</t>
  </si>
  <si>
    <t xml:space="preserve">7113.977</t>
  </si>
  <si>
    <t xml:space="preserve">0.412</t>
  </si>
  <si>
    <t xml:space="preserve">7112.911913730243</t>
  </si>
  <si>
    <t xml:space="preserve">GFL_PL_780_11_07_ptmaps6_01.dat</t>
  </si>
  <si>
    <t xml:space="preserve">7113.041</t>
  </si>
  <si>
    <t xml:space="preserve">7112.956531915703</t>
  </si>
  <si>
    <t xml:space="preserve">GFL_PL_780_11_07_ptmaps7_01.dat</t>
  </si>
  <si>
    <t xml:space="preserve">7112.33</t>
  </si>
  <si>
    <t xml:space="preserve">0.481</t>
  </si>
  <si>
    <t xml:space="preserve">7113.133</t>
  </si>
  <si>
    <t xml:space="preserve">7113.0583386052385</t>
  </si>
  <si>
    <t xml:space="preserve">34.0</t>
  </si>
  <si>
    <t xml:space="preserve">GFL_PL_780_11_07_ptmaps8_01.dat</t>
  </si>
  <si>
    <t xml:space="preserve">0.411</t>
  </si>
  <si>
    <t xml:space="preserve">7113.002</t>
  </si>
  <si>
    <t xml:space="preserve">7112.908461549141</t>
  </si>
  <si>
    <t xml:space="preserve">GFL_PL_780_11_07_ptmaps9_01.dat</t>
  </si>
  <si>
    <t xml:space="preserve">7112.327</t>
  </si>
  <si>
    <t xml:space="preserve">7112.99</t>
  </si>
  <si>
    <t xml:space="preserve">7112.903874079795</t>
  </si>
  <si>
    <t xml:space="preserve">780_11_07_50prct_long_01.dat</t>
  </si>
  <si>
    <t xml:space="preserve">7112.294</t>
  </si>
  <si>
    <t xml:space="preserve">7113.965</t>
  </si>
  <si>
    <t xml:space="preserve">0.389</t>
  </si>
  <si>
    <t xml:space="preserve">7112.944</t>
  </si>
  <si>
    <t xml:space="preserve">7112.845615163389</t>
  </si>
  <si>
    <t xml:space="preserve">780_11_07_50prct_long_02.dat</t>
  </si>
  <si>
    <t xml:space="preserve">7112.261</t>
  </si>
  <si>
    <t xml:space="preserve">7113.922</t>
  </si>
  <si>
    <t xml:space="preserve">7112.933</t>
  </si>
  <si>
    <t xml:space="preserve">7112.827782375516</t>
  </si>
  <si>
    <t xml:space="preserve">780_11_07_100prct_long_01.dat</t>
  </si>
  <si>
    <t xml:space="preserve">7112.306</t>
  </si>
  <si>
    <t xml:space="preserve">7113.98</t>
  </si>
  <si>
    <t xml:space="preserve">7112.8947244588</t>
  </si>
  <si>
    <t xml:space="preserve">780_11_07_100prct_long_02.dat</t>
  </si>
  <si>
    <t xml:space="preserve">0.415</t>
  </si>
  <si>
    <t xml:space="preserve">7112.993</t>
  </si>
  <si>
    <t xml:space="preserve">7112.886301308758</t>
  </si>
  <si>
    <t xml:space="preserve">GFL_08_01_CORE_pt1_01.dat</t>
  </si>
  <si>
    <t xml:space="preserve">GFL_08_01_CORE</t>
  </si>
  <si>
    <t xml:space="preserve">7112.266</t>
  </si>
  <si>
    <t xml:space="preserve">7113.919</t>
  </si>
  <si>
    <t xml:space="preserve">0.388</t>
  </si>
  <si>
    <t xml:space="preserve">7112.908</t>
  </si>
  <si>
    <t xml:space="preserve">7112.7973034865945</t>
  </si>
  <si>
    <t xml:space="preserve">GFL_08_01_CORE_pt4_01.dat</t>
  </si>
  <si>
    <t xml:space="preserve">7112.258</t>
  </si>
  <si>
    <t xml:space="preserve">7114.017</t>
  </si>
  <si>
    <t xml:space="preserve">7112.93198804425</t>
  </si>
  <si>
    <t xml:space="preserve">GFL_08_01_CORE_pt5_01.dat</t>
  </si>
  <si>
    <t xml:space="preserve">7112.27</t>
  </si>
  <si>
    <t xml:space="preserve">7113.928</t>
  </si>
  <si>
    <t xml:space="preserve">0.395</t>
  </si>
  <si>
    <t xml:space="preserve">7112.924</t>
  </si>
  <si>
    <t xml:space="preserve">7112.843778832283</t>
  </si>
  <si>
    <t xml:space="preserve">GFL_08_01_POI2_01.dat</t>
  </si>
  <si>
    <t xml:space="preserve">GFL_08_01</t>
  </si>
  <si>
    <t xml:space="preserve">7113.97</t>
  </si>
  <si>
    <t xml:space="preserve">0.4</t>
  </si>
  <si>
    <t xml:space="preserve">7112.974</t>
  </si>
  <si>
    <t xml:space="preserve">7112.8470344876005</t>
  </si>
  <si>
    <t xml:space="preserve">GFL_08_01_POI3_01.dat</t>
  </si>
  <si>
    <t xml:space="preserve">7114.003</t>
  </si>
  <si>
    <t xml:space="preserve">0.414</t>
  </si>
  <si>
    <t xml:space="preserve">7112.8930259445415</t>
  </si>
  <si>
    <t xml:space="preserve">GFL_08_01_POI4_01.dat</t>
  </si>
  <si>
    <t xml:space="preserve">7113.979</t>
  </si>
  <si>
    <t xml:space="preserve">0.397</t>
  </si>
  <si>
    <t xml:space="preserve">7112.965</t>
  </si>
  <si>
    <t xml:space="preserve">7112.852965423219</t>
  </si>
  <si>
    <t xml:space="preserve">GFL_08_01_POI5_01.dat</t>
  </si>
  <si>
    <t xml:space="preserve">7112.312</t>
  </si>
  <si>
    <t xml:space="preserve">7112.871883778621</t>
  </si>
  <si>
    <t xml:space="preserve">GFL_DR21_01_06_pt1_01.dat</t>
  </si>
  <si>
    <t xml:space="preserve">GFL_DR21_01_06</t>
  </si>
  <si>
    <t xml:space="preserve">7113.904</t>
  </si>
  <si>
    <t xml:space="preserve">0.381</t>
  </si>
  <si>
    <t xml:space="preserve">7112.885</t>
  </si>
  <si>
    <t xml:space="preserve">7112.789447509082</t>
  </si>
  <si>
    <t xml:space="preserve">26.0</t>
  </si>
  <si>
    <t xml:space="preserve">GFL_DR21_01_06_pt2_01.dat</t>
  </si>
  <si>
    <t xml:space="preserve">7112.268</t>
  </si>
  <si>
    <t xml:space="preserve">7113.929</t>
  </si>
  <si>
    <t xml:space="preserve">0.379</t>
  </si>
  <si>
    <t xml:space="preserve">7112.898</t>
  </si>
  <si>
    <t xml:space="preserve">7112.789171797807</t>
  </si>
  <si>
    <t xml:space="preserve">GFL_DR21_01_06_pt3_01.dat</t>
  </si>
  <si>
    <t xml:space="preserve">7113.916</t>
  </si>
  <si>
    <t xml:space="preserve">0.386</t>
  </si>
  <si>
    <t xml:space="preserve">7112.902</t>
  </si>
  <si>
    <t xml:space="preserve">7112.812776914149</t>
  </si>
  <si>
    <t xml:space="preserve">GFL_DR21_01_06_pt4_01.dat</t>
  </si>
  <si>
    <t xml:space="preserve">7113.992</t>
  </si>
  <si>
    <t xml:space="preserve">7112.930557757134</t>
  </si>
  <si>
    <t xml:space="preserve">GFL_DR22_02_03_pt1_01.dat</t>
  </si>
  <si>
    <t xml:space="preserve">GFL_DR22_02_03</t>
  </si>
  <si>
    <t xml:space="preserve">7112.274</t>
  </si>
  <si>
    <t xml:space="preserve">0.445</t>
  </si>
  <si>
    <t xml:space="preserve">7113.02</t>
  </si>
  <si>
    <t xml:space="preserve">7112.914916558888</t>
  </si>
  <si>
    <t xml:space="preserve">GFL_DR22_02_03_pt3_01.dat</t>
  </si>
  <si>
    <t xml:space="preserve">7112.264</t>
  </si>
  <si>
    <t xml:space="preserve">7113.935</t>
  </si>
  <si>
    <t xml:space="preserve">0.447</t>
  </si>
  <si>
    <t xml:space="preserve">7113.011</t>
  </si>
  <si>
    <t xml:space="preserve">7112.888679866706</t>
  </si>
  <si>
    <t xml:space="preserve">GFL_DR22_02_03_pt5_01.dat</t>
  </si>
  <si>
    <t xml:space="preserve">7112.276</t>
  </si>
  <si>
    <t xml:space="preserve">7113.948</t>
  </si>
  <si>
    <t xml:space="preserve">7113.022</t>
  </si>
  <si>
    <t xml:space="preserve">7112.941922800279</t>
  </si>
  <si>
    <t xml:space="preserve">DR08-02_Fe-pt1_01.dat</t>
  </si>
  <si>
    <t xml:space="preserve">DR-08-02</t>
  </si>
  <si>
    <t xml:space="preserve">7112.4</t>
  </si>
  <si>
    <t xml:space="preserve">7114.088</t>
  </si>
  <si>
    <t xml:space="preserve">0.43</t>
  </si>
  <si>
    <t xml:space="preserve">7113.126</t>
  </si>
  <si>
    <t xml:space="preserve">7112.990101009014</t>
  </si>
  <si>
    <t xml:space="preserve">DR08-02_Fe-pt2_01.dat</t>
  </si>
  <si>
    <t xml:space="preserve">DR_08_02</t>
  </si>
  <si>
    <t xml:space="preserve">7114.097</t>
  </si>
  <si>
    <t xml:space="preserve">7113.12</t>
  </si>
  <si>
    <t xml:space="preserve">7112.991161972102</t>
  </si>
  <si>
    <t xml:space="preserve">DR08-02_Fe-pt3_01.dat</t>
  </si>
  <si>
    <t xml:space="preserve">Nouveau Volcan</t>
  </si>
  <si>
    <t xml:space="preserve">7114.109</t>
  </si>
  <si>
    <t xml:space="preserve">0.431</t>
  </si>
  <si>
    <t xml:space="preserve">7113.136</t>
  </si>
  <si>
    <t xml:space="preserve">7112.989302298497</t>
  </si>
  <si>
    <t xml:space="preserve">DR08-02_Fe-pt4_01.dat</t>
  </si>
  <si>
    <t xml:space="preserve">7114.114</t>
  </si>
  <si>
    <t xml:space="preserve">0.434</t>
  </si>
  <si>
    <t xml:space="preserve">7113.143</t>
  </si>
  <si>
    <t xml:space="preserve">7113.01952676557</t>
  </si>
  <si>
    <t xml:space="preserve">DR08-02_Fe-pt5_01.dat</t>
  </si>
  <si>
    <t xml:space="preserve">7114.105</t>
  </si>
  <si>
    <t xml:space="preserve">0.448</t>
  </si>
  <si>
    <t xml:space="preserve">7113.164</t>
  </si>
  <si>
    <t xml:space="preserve">7113.034048632693</t>
  </si>
  <si>
    <t xml:space="preserve">32.0</t>
  </si>
  <si>
    <t xml:space="preserve">DR17_04_02_POI1_01.dat</t>
  </si>
  <si>
    <t xml:space="preserve">MAY15-DR17-04-02</t>
  </si>
  <si>
    <t xml:space="preserve">7112.355</t>
  </si>
  <si>
    <t xml:space="preserve">7114.113</t>
  </si>
  <si>
    <t xml:space="preserve">0.512</t>
  </si>
  <si>
    <t xml:space="preserve">7113.256</t>
  </si>
  <si>
    <t xml:space="preserve">7113.092686793551</t>
  </si>
  <si>
    <t xml:space="preserve">39.0</t>
  </si>
  <si>
    <t xml:space="preserve">DR17_04_02_POI2_01.dat</t>
  </si>
  <si>
    <t xml:space="preserve">Fer à cheval</t>
  </si>
  <si>
    <t xml:space="preserve">7112.371</t>
  </si>
  <si>
    <t xml:space="preserve">7114.12</t>
  </si>
  <si>
    <t xml:space="preserve">0.516</t>
  </si>
  <si>
    <t xml:space="preserve">7113.273</t>
  </si>
  <si>
    <t xml:space="preserve">7113.108861687352</t>
  </si>
  <si>
    <t xml:space="preserve">DR17_04_02_POI3_01.dat</t>
  </si>
  <si>
    <t xml:space="preserve">7112.367</t>
  </si>
  <si>
    <t xml:space="preserve">7114.118</t>
  </si>
  <si>
    <t xml:space="preserve">7113.271</t>
  </si>
  <si>
    <t xml:space="preserve">7113.129630087833</t>
  </si>
  <si>
    <t xml:space="preserve">DR17_04_02_POI4_01.dat</t>
  </si>
  <si>
    <t xml:space="preserve">7112.374</t>
  </si>
  <si>
    <t xml:space="preserve">7114.128</t>
  </si>
  <si>
    <t xml:space="preserve">0.509</t>
  </si>
  <si>
    <t xml:space="preserve">7113.266</t>
  </si>
  <si>
    <t xml:space="preserve">7113.107072774853</t>
  </si>
  <si>
    <t xml:space="preserve">DR13-01-01_POI1_01.dat</t>
  </si>
  <si>
    <t xml:space="preserve">MAY15-DR13-01-01</t>
  </si>
  <si>
    <t xml:space="preserve">7112.32</t>
  </si>
  <si>
    <t xml:space="preserve">7114.028</t>
  </si>
  <si>
    <t xml:space="preserve">7113.054</t>
  </si>
  <si>
    <t xml:space="preserve">7112.916473523281</t>
  </si>
  <si>
    <t xml:space="preserve">DR13-01-01_POI2_01.dat</t>
  </si>
  <si>
    <t xml:space="preserve">7112.317</t>
  </si>
  <si>
    <t xml:space="preserve">7114.025</t>
  </si>
  <si>
    <t xml:space="preserve">7112.926813768739</t>
  </si>
  <si>
    <t xml:space="preserve">DR13-01-01_POI3_01.dat</t>
  </si>
  <si>
    <t xml:space="preserve">Sud-Est Fer à Cheval</t>
  </si>
  <si>
    <t xml:space="preserve">7114.029</t>
  </si>
  <si>
    <t xml:space="preserve">0.444</t>
  </si>
  <si>
    <t xml:space="preserve">7113.075</t>
  </si>
  <si>
    <t xml:space="preserve">7112.9366336511775</t>
  </si>
  <si>
    <t xml:space="preserve">DR13-01-01_POI4_01.dat</t>
  </si>
  <si>
    <t xml:space="preserve">7112.339</t>
  </si>
  <si>
    <t xml:space="preserve">0.438</t>
  </si>
  <si>
    <t xml:space="preserve">7113.079</t>
  </si>
  <si>
    <t xml:space="preserve">7112.960990939558</t>
  </si>
  <si>
    <t xml:space="preserve">DR13-01-01_POI5_01.dat</t>
  </si>
  <si>
    <t xml:space="preserve">7114.026</t>
  </si>
  <si>
    <t xml:space="preserve">7113.043</t>
  </si>
  <si>
    <t xml:space="preserve">7112.910481254482</t>
  </si>
  <si>
    <t xml:space="preserve">DR07-02-07_POI4_01.dat</t>
  </si>
  <si>
    <t xml:space="preserve">MAY02-DR07-02-07</t>
  </si>
  <si>
    <t xml:space="preserve">7114.023</t>
  </si>
  <si>
    <t xml:space="preserve">0.469</t>
  </si>
  <si>
    <t xml:space="preserve">7113.116</t>
  </si>
  <si>
    <t xml:space="preserve">7113.0065086814175</t>
  </si>
  <si>
    <t xml:space="preserve">DR07-02-07_POI6_01.dat</t>
  </si>
  <si>
    <t xml:space="preserve">MAY02-DR07_02_07</t>
  </si>
  <si>
    <t xml:space="preserve">7114.045</t>
  </si>
  <si>
    <t xml:space="preserve">0.426</t>
  </si>
  <si>
    <t xml:space="preserve">7113.057</t>
  </si>
  <si>
    <t xml:space="preserve">7112.899796102052</t>
  </si>
  <si>
    <t xml:space="preserve">DR07-02-07_POI7_01.dat</t>
  </si>
  <si>
    <t xml:space="preserve">Sud essaim</t>
  </si>
  <si>
    <t xml:space="preserve">7114.034</t>
  </si>
  <si>
    <t xml:space="preserve">0.435</t>
  </si>
  <si>
    <t xml:space="preserve">7113.069</t>
  </si>
  <si>
    <t xml:space="preserve">7112.918033693693</t>
  </si>
  <si>
    <t xml:space="preserve">DR07-02-07_POI8_01.dat</t>
  </si>
  <si>
    <t xml:space="preserve">7112.329</t>
  </si>
  <si>
    <t xml:space="preserve">7114.041</t>
  </si>
  <si>
    <t xml:space="preserve">7113.067</t>
  </si>
  <si>
    <t xml:space="preserve">7112.91111909723</t>
  </si>
  <si>
    <t xml:space="preserve">DR07-02-07_POI9_01.dat</t>
  </si>
  <si>
    <t xml:space="preserve">7112.336</t>
  </si>
  <si>
    <t xml:space="preserve">0.442</t>
  </si>
  <si>
    <t xml:space="preserve">7113.091</t>
  </si>
  <si>
    <t xml:space="preserve">7112.983429539786</t>
  </si>
  <si>
    <t xml:space="preserve">DR06-02-01-pt1_01.dat</t>
  </si>
  <si>
    <t xml:space="preserve">MAY02-DR06-02-01</t>
  </si>
  <si>
    <t xml:space="preserve">7112.287</t>
  </si>
  <si>
    <t xml:space="preserve">7113.997</t>
  </si>
  <si>
    <t xml:space="preserve">0.489</t>
  </si>
  <si>
    <t xml:space="preserve">7113.123</t>
  </si>
  <si>
    <t xml:space="preserve">7113.006453898729</t>
  </si>
  <si>
    <t xml:space="preserve">36.0</t>
  </si>
  <si>
    <t xml:space="preserve">DR06-02-01-pt1_02.dat</t>
  </si>
  <si>
    <t xml:space="preserve">DR06_02_01</t>
  </si>
  <si>
    <t xml:space="preserve">7114.012</t>
  </si>
  <si>
    <t xml:space="preserve">0.484</t>
  </si>
  <si>
    <t xml:space="preserve">7113.01015982186</t>
  </si>
  <si>
    <t xml:space="preserve">35.0</t>
  </si>
  <si>
    <t xml:space="preserve">DR06-02-01-pt2_01.dat</t>
  </si>
  <si>
    <t xml:space="preserve">Nord Essaim</t>
  </si>
  <si>
    <t xml:space="preserve">7114.021</t>
  </si>
  <si>
    <t xml:space="preserve">7113.135</t>
  </si>
  <si>
    <t xml:space="preserve">7113.018759334517</t>
  </si>
  <si>
    <t xml:space="preserve">DR06-02-01-pt2_02.dat</t>
  </si>
  <si>
    <t xml:space="preserve">7112.288</t>
  </si>
  <si>
    <t xml:space="preserve">7114.002</t>
  </si>
  <si>
    <t xml:space="preserve">0.486</t>
  </si>
  <si>
    <t xml:space="preserve">7113.121</t>
  </si>
  <si>
    <t xml:space="preserve">7112.999373219044</t>
  </si>
  <si>
    <t xml:space="preserve">DR06-02-01_1_POI1_01.dat</t>
  </si>
  <si>
    <t xml:space="preserve">7112.302</t>
  </si>
  <si>
    <t xml:space="preserve">7114.008</t>
  </si>
  <si>
    <t xml:space="preserve">7113.102</t>
  </si>
  <si>
    <t xml:space="preserve">7112.969910858052</t>
  </si>
  <si>
    <t xml:space="preserve">DR03-02_Femaptest_POI1_01.dat</t>
  </si>
  <si>
    <t xml:space="preserve">MAY01-DR03-02</t>
  </si>
  <si>
    <t xml:space="preserve">7114.073</t>
  </si>
  <si>
    <t xml:space="preserve">7113.097</t>
  </si>
  <si>
    <t xml:space="preserve">7112.985212194397</t>
  </si>
  <si>
    <t xml:space="preserve">DR03-02_Femaptest_POI2_01.dat</t>
  </si>
  <si>
    <t xml:space="preserve">DR03_02</t>
  </si>
  <si>
    <t xml:space="preserve">Dyke (tâche Sud)</t>
  </si>
  <si>
    <t xml:space="preserve">7114.095</t>
  </si>
  <si>
    <t xml:space="preserve">0.421</t>
  </si>
  <si>
    <t xml:space="preserve">7113.114</t>
  </si>
  <si>
    <t xml:space="preserve">7112.972656449451</t>
  </si>
  <si>
    <t xml:space="preserve">DR03-02_Femaptest_POI3_01.dat</t>
  </si>
  <si>
    <t xml:space="preserve">7114.092</t>
  </si>
  <si>
    <t xml:space="preserve">7113.108</t>
  </si>
  <si>
    <t xml:space="preserve">7112.975868423951</t>
  </si>
  <si>
    <t xml:space="preserve">DR04-06-pt1_01.dat</t>
  </si>
  <si>
    <t xml:space="preserve">MAY01-DR04-06</t>
  </si>
  <si>
    <t xml:space="preserve">7112.354</t>
  </si>
  <si>
    <t xml:space="preserve">0.394</t>
  </si>
  <si>
    <t xml:space="preserve">7112.9192175898015</t>
  </si>
  <si>
    <t xml:space="preserve">DR04-06-pt2_01.dat</t>
  </si>
  <si>
    <t xml:space="preserve">Cône - essaim 2</t>
  </si>
  <si>
    <t xml:space="preserve">7112.361</t>
  </si>
  <si>
    <t xml:space="preserve">7114.018</t>
  </si>
  <si>
    <t xml:space="preserve">0.396</t>
  </si>
  <si>
    <t xml:space="preserve">7113.017</t>
  </si>
  <si>
    <t xml:space="preserve">7112.888827659723</t>
  </si>
  <si>
    <t xml:space="preserve">DR04-06-pt3_01.dat</t>
  </si>
  <si>
    <t xml:space="preserve">7112.351</t>
  </si>
  <si>
    <t xml:space="preserve">7112.891570225148</t>
  </si>
  <si>
    <t xml:space="preserve">DR05-04_Femaptest_POI1_01.dat</t>
  </si>
  <si>
    <t xml:space="preserve">MAY01-DR05-04</t>
  </si>
  <si>
    <t xml:space="preserve">7114.099</t>
  </si>
  <si>
    <t xml:space="preserve">7113.144</t>
  </si>
  <si>
    <t xml:space="preserve">7113.014655292687</t>
  </si>
  <si>
    <t xml:space="preserve">DR05-04_Femaptest_POI2_01.dat</t>
  </si>
  <si>
    <t xml:space="preserve">DR05_04</t>
  </si>
  <si>
    <t xml:space="preserve">Dyke Est volcan</t>
  </si>
  <si>
    <t xml:space="preserve">7114.11</t>
  </si>
  <si>
    <t xml:space="preserve">0.44</t>
  </si>
  <si>
    <t xml:space="preserve">7113.152</t>
  </si>
  <si>
    <t xml:space="preserve">7113.032475545995</t>
  </si>
  <si>
    <t xml:space="preserve">DR05-04_Femaptest_POI3_01.dat</t>
  </si>
  <si>
    <t xml:space="preserve">7114.101</t>
  </si>
  <si>
    <t xml:space="preserve">7113.157</t>
  </si>
  <si>
    <t xml:space="preserve">7113.018049977241</t>
  </si>
  <si>
    <t xml:space="preserve">DR090105a_3_POI7_01.dat</t>
  </si>
  <si>
    <t xml:space="preserve">DR09_01_05</t>
  </si>
  <si>
    <t xml:space="preserve">Cône - W Fer à cheval</t>
  </si>
  <si>
    <t xml:space="preserve">7114.2</t>
  </si>
  <si>
    <t xml:space="preserve">0.599</t>
  </si>
  <si>
    <t xml:space="preserve">7113.478</t>
  </si>
  <si>
    <t xml:space="preserve">7113.297766456589</t>
  </si>
  <si>
    <t xml:space="preserve">51.0</t>
  </si>
  <si>
    <t xml:space="preserve">-</t>
  </si>
  <si>
    <t xml:space="preserve">type</t>
  </si>
  <si>
    <t xml:space="preserve">pre1</t>
  </si>
  <si>
    <t xml:space="preserve">pre2</t>
  </si>
  <si>
    <t xml:space="preserve">norm1</t>
  </si>
  <si>
    <t xml:space="preserve">norm2</t>
  </si>
  <si>
    <t xml:space="preserve">nnorm</t>
  </si>
  <si>
    <t xml:space="preserve">nvict</t>
  </si>
  <si>
    <t xml:space="preserve">area_S6</t>
  </si>
  <si>
    <t xml:space="preserve">I_S6</t>
  </si>
  <si>
    <t xml:space="preserve">redox_S6</t>
  </si>
  <si>
    <t xml:space="preserve">redox_S6_L2021</t>
  </si>
  <si>
    <t xml:space="preserve">redox_S6_J2010</t>
  </si>
  <si>
    <t xml:space="preserve">redox_S6_LL2023</t>
  </si>
  <si>
    <t xml:space="preserve">redox_good</t>
  </si>
  <si>
    <t xml:space="preserve">for_plot</t>
  </si>
  <si>
    <t xml:space="preserve">X</t>
  </si>
  <si>
    <t xml:space="preserve">Y</t>
  </si>
  <si>
    <t xml:space="preserve">DR04_morning_Smaps1_POI1_01.dat</t>
  </si>
  <si>
    <t xml:space="preserve">DR04</t>
  </si>
  <si>
    <t xml:space="preserve">DR04_POI1</t>
  </si>
  <si>
    <t xml:space="preserve">DR04_morning_Smaps1_POI1_02.dat</t>
  </si>
  <si>
    <t xml:space="preserve">DR04_morning_Smaps1_POI1_03.dat</t>
  </si>
  <si>
    <t xml:space="preserve">DR04_morning_Smaps1_POI1_04.dat</t>
  </si>
  <si>
    <t xml:space="preserve">DR04_morning_Smaps1_POI2_01.dat</t>
  </si>
  <si>
    <t xml:space="preserve">DR04_POI2</t>
  </si>
  <si>
    <t xml:space="preserve">DR04_morning_Smaps1_POI2_02.dat</t>
  </si>
  <si>
    <t xml:space="preserve">DR04_morning_Smaps1_POI2_03.dat</t>
  </si>
  <si>
    <t xml:space="preserve">DR04_morning_Smaps1_POI2_04.dat</t>
  </si>
  <si>
    <t xml:space="preserve">DR04_morning_Smaps1_POI3_01.dat</t>
  </si>
  <si>
    <t xml:space="preserve">DR04_POI3</t>
  </si>
  <si>
    <t xml:space="preserve">DR04_morning_Smaps1_POI3_02.dat</t>
  </si>
  <si>
    <t xml:space="preserve">DR04_morning_Smaps1_POI3_03.dat</t>
  </si>
  <si>
    <t xml:space="preserve">DR04_morning_Smaps1_POI3_04.dat</t>
  </si>
  <si>
    <t xml:space="preserve">DR04_morning_Smaps1_POI4_01.dat</t>
  </si>
  <si>
    <t xml:space="preserve">DR04_morning_Smaps1_POI4_02.dat</t>
  </si>
  <si>
    <t xml:space="preserve">DR04_morning_Smaps1_POI4_03.dat</t>
  </si>
  <si>
    <t xml:space="preserve">DR04_morning_Smaps1_POI4_04.dat</t>
  </si>
  <si>
    <t xml:space="preserve">DR04_morning_Smaps1_POI5_01.dat</t>
  </si>
  <si>
    <t xml:space="preserve">DR04_morning_Smaps1_POI5_02.dat</t>
  </si>
  <si>
    <t xml:space="preserve">DR04_morning_Smaps1_POI5_03.dat</t>
  </si>
  <si>
    <t xml:space="preserve">DR04_morning_Smaps1_POI5_04.dat</t>
  </si>
  <si>
    <t xml:space="preserve">DR04_morning_Smaps1_POI6_01.dat</t>
  </si>
  <si>
    <t xml:space="preserve">DR04_morning_Smaps1_POI6_02.dat</t>
  </si>
  <si>
    <t xml:space="preserve">DR04_morning_Smaps1_POI6_03.dat</t>
  </si>
  <si>
    <t xml:space="preserve">DR04_morning_Smaps1_POI6_04.dat</t>
  </si>
  <si>
    <t xml:space="preserve">DR08_02_Smaps1_POI1_01.dat</t>
  </si>
  <si>
    <t xml:space="preserve">MAYOBS-DR08-02</t>
  </si>
  <si>
    <t xml:space="preserve">DR08_POI1</t>
  </si>
  <si>
    <t xml:space="preserve">DR08_02_Smaps1_POI1_02.dat</t>
  </si>
  <si>
    <t xml:space="preserve">DR08_02_Smaps1_POI1_03.dat</t>
  </si>
  <si>
    <t xml:space="preserve">DR08_02_Smaps1_POI2_01.dat</t>
  </si>
  <si>
    <t xml:space="preserve">DR08_02_Smaps1_POI2_02.dat</t>
  </si>
  <si>
    <t xml:space="preserve">DR08_02_Smaps1_POI2_03.dat</t>
  </si>
  <si>
    <t xml:space="preserve">DR08_02_Smaps1_POI3_01.dat</t>
  </si>
  <si>
    <t xml:space="preserve">DR08_02_Smaps1_POI3_02.dat</t>
  </si>
  <si>
    <t xml:space="preserve">DR08_02_Smaps1_POI6_01.dat</t>
  </si>
  <si>
    <t xml:space="preserve">DR08_02_Smaps1_POI6_02.dat</t>
  </si>
  <si>
    <t xml:space="preserve">DR08_02_Smaps1_POI6_03.dat</t>
  </si>
  <si>
    <t xml:space="preserve">DR08_02_Smaps1_POI7_01.dat</t>
  </si>
  <si>
    <t xml:space="preserve">DR08_02_Smaps1_POI7_02.dat</t>
  </si>
  <si>
    <t xml:space="preserve">DR17-04-02-Smap1_POI1_01.dat</t>
  </si>
  <si>
    <t xml:space="preserve">MAYOBS-DR17-04-02</t>
  </si>
  <si>
    <t xml:space="preserve">DR17-04-02-Smap1_POI1_02.dat</t>
  </si>
  <si>
    <t xml:space="preserve">DR17-04-02-Smap1_POI1_03.dat</t>
  </si>
  <si>
    <t xml:space="preserve">DR17-04-02-Smap1_POI1_04.dat</t>
  </si>
  <si>
    <t xml:space="preserve">DR17-04-02-Smap1_POI1_05.dat</t>
  </si>
  <si>
    <t xml:space="preserve">DR17-04-02-Smap1_POI2_01.dat</t>
  </si>
  <si>
    <t xml:space="preserve">DR17_POI2</t>
  </si>
  <si>
    <t xml:space="preserve">DR17-04-02-Smap1_POI2_02.dat</t>
  </si>
  <si>
    <t xml:space="preserve">DR17-04-02-Smap1_POI2_03.dat</t>
  </si>
  <si>
    <t xml:space="preserve">DR17-04-02-Smap1_POI2_04.dat</t>
  </si>
  <si>
    <t xml:space="preserve">DR17-04-02-Smap1_POI2_05.dat</t>
  </si>
  <si>
    <t xml:space="preserve">DR17-04-02-Smap1_POI3_01.dat</t>
  </si>
  <si>
    <t xml:space="preserve">DR17-04-02-Smap1_POI3_02.dat</t>
  </si>
  <si>
    <t xml:space="preserve">DR17-04-02-Smap1_POI3_03.dat</t>
  </si>
  <si>
    <t xml:space="preserve">DR17-04-02-Smap1_POI3_04.dat</t>
  </si>
  <si>
    <t xml:space="preserve">DR17-04-02-Smap1_POI3_05.dat</t>
  </si>
  <si>
    <t xml:space="preserve">DR17-04-02-Smap1_POI4_01.dat</t>
  </si>
  <si>
    <t xml:space="preserve">DR17-04-02-Smap1_POI4_02.dat</t>
  </si>
  <si>
    <t xml:space="preserve">DR17-04-02-Smap1_POI4_03.dat</t>
  </si>
  <si>
    <t xml:space="preserve">DR17-04-02-Smap1_POI4_04.dat</t>
  </si>
  <si>
    <t xml:space="preserve">DR17-04-02-Smap1_POI4_05.dat</t>
  </si>
  <si>
    <t xml:space="preserve">DR17-04-02-Smap1_POI5_01.dat</t>
  </si>
  <si>
    <t xml:space="preserve">DR17-04-02-Smap1_POI5_02.dat</t>
  </si>
  <si>
    <t xml:space="preserve">DR17-04-02-Smap1_POI5_03.dat</t>
  </si>
  <si>
    <t xml:space="preserve">DR17-04-02-Smap1_POI5_04.dat</t>
  </si>
  <si>
    <t xml:space="preserve">DR17-04-02-Smap1_POI5_05.dat</t>
  </si>
  <si>
    <t xml:space="preserve">DR17-04-02-Smap1_POI6_01.dat</t>
  </si>
  <si>
    <t xml:space="preserve">DR17-04-02-Smap1_POI6_02.dat</t>
  </si>
  <si>
    <t xml:space="preserve">DR17-04-02-Smap1_POI6_03.dat</t>
  </si>
  <si>
    <t xml:space="preserve">DR17-04-02-Smap1_POI6_04.dat</t>
  </si>
  <si>
    <t xml:space="preserve">DR17-04-02-Smap1_POI6_05.dat</t>
  </si>
  <si>
    <t xml:space="preserve">DR17-04-02-Smap1_POI7_01.dat</t>
  </si>
  <si>
    <t xml:space="preserve">DR17-04-02-Smap1_POI7_02.dat</t>
  </si>
  <si>
    <t xml:space="preserve">DR17-04-02-Smap1_POI7_03.dat</t>
  </si>
  <si>
    <t xml:space="preserve">DR17-04-02-Smap1_POI7_04.dat</t>
  </si>
  <si>
    <t xml:space="preserve">DR17-04-02-Smap1_POI7_05.dat</t>
  </si>
  <si>
    <t xml:space="preserve">DR_07_02_07_Smaps1_POI10_01.dat</t>
  </si>
  <si>
    <t xml:space="preserve">MAYOBS-DR-07-02-07</t>
  </si>
  <si>
    <t xml:space="preserve">DR_07_02_07_Smaps1_POI10_02.dat</t>
  </si>
  <si>
    <t xml:space="preserve">DR_07_02_07_Smaps1_POI10_03.dat</t>
  </si>
  <si>
    <t xml:space="preserve">DR_07_02_07_Smaps1_POI10_04.dat</t>
  </si>
  <si>
    <t xml:space="preserve">DR_07_02_07_Smaps1_POI10_05.dat</t>
  </si>
  <si>
    <t xml:space="preserve">DR_07_02_07_Smaps1_POI1_01.dat</t>
  </si>
  <si>
    <t xml:space="preserve">DR_07_02_07_Smaps1_POI1_02.dat</t>
  </si>
  <si>
    <t xml:space="preserve">DR_07_02_07_Smaps1_POI1_03.dat</t>
  </si>
  <si>
    <t xml:space="preserve">DR_07_02_07_Smaps1_POI1_04.dat</t>
  </si>
  <si>
    <t xml:space="preserve">DR_07_02_07_Smaps1_POI1_05.dat</t>
  </si>
  <si>
    <t xml:space="preserve">DR_07_02_07_Smaps1_POI2_01.dat</t>
  </si>
  <si>
    <t xml:space="preserve">DR_07_02_07_Smaps1_POI2_02.dat</t>
  </si>
  <si>
    <t xml:space="preserve">DR_07_02_07_Smaps1_POI2_03.dat</t>
  </si>
  <si>
    <t xml:space="preserve">DR_07_02_07_Smaps1_POI2_04.dat</t>
  </si>
  <si>
    <t xml:space="preserve">DR_07_02_07_Smaps1_POI2_05.dat</t>
  </si>
  <si>
    <t xml:space="preserve">DR_07_02_07_Smaps1_POI3_01.dat</t>
  </si>
  <si>
    <t xml:space="preserve">DR_07_02_07_Smaps1_POI3_02.dat</t>
  </si>
  <si>
    <t xml:space="preserve">DR_07_02_07_Smaps1_POI3_03.dat</t>
  </si>
  <si>
    <t xml:space="preserve">DR_07_02_07_Smaps1_POI3_04.dat</t>
  </si>
  <si>
    <t xml:space="preserve">DR_07_02_07_Smaps1_POI3_05.dat</t>
  </si>
  <si>
    <t xml:space="preserve">DR_07_02_07_Smaps1_POI4_01.dat</t>
  </si>
  <si>
    <t xml:space="preserve">DR_07_02_07_Smaps1_POI4_02.dat</t>
  </si>
  <si>
    <t xml:space="preserve">DR_07_02_07_Smaps1_POI4_03.dat</t>
  </si>
  <si>
    <t xml:space="preserve">DR_07_02_07_Smaps1_POI4_04.dat</t>
  </si>
  <si>
    <t xml:space="preserve">DR_07_02_07_Smaps1_POI4_05.dat</t>
  </si>
  <si>
    <t xml:space="preserve">DR_07_02_07_Smaps1_POI5_01.dat</t>
  </si>
  <si>
    <t xml:space="preserve">DR_07_02_07_Smaps1_POI5_02.dat</t>
  </si>
  <si>
    <t xml:space="preserve">DR_07_02_07_Smaps1_POI5_03.dat</t>
  </si>
  <si>
    <t xml:space="preserve">DR_07_02_07_Smaps1_POI5_04.dat</t>
  </si>
  <si>
    <t xml:space="preserve">DR_07_02_07_Smaps1_POI5_05.dat</t>
  </si>
  <si>
    <t xml:space="preserve">DR_07_02_07_Smaps1_POI6_01.dat</t>
  </si>
  <si>
    <t xml:space="preserve">DR_07_02_07_Smaps1_POI6_02.dat</t>
  </si>
  <si>
    <t xml:space="preserve">DR_07_02_07_Smaps1_POI6_03.dat</t>
  </si>
  <si>
    <t xml:space="preserve">DR_07_02_07_Smaps1_POI6_04.dat</t>
  </si>
  <si>
    <t xml:space="preserve">DR_07_02_07_Smaps1_POI6_05.dat</t>
  </si>
  <si>
    <t xml:space="preserve">DR_07_02_07_Smaps1_POI7_01.dat</t>
  </si>
  <si>
    <t xml:space="preserve">DR_07_02_07_Smaps1_POI7_02.dat</t>
  </si>
  <si>
    <t xml:space="preserve">DR_07_02_07_Smaps1_POI7_03.dat</t>
  </si>
  <si>
    <t xml:space="preserve">DR_07_02_07_Smaps1_POI7_04.dat</t>
  </si>
  <si>
    <t xml:space="preserve">DR_07_02_07_Smaps1_POI7_05.dat</t>
  </si>
  <si>
    <t xml:space="preserve">DR_07_02_07_Smaps1_POI8_01.dat</t>
  </si>
  <si>
    <t xml:space="preserve">DR_07_02_07_Smaps1_POI8_02.dat</t>
  </si>
  <si>
    <t xml:space="preserve">DR_07_02_07_Smaps1_POI8_03.dat</t>
  </si>
  <si>
    <t xml:space="preserve">DR_07_02_07_Smaps1_POI8_04.dat</t>
  </si>
  <si>
    <t xml:space="preserve">DR_07_02_07_Smaps1_POI8_05.dat</t>
  </si>
  <si>
    <t xml:space="preserve">DR_07_02_07_Smaps1_POI9_01.dat</t>
  </si>
  <si>
    <t xml:space="preserve">DR_07_02_07_Smaps1_POI9_02.dat</t>
  </si>
  <si>
    <t xml:space="preserve">DR_07_02_07_Smaps1_POI9_03.dat</t>
  </si>
  <si>
    <t xml:space="preserve">DR_07_02_07_Smaps1_POI9_04.dat</t>
  </si>
  <si>
    <t xml:space="preserve">DR_07_02_07_Smaps1_POI9_05.dat</t>
  </si>
  <si>
    <t xml:space="preserve">DR_13_01_01_Smap1_POI1_01.dat</t>
  </si>
  <si>
    <t xml:space="preserve">MAYOBS-DR-13-01-01</t>
  </si>
  <si>
    <t xml:space="preserve">DR_13_01_01_Smap1_POI1_02.dat</t>
  </si>
  <si>
    <t xml:space="preserve">DR_13_01_01_Smap1_POI1_03.dat</t>
  </si>
  <si>
    <t xml:space="preserve">DR_13_01_01_Smap1_POI1_04.dat</t>
  </si>
  <si>
    <t xml:space="preserve">DR_13_01_01_Smap1_POI1_05.dat</t>
  </si>
  <si>
    <t xml:space="preserve">DR_13_01_01_Smap1_POI2_01.dat</t>
  </si>
  <si>
    <t xml:space="preserve">DR_13_01_01_Smap1_POI2_02.dat</t>
  </si>
  <si>
    <t xml:space="preserve">DR_13_01_01_Smap1_POI2_03.dat</t>
  </si>
  <si>
    <t xml:space="preserve">DR_13_01_01_Smap1_POI2_04.dat</t>
  </si>
  <si>
    <t xml:space="preserve">DR_13_01_01_Smap1_POI2_05.dat</t>
  </si>
  <si>
    <t xml:space="preserve">DR_13_01_01_Smap1_POI3_01.dat</t>
  </si>
  <si>
    <t xml:space="preserve">DR_13_01_01_Smap1_POI3_02.dat</t>
  </si>
  <si>
    <t xml:space="preserve">DR_13_01_01_Smap1_POI3_03.dat</t>
  </si>
  <si>
    <t xml:space="preserve">DR_13_01_01_Smap1_POI3_04.dat</t>
  </si>
  <si>
    <t xml:space="preserve">DR_13_01_01_Smap1_POI3_05.dat</t>
  </si>
  <si>
    <t xml:space="preserve">DR_13_01_01_Smap1_POI4_01.dat</t>
  </si>
  <si>
    <t xml:space="preserve">DR_13_01_01_Smap1_POI4_02.dat</t>
  </si>
  <si>
    <t xml:space="preserve">DR_13_01_01_Smap1_POI4_03.dat</t>
  </si>
  <si>
    <t xml:space="preserve">DR_13_01_01_Smap1_POI4_04.dat</t>
  </si>
  <si>
    <t xml:space="preserve">DR_13_01_01_Smap1_POI4_05.dat</t>
  </si>
  <si>
    <t xml:space="preserve">DR_13_01_01_Smap1_POI5_01.dat</t>
  </si>
  <si>
    <t xml:space="preserve">DR_13_01_01_Smap1_POI5_02.dat</t>
  </si>
  <si>
    <t xml:space="preserve">DR_13_01_01_Smap1_POI5_03.dat</t>
  </si>
  <si>
    <t xml:space="preserve">DR_13_01_01_Smap1_POI5_04.dat</t>
  </si>
  <si>
    <t xml:space="preserve">DR_13_01_01_Smap1_POI5_05.dat</t>
  </si>
  <si>
    <t xml:space="preserve">DR_13_01_01_Smap1_POI6_01.dat</t>
  </si>
  <si>
    <t xml:space="preserve">DR_13_01_01_Smap1_POI6_02.dat</t>
  </si>
  <si>
    <t xml:space="preserve">DR_13_01_01_Smap1_POI6_03.dat</t>
  </si>
  <si>
    <t xml:space="preserve">DR_13_01_01_Smap1_POI6_04.dat</t>
  </si>
  <si>
    <t xml:space="preserve">DR_13_01_01_Smap1_POI6_05.dat</t>
  </si>
  <si>
    <t xml:space="preserve">DR_13_01_01_Smap1_POI7_01.dat</t>
  </si>
  <si>
    <t xml:space="preserve">DR_13_01_01_Smap1_POI7_02.dat</t>
  </si>
  <si>
    <t xml:space="preserve">DR_13_01_01_Smap1_POI7_03.dat</t>
  </si>
  <si>
    <t xml:space="preserve">DR_13_01_01_Smap1_POI7_04.dat</t>
  </si>
  <si>
    <t xml:space="preserve">DR_13_01_01_Smap1_POI7_05.dat</t>
  </si>
  <si>
    <t xml:space="preserve">GFL_DR22_02_03_S_pt1_01.dat</t>
  </si>
  <si>
    <t xml:space="preserve">GFL-DR22-02-03</t>
  </si>
  <si>
    <t xml:space="preserve">GFL_DR22_02_03_S_pt2_01.dat</t>
  </si>
  <si>
    <t xml:space="preserve">GFL_DR22_02_03_S_pt3_01.dat</t>
  </si>
  <si>
    <t xml:space="preserve">GFL_DR22_02_03_S_pt4_01.dat</t>
  </si>
  <si>
    <t xml:space="preserve">GFL_DR22_02_03_S_pt5_01.dat</t>
  </si>
  <si>
    <t xml:space="preserve">GFL_PL_08_01_S_pt1_01.dat</t>
  </si>
  <si>
    <t xml:space="preserve">GFL_PL_08_01</t>
  </si>
  <si>
    <t xml:space="preserve">GFL_PL_08_01_S_pt1_02.dat</t>
  </si>
  <si>
    <t xml:space="preserve">GFL_PL_08_01_S_pt1_03.dat</t>
  </si>
  <si>
    <t xml:space="preserve">GFL_PL_08_01_S_pt1_04.dat</t>
  </si>
  <si>
    <t xml:space="preserve">GFL_PL_08_01_S_pt2_01.dat</t>
  </si>
  <si>
    <t xml:space="preserve">GFL_PL_08_01_S_pt2_02.dat</t>
  </si>
  <si>
    <t xml:space="preserve">GFL_PL_08_01_S_pt2_03.dat</t>
  </si>
  <si>
    <t xml:space="preserve">GFL_PL_08_01_S_pt2_04.dat</t>
  </si>
  <si>
    <t xml:space="preserve">GFL_PL_08_01_S_pt3_01.dat</t>
  </si>
  <si>
    <t xml:space="preserve">GFL_PL_08_01_S_pt3_02.dat</t>
  </si>
  <si>
    <t xml:space="preserve">GFL_PL_08_01_S_pt3_03.dat</t>
  </si>
  <si>
    <t xml:space="preserve">GFL_PL_08_01_S_pt3_04.dat</t>
  </si>
  <si>
    <t xml:space="preserve">GFL_PL_08_01_S_pt4_01.dat</t>
  </si>
  <si>
    <t xml:space="preserve">GFL_PL_08_01_S_pt4_02.dat</t>
  </si>
  <si>
    <t xml:space="preserve">GFL_PL_08_01_S_pt4_03.dat</t>
  </si>
  <si>
    <t xml:space="preserve">GFL_PL_08_01_S_pt4_04.dat</t>
  </si>
  <si>
    <t xml:space="preserve">GFL_PL_08_01_S_pt5_01.dat</t>
  </si>
  <si>
    <t xml:space="preserve">GFL_PL_08_01_S_pt5_02.dat</t>
  </si>
  <si>
    <t xml:space="preserve">GFL_PL_08_01_S_pt5_03.dat</t>
  </si>
  <si>
    <t xml:space="preserve">GFL_PL_08_01_S_pt5_04.dat</t>
  </si>
  <si>
    <t xml:space="preserve">GFL_PL_08_01_S_quick_01.dat</t>
  </si>
  <si>
    <t xml:space="preserve">GFL_PL_08_01_S_quick_02.dat</t>
  </si>
  <si>
    <t xml:space="preserve">GFL_PL_08_01_S_quick_03.dat</t>
  </si>
  <si>
    <t xml:space="preserve">GFL_PL_08_01_S_quick_04.dat</t>
  </si>
  <si>
    <t xml:space="preserve">GFL_PL_08_01_S_quick_05.dat</t>
  </si>
  <si>
    <t xml:space="preserve">GFL_PL_08_01_S_quick_06.dat</t>
  </si>
  <si>
    <t xml:space="preserve">GFL_PL_08_01_S_quick_07.dat</t>
  </si>
  <si>
    <t xml:space="preserve">GFL_PL_08_01_S_quick_08.dat</t>
  </si>
  <si>
    <t xml:space="preserve">GFL_PL_08_01_S_quick_09.dat</t>
  </si>
  <si>
    <t xml:space="preserve">GFL_PL_08_01_S_quick_10.dat</t>
  </si>
  <si>
    <t xml:space="preserve">GFL_PL_11_07_S_01.dat</t>
  </si>
  <si>
    <t xml:space="preserve">GFL_PL_11_07</t>
  </si>
  <si>
    <t xml:space="preserve">GFL_PL_11_07_S_02.dat</t>
  </si>
  <si>
    <t xml:space="preserve">GFL_PL_11_07_S_03.dat</t>
  </si>
  <si>
    <t xml:space="preserve">GFL_PL_11_07_S_04.dat</t>
  </si>
  <si>
    <t xml:space="preserve">GFL_PL_11_07_S_carto2b_obl_pt1_01.dat</t>
  </si>
  <si>
    <t xml:space="preserve">GFL_PL_11_07_S_carto2b_obl_pt1_02.dat</t>
  </si>
  <si>
    <t xml:space="preserve">GFL_PL_11_07_S_carto2b_obl_pt1_03.dat</t>
  </si>
  <si>
    <t xml:space="preserve">GFL_PL_11_07_S_carto2b_obl_pt1_04.dat</t>
  </si>
  <si>
    <t xml:space="preserve">GFL_PL_11_07_S_carto2b_obl_pt2_01.dat</t>
  </si>
  <si>
    <t xml:space="preserve">GFL_PL_11_07_S_carto2b_obl_pt2_02.dat</t>
  </si>
  <si>
    <t xml:space="preserve">GFL_PL_11_07_S_carto2b_obl_pt2_03.dat</t>
  </si>
  <si>
    <t xml:space="preserve">GFL_PL_11_07_S_carto2b_obl_pt2_04.dat</t>
  </si>
  <si>
    <t xml:space="preserve">GFL_PL_11_07_S_carto2b_obl_pt3_01.dat</t>
  </si>
  <si>
    <t xml:space="preserve">GFL_PL_11_07_S_carto2b_obl_pt3_02.dat</t>
  </si>
  <si>
    <t xml:space="preserve">GFL_PL_11_07_S_carto2b_obl_pt3_03.dat</t>
  </si>
  <si>
    <t xml:space="preserve">GFL_PL_11_07_S_carto2b_obl_pt3_04.dat</t>
  </si>
  <si>
    <t xml:space="preserve">GFL_PL_11_07_S_carto2b_obl_pt4_01.dat</t>
  </si>
  <si>
    <t xml:space="preserve">GFL_PL_11_07_S_carto2b_obl_pt4_02.dat</t>
  </si>
  <si>
    <t xml:space="preserve">GFL_PL_11_07_S_carto2b_obl_pt4_03.dat</t>
  </si>
  <si>
    <t xml:space="preserve">GFL_PL_11_07_S_carto2b_obl_pt4_04.dat</t>
  </si>
  <si>
    <t xml:space="preserve">GFL_PL_11_07_S_carto2b_obl_pt5_01.dat</t>
  </si>
  <si>
    <t xml:space="preserve">GFL_PL_11_07_S_carto2b_obl_pt5_02.dat</t>
  </si>
  <si>
    <t xml:space="preserve">GFL_PL_11_07_S_carto2b_obl_pt5_03.dat</t>
  </si>
  <si>
    <t xml:space="preserve">GFL_PL_11_07_S_carto2b_obl_pt5_04.dat</t>
  </si>
  <si>
    <t xml:space="preserve">GFL_PL_11_07_S_carto2b_obl_pt6_01.dat</t>
  </si>
  <si>
    <t xml:space="preserve">GFL_PL_11_07_S_carto2b_obl_pt6_02.dat</t>
  </si>
  <si>
    <t xml:space="preserve">GFL_PL_11_07_S_carto2b_obl_pt6_03.dat</t>
  </si>
  <si>
    <t xml:space="preserve">GFL_PL_11_07_S_carto2b_obl_pt6_04.dat</t>
  </si>
  <si>
    <t xml:space="preserve">GFL_PL_11_07_S_carto2b_obl_pt7_01.dat</t>
  </si>
  <si>
    <t xml:space="preserve">GFL_PL_11_07_S_carto2b_obl_pt7_02.dat</t>
  </si>
  <si>
    <t xml:space="preserve">GFL_PL_11_07_S_carto2b_obl_pt7_03.dat</t>
  </si>
  <si>
    <t xml:space="preserve">GFL_PL_11_07_S_carto2b_obl_pt7_04.dat</t>
  </si>
  <si>
    <t xml:space="preserve">GFL_PL_11_07_S_carto2b_obl_pt8_01.dat</t>
  </si>
  <si>
    <t xml:space="preserve">GFL_PL_11_07_S_carto2b_obl_pt8_02.dat</t>
  </si>
  <si>
    <t xml:space="preserve">GFL_PL_11_07_S_carto2b_obl_pt8_03.dat</t>
  </si>
  <si>
    <t xml:space="preserve">GFL_PL_11_07_S_carto2b_obl_pt8_04.dat</t>
  </si>
  <si>
    <t xml:space="preserve">GFL_PL_11_07_S_carto2b_start_01.dat</t>
  </si>
  <si>
    <t xml:space="preserve">GFL_PL_11_07_S_carto2b_start_02.dat</t>
  </si>
  <si>
    <t xml:space="preserve">GFL_PL_11_07_S_carto2b_vert_pt10_01.dat</t>
  </si>
  <si>
    <t xml:space="preserve">GFL_PL_11_07_S_carto2b_vert_pt10_02.dat</t>
  </si>
  <si>
    <t xml:space="preserve">GFL_PL_11_07_S_carto2b_vert_pt10_03.dat</t>
  </si>
  <si>
    <t xml:space="preserve">GFL_PL_11_07_S_carto2b_vert_pt10_04.dat</t>
  </si>
  <si>
    <t xml:space="preserve">GFL_PL_11_07_S_carto2b_vert_pt11_01.dat</t>
  </si>
  <si>
    <t xml:space="preserve">GFL_PL_11_07_S_carto2b_vert_pt11_02.dat</t>
  </si>
  <si>
    <t xml:space="preserve">GFL_PL_11_07_S_carto2b_vert_pt11_03.dat</t>
  </si>
  <si>
    <t xml:space="preserve">GFL_PL_11_07_S_carto2b_vert_pt11_04.dat</t>
  </si>
  <si>
    <t xml:space="preserve">GFL_PL_11_07_S_carto2b_vert_pt12_01.dat</t>
  </si>
  <si>
    <t xml:space="preserve">GFL_PL_11_07_S_carto2b_vert_pt12_02.dat</t>
  </si>
  <si>
    <t xml:space="preserve">GFL_PL_11_07_S_carto2b_vert_pt12_03.dat</t>
  </si>
  <si>
    <t xml:space="preserve">GFL_PL_11_07_S_carto2b_vert_pt12_04.dat</t>
  </si>
  <si>
    <t xml:space="preserve">GFL_PL_11_07_S_carto2b_vert_pt13_01.dat</t>
  </si>
  <si>
    <t xml:space="preserve">GFL_PL_11_07_S_carto2b_vert_pt13_02.dat</t>
  </si>
  <si>
    <t xml:space="preserve">GFL_PL_11_07_S_carto2b_vert_pt13_03.dat</t>
  </si>
  <si>
    <t xml:space="preserve">GFL_PL_11_07_S_carto2b_vert_pt13_04.dat</t>
  </si>
  <si>
    <t xml:space="preserve">GFL_PL_11_07_S_carto2b_vert_pt14_01.dat</t>
  </si>
  <si>
    <t xml:space="preserve">GFL_PL_11_07_S_carto2b_vert_pt14_02.dat</t>
  </si>
  <si>
    <t xml:space="preserve">GFL_PL_11_07_S_carto2b_vert_pt14_03.dat</t>
  </si>
  <si>
    <t xml:space="preserve">GFL_PL_11_07_S_carto2b_vert_pt14_04.dat</t>
  </si>
  <si>
    <t xml:space="preserve">GFL_PL_11_07_S_carto2b_vert_pt15_01.dat</t>
  </si>
  <si>
    <t xml:space="preserve">GFL_PL_11_07_S_carto2b_vert_pt15_02.dat</t>
  </si>
  <si>
    <t xml:space="preserve">GFL_PL_11_07_S_carto2b_vert_pt15_03.dat</t>
  </si>
  <si>
    <t xml:space="preserve">GFL_PL_11_07_S_carto2b_vert_pt15_04.dat</t>
  </si>
  <si>
    <t xml:space="preserve">GFL_PL_11_07_S_carto2b_vert_pt16_01.dat</t>
  </si>
  <si>
    <t xml:space="preserve">GFL_PL_11_07_S_carto2b_vert_pt16_02.dat</t>
  </si>
  <si>
    <t xml:space="preserve">GFL_PL_11_07_S_carto2b_vert_pt16_03.dat</t>
  </si>
  <si>
    <t xml:space="preserve">GFL_PL_11_07_S_carto2b_vert_pt16_04.dat</t>
  </si>
  <si>
    <t xml:space="preserve">GFL_PL_11_07_S_carto2b_vert_pt17_01.dat</t>
  </si>
  <si>
    <t xml:space="preserve">GFL_PL_11_07_S_carto2b_vert_pt17_02.dat</t>
  </si>
  <si>
    <t xml:space="preserve">GFL_PL_11_07_S_carto2b_vert_pt17_03.dat</t>
  </si>
  <si>
    <t xml:space="preserve">GFL_PL_11_07_S_carto2b_vert_pt17_04.dat</t>
  </si>
  <si>
    <t xml:space="preserve">GFL_PL_11_07_S_carto2b_vert_pt1_01.dat</t>
  </si>
  <si>
    <t xml:space="preserve">GFL_PL_11_07_S_carto2b_vert_pt1_02.dat</t>
  </si>
  <si>
    <t xml:space="preserve">GFL_PL_11_07_S_carto2b_vert_pt1_03.dat</t>
  </si>
  <si>
    <t xml:space="preserve">GFL_PL_11_07_S_carto2b_vert_pt1_04.dat</t>
  </si>
  <si>
    <t xml:space="preserve">GFL_PL_11_07_S_carto2b_vert_pt2_01.dat</t>
  </si>
  <si>
    <t xml:space="preserve">GFL_PL_11_07_S_carto2b_vert_pt2_02.dat</t>
  </si>
  <si>
    <t xml:space="preserve">GFL_PL_11_07_S_carto2b_vert_pt2_03.dat</t>
  </si>
  <si>
    <t xml:space="preserve">GFL_PL_11_07_S_carto2b_vert_pt2_04.dat</t>
  </si>
  <si>
    <t xml:space="preserve">GFL_PL_11_07_S_carto2b_vert_pt3_01.dat</t>
  </si>
  <si>
    <t xml:space="preserve">GFL_PL_11_07_S_carto2b_vert_pt3_02.dat</t>
  </si>
  <si>
    <t xml:space="preserve">GFL_PL_11_07_S_carto2b_vert_pt3_03.dat</t>
  </si>
  <si>
    <t xml:space="preserve">GFL_PL_11_07_S_carto2b_vert_pt3_04.dat</t>
  </si>
  <si>
    <t xml:space="preserve">GFL_PL_11_07_S_carto2b_vert_pt4_01.dat</t>
  </si>
  <si>
    <t xml:space="preserve">GFL_PL_11_07_S_carto2b_vert_pt4_02.dat</t>
  </si>
  <si>
    <t xml:space="preserve">GFL_PL_11_07_S_carto2b_vert_pt4_03.dat</t>
  </si>
  <si>
    <t xml:space="preserve">GFL_PL_11_07_S_carto2b_vert_pt4_04.dat</t>
  </si>
  <si>
    <t xml:space="preserve">GFL_PL_11_07_S_carto2b_vert_pt5_01.dat</t>
  </si>
  <si>
    <t xml:space="preserve">GFL_PL_11_07_S_carto2b_vert_pt5_02.dat</t>
  </si>
  <si>
    <t xml:space="preserve">GFL_PL_11_07_S_carto2b_vert_pt5_03.dat</t>
  </si>
  <si>
    <t xml:space="preserve">GFL_PL_11_07_S_carto2b_vert_pt5_04.dat</t>
  </si>
  <si>
    <t xml:space="preserve">GFL_PL_11_07_S_carto2b_vert_pt6_01.dat</t>
  </si>
  <si>
    <t xml:space="preserve">GFL_PL_11_07_S_carto2b_vert_pt6_02.dat</t>
  </si>
  <si>
    <t xml:space="preserve">GFL_PL_11_07_S_carto2b_vert_pt6_03.dat</t>
  </si>
  <si>
    <t xml:space="preserve">GFL_PL_11_07_S_carto2b_vert_pt6_04.dat</t>
  </si>
  <si>
    <t xml:space="preserve">GFL_PL_11_07_S_carto2b_vert_pt7_01.dat</t>
  </si>
  <si>
    <t xml:space="preserve">GFL_PL_11_07_S_carto2b_vert_pt7_02.dat</t>
  </si>
  <si>
    <t xml:space="preserve">GFL_PL_11_07_S_carto2b_vert_pt7_03.dat</t>
  </si>
  <si>
    <t xml:space="preserve">GFL_PL_11_07_S_carto2b_vert_pt7_04.dat</t>
  </si>
  <si>
    <t xml:space="preserve">GFL_PL_11_07_S_carto2b_vert_pt8_01.dat</t>
  </si>
  <si>
    <t xml:space="preserve">GFL_PL_11_07_S_carto2b_vert_pt8_02.dat</t>
  </si>
  <si>
    <t xml:space="preserve">GFL_PL_11_07_S_carto2b_vert_pt8_03.dat</t>
  </si>
  <si>
    <t xml:space="preserve">GFL_PL_11_07_S_carto2b_vert_pt8_04.dat</t>
  </si>
  <si>
    <t xml:space="preserve">GFL_PL_11_07_S_carto2b_vert_pt9_01.dat</t>
  </si>
  <si>
    <t xml:space="preserve">GFL_PL_11_07_S_carto2b_vert_pt9_02.dat</t>
  </si>
  <si>
    <t xml:space="preserve">GFL_PL_11_07_S_carto2b_vert_pt9_03.dat</t>
  </si>
  <si>
    <t xml:space="preserve">GFL_PL_11_07_S_carto2b_vert_pt9_04.dat</t>
  </si>
  <si>
    <t xml:space="preserve">GFL_PL_11_07_S_pt2_01.dat</t>
  </si>
  <si>
    <t xml:space="preserve">GFL_PL_11_07_S_pt3_01.dat</t>
  </si>
  <si>
    <t xml:space="preserve">GFL_PL_11_07_S_pt4_01.dat</t>
  </si>
  <si>
    <t xml:space="preserve">GFL_PL_11_07_S_pt5_01.dat</t>
  </si>
  <si>
    <t xml:space="preserve">GFL_PL_11_07_S_quick_01.dat</t>
  </si>
  <si>
    <t xml:space="preserve">GFL_PL_11_07_S_quick_02.dat</t>
  </si>
  <si>
    <t xml:space="preserve">GFL_PL_11_07_S_quick_03.dat</t>
  </si>
  <si>
    <t xml:space="preserve">GFL_PL_11_07_S_quick_04.dat</t>
  </si>
  <si>
    <t xml:space="preserve">GFL_PL_11_07_S_quick_05.dat</t>
  </si>
  <si>
    <t xml:space="preserve">GFL_PL_11_07_S_quick_06.dat</t>
  </si>
  <si>
    <t xml:space="preserve">GFL_PL_11_07_S_quick_07.dat</t>
  </si>
  <si>
    <t xml:space="preserve">GFL_PL_11_07_S_quick_08.dat</t>
  </si>
  <si>
    <t xml:space="preserve">GFL_PL_11_07_S_quick_09.dat</t>
  </si>
  <si>
    <t xml:space="preserve">GFL_PL_11_07_S_quick_10.dat</t>
  </si>
  <si>
    <t xml:space="preserve">GFL_PL_11_07_S_quick_full_01.dat</t>
  </si>
  <si>
    <t xml:space="preserve">GFL_PL_11_07_S_quick_full_02.dat</t>
  </si>
  <si>
    <t xml:space="preserve">GFL_PL_11_07_carto1lnew_S_POI10_03.dat</t>
  </si>
  <si>
    <t xml:space="preserve">GFL_PL_11_07_carto1lnew_S_POI11_01.dat</t>
  </si>
  <si>
    <t xml:space="preserve">GFL_PL_11_07_carto1lnew_S_POI12_01.dat</t>
  </si>
  <si>
    <t xml:space="preserve">GFL_PL_11_07_carto1lnew_S_POI1_03.dat</t>
  </si>
  <si>
    <t xml:space="preserve">GFL_PL_11_07_carto1lnew_S_POI2_03.dat</t>
  </si>
  <si>
    <t xml:space="preserve">GFL_PL_11_07_carto1lnew_S_POI3_03.dat</t>
  </si>
  <si>
    <t xml:space="preserve">GFL_PL_11_07_carto1lnew_S_POI4_03.dat</t>
  </si>
  <si>
    <t xml:space="preserve">GFL_PL_11_07_carto1lnew_S_POI5_03.dat</t>
  </si>
  <si>
    <t xml:space="preserve">GFL_PL_11_07_carto1lnew_S_POI6_03.dat</t>
  </si>
  <si>
    <t xml:space="preserve">GFL_PL_11_07_carto1lnew_S_POI7_03.dat</t>
  </si>
  <si>
    <t xml:space="preserve">GFL_PL_11_07_carto1lnew_S_POI8_03.dat</t>
  </si>
  <si>
    <t xml:space="preserve">GFL_PL_11_07_carto1new_S_POI10_01.dat</t>
  </si>
  <si>
    <t xml:space="preserve">GFL_PL_11_07_carto1new_S_POI10_02.dat</t>
  </si>
  <si>
    <t xml:space="preserve">GFL_PL_11_07_carto1new_S_POI1_01.dat</t>
  </si>
  <si>
    <t xml:space="preserve">GFL_PL_11_07_carto1new_S_POI1_02.dat</t>
  </si>
  <si>
    <t xml:space="preserve">GFL_PL_11_07_carto1new_S_POI1_03.dat</t>
  </si>
  <si>
    <t xml:space="preserve">GFL_PL_11_07_carto1new_S_POI2_01.dat</t>
  </si>
  <si>
    <t xml:space="preserve">GFL_PL_11_07_carto1new_S_POI2_02.dat</t>
  </si>
  <si>
    <t xml:space="preserve">GFL_PL_11_07_carto1new_S_POI3_01.dat</t>
  </si>
  <si>
    <t xml:space="preserve">GFL_PL_11_07_carto1new_S_POI3_02.dat</t>
  </si>
  <si>
    <t xml:space="preserve">GFL_PL_11_07_carto1new_S_POI4_01.dat</t>
  </si>
  <si>
    <t xml:space="preserve">GFL_PL_11_07_carto1new_S_POI4_02.dat</t>
  </si>
  <si>
    <t xml:space="preserve">GFL_PL_11_07_carto1new_S_POI5_01.dat</t>
  </si>
  <si>
    <t xml:space="preserve">GFL_PL_11_07_carto1new_S_POI5_02.dat</t>
  </si>
  <si>
    <t xml:space="preserve">GFL_PL_11_07_carto1new_S_POI6_01.dat</t>
  </si>
  <si>
    <t xml:space="preserve">GFL_PL_11_07_carto1new_S_POI6_02.dat</t>
  </si>
  <si>
    <t xml:space="preserve">GFL_PL_11_07_carto1new_S_POI7_01.dat</t>
  </si>
  <si>
    <t xml:space="preserve">GFL_PL_11_07_carto1new_S_POI7_02.dat</t>
  </si>
  <si>
    <t xml:space="preserve">GFL_PL_11_07_carto1new_S_POI8_01.dat</t>
  </si>
  <si>
    <t xml:space="preserve">GFL_PL_11_07_carto1new_S_POI8_02.dat</t>
  </si>
  <si>
    <t xml:space="preserve">GFL_PL_11_07_carto1new_S_POI9_01.dat</t>
  </si>
  <si>
    <t xml:space="preserve">GFL_PL_11_07_carto1new_S_POI9_02.dat</t>
  </si>
  <si>
    <t xml:space="preserve">GFL_PL_11_07_carto2new_S_POI1_01.dat</t>
  </si>
  <si>
    <t xml:space="preserve">GFL_PL_11_07_carto2new_S_POI2_01.dat</t>
  </si>
  <si>
    <t xml:space="preserve">GFL_PL_11_07_carto2new_S_POI3_01.dat</t>
  </si>
  <si>
    <t xml:space="preserve">GFL_PL_11_07_carto2new_S_POI4_01.dat</t>
  </si>
  <si>
    <t xml:space="preserve">GFL_PL_11_07_carto2new_S_POI5_01.dat</t>
  </si>
  <si>
    <t xml:space="preserve">GFL_PL_11_07_testS1_02.dat</t>
  </si>
  <si>
    <t xml:space="preserve">GFL_PL_11_07_testS1_03.dat</t>
  </si>
  <si>
    <t xml:space="preserve">GFL_PL_11_07_testS1_04.dat</t>
  </si>
  <si>
    <t xml:space="preserve">GFL_PL_11_07_testS1_05.dat</t>
  </si>
  <si>
    <t xml:space="preserve">GFL_PL_11_07_testS1_06.dat</t>
  </si>
  <si>
    <t xml:space="preserve">GFL_PL_11_07_testS1_07.dat</t>
  </si>
  <si>
    <t xml:space="preserve">GFL_PL_11_07_testS1_08.dat</t>
  </si>
  <si>
    <t xml:space="preserve">GFL_PL_777_08_01_S_CORE_pt1_04.dat</t>
  </si>
  <si>
    <t xml:space="preserve">GFL_PL_777_08_01_S_CORE_pt1_05.dat</t>
  </si>
  <si>
    <t xml:space="preserve">GFL_PL_777_08_01_S_CORE_pt2_04.dat</t>
  </si>
  <si>
    <t xml:space="preserve">GFL_PL_777_08_01_S_CORE_pt2_05.dat</t>
  </si>
  <si>
    <t xml:space="preserve">GFL_PL_777_08_01_S_carto_POI10_01.dat</t>
  </si>
  <si>
    <t xml:space="preserve">GFL_PL_777_08_01_S_carto_POI10_02.dat</t>
  </si>
  <si>
    <t xml:space="preserve">GFL_PL_777_08_01_S_carto_POI11_01.dat</t>
  </si>
  <si>
    <t xml:space="preserve">GFL_PL_777_08_01_S_carto_POI11_02.dat</t>
  </si>
  <si>
    <t xml:space="preserve">GFL_PL_777_08_01_S_carto_POI12_01.dat</t>
  </si>
  <si>
    <t xml:space="preserve">GFL_PL_777_08_01_S_carto_POI12_02.dat</t>
  </si>
  <si>
    <t xml:space="preserve">GFL_PL_777_08_01_S_carto_POI13_01.dat</t>
  </si>
  <si>
    <t xml:space="preserve">GFL_PL_777_08_01_S_carto_POI13_02.dat</t>
  </si>
  <si>
    <t xml:space="preserve">GFL_PL_777_08_01_S_carto_POI14_01.dat</t>
  </si>
  <si>
    <t xml:space="preserve">GFL_PL_777_08_01_S_carto_POI14_02.dat</t>
  </si>
  <si>
    <t xml:space="preserve">GFL_PL_777_08_01_S_carto_POI15_01.dat</t>
  </si>
  <si>
    <t xml:space="preserve">GFL_PL_777_08_01_S_carto_POI15_02.dat</t>
  </si>
  <si>
    <t xml:space="preserve">GFL_PL_777_08_01_S_carto_POI15_03.dat</t>
  </si>
  <si>
    <t xml:space="preserve">GFL_PL_777_08_01_S_carto_POI16_01.dat</t>
  </si>
  <si>
    <t xml:space="preserve">GFL_PL_777_08_01_S_carto_POI16_02.dat</t>
  </si>
  <si>
    <t xml:space="preserve">GFL_PL_777_08_01_S_carto_POI17_01.dat</t>
  </si>
  <si>
    <t xml:space="preserve">GFL_PL_777_08_01_S_carto_POI17_02.dat</t>
  </si>
  <si>
    <t xml:space="preserve">GFL_PL_777_08_01_S_carto_POI17_03.dat</t>
  </si>
  <si>
    <t xml:space="preserve">GFL_PL_777_08_01_S_carto_POI18_01.dat</t>
  </si>
  <si>
    <t xml:space="preserve">GFL_PL_777_08_01_S_carto_POI18_02.dat</t>
  </si>
  <si>
    <t xml:space="preserve">GFL_PL_777_08_01_S_carto_POI1_01.dat</t>
  </si>
  <si>
    <t xml:space="preserve">GFL_PL_777_08_01_S_carto_POI1_02.dat</t>
  </si>
  <si>
    <t xml:space="preserve">GFL_PL_777_08_01_S_carto_POI2_01.dat</t>
  </si>
  <si>
    <t xml:space="preserve">GFL_PL_777_08_01_S_carto_POI2_02.dat</t>
  </si>
  <si>
    <t xml:space="preserve">GFL_PL_777_08_01_S_carto_POI3_01.dat</t>
  </si>
  <si>
    <t xml:space="preserve">GFL_PL_777_08_01_S_carto_POI3_02.dat</t>
  </si>
  <si>
    <t xml:space="preserve">GFL_PL_777_08_01_S_carto_POI4_01.dat</t>
  </si>
  <si>
    <t xml:space="preserve">GFL_PL_777_08_01_S_carto_POI4_02.dat</t>
  </si>
  <si>
    <t xml:space="preserve">GFL_PL_777_08_01_S_carto_POI5_01.dat</t>
  </si>
  <si>
    <t xml:space="preserve">GFL_PL_777_08_01_S_carto_POI5_02.dat</t>
  </si>
  <si>
    <t xml:space="preserve">GFL_PL_777_08_01_S_carto_POI5_03.dat</t>
  </si>
  <si>
    <t xml:space="preserve">GFL_PL_777_08_01_S_carto_POI6_01.dat</t>
  </si>
  <si>
    <t xml:space="preserve">GFL_PL_777_08_01_S_carto_POI6_02.dat</t>
  </si>
  <si>
    <t xml:space="preserve">GFL_PL_777_08_01_S_carto_POI7_01.dat</t>
  </si>
  <si>
    <t xml:space="preserve">GFL_PL_777_08_01_S_carto_POI7_02.dat</t>
  </si>
  <si>
    <t xml:space="preserve">GFL_PL_777_08_01_S_carto_POI7_03.dat</t>
  </si>
  <si>
    <t xml:space="preserve">GFL_PL_777_08_01_S_carto_POI8_01.dat</t>
  </si>
  <si>
    <t xml:space="preserve">GFL_PL_777_08_01_S_carto_POI8_02.dat</t>
  </si>
  <si>
    <t xml:space="preserve">GFL_PL_777_08_01_S_carto_POI9_01.dat</t>
  </si>
  <si>
    <t xml:space="preserve">GFL_PL_777_08_01_S_carto_POI9_02.dat</t>
  </si>
  <si>
    <t xml:space="preserve">Produit</t>
  </si>
  <si>
    <t xml:space="preserve">T (C)</t>
  </si>
  <si>
    <t xml:space="preserve">T (K)</t>
  </si>
  <si>
    <t xml:space="preserve">1/T</t>
  </si>
  <si>
    <t xml:space="preserve">SiO2</t>
  </si>
  <si>
    <t xml:space="preserve">Al2O3</t>
  </si>
  <si>
    <t xml:space="preserve">MgO</t>
  </si>
  <si>
    <t xml:space="preserve">CaO</t>
  </si>
  <si>
    <t xml:space="preserve">FeO</t>
  </si>
  <si>
    <t xml:space="preserve">TiO2</t>
  </si>
  <si>
    <t xml:space="preserve">K2O</t>
  </si>
  <si>
    <t xml:space="preserve">Na2O</t>
  </si>
  <si>
    <t xml:space="preserve">MnO</t>
  </si>
  <si>
    <t xml:space="preserve">Total</t>
  </si>
  <si>
    <t xml:space="preserve">Fe3/FeTOT</t>
  </si>
  <si>
    <t xml:space="preserve">Fe0.67O</t>
  </si>
  <si>
    <t xml:space="preserve">Sum</t>
  </si>
  <si>
    <t xml:space="preserve">SiO2 mol</t>
  </si>
  <si>
    <t xml:space="preserve">Al2O3mol</t>
  </si>
  <si>
    <t xml:space="preserve">MgOmol</t>
  </si>
  <si>
    <t xml:space="preserve">CaOmol</t>
  </si>
  <si>
    <t xml:space="preserve">FeO  mol</t>
  </si>
  <si>
    <t xml:space="preserve">Fe0.67O mol</t>
  </si>
  <si>
    <t xml:space="preserve">TiO2  mol</t>
  </si>
  <si>
    <t xml:space="preserve">K2O mol</t>
  </si>
  <si>
    <t xml:space="preserve">Na2O mol</t>
  </si>
  <si>
    <t xml:space="preserve">MnO mol</t>
  </si>
  <si>
    <t xml:space="preserve">log CS2-</t>
  </si>
  <si>
    <t xml:space="preserve">log CS6+</t>
  </si>
  <si>
    <t xml:space="preserve">CS2-</t>
  </si>
  <si>
    <t xml:space="preserve">CS6+</t>
  </si>
  <si>
    <t xml:space="preserve">log fO2</t>
  </si>
  <si>
    <t xml:space="preserve">fO2</t>
  </si>
  <si>
    <t xml:space="preserve">K6</t>
  </si>
  <si>
    <t xml:space="preserve">S6/S2</t>
  </si>
  <si>
    <t xml:space="preserve">S6, obs</t>
  </si>
  <si>
    <t xml:space="preserve">GFL-PL-780-11-07</t>
  </si>
  <si>
    <t xml:space="preserve">GFL-PL-778-08-PBT01</t>
  </si>
  <si>
    <t xml:space="preserve">MAY04-DR09-01-05a</t>
  </si>
  <si>
    <t xml:space="preserve">GFL-DR21-01</t>
  </si>
  <si>
    <t xml:space="preserve">MSE</t>
  </si>
  <si>
    <t xml:space="preserve">Case</t>
  </si>
  <si>
    <t xml:space="preserve">Sample</t>
  </si>
  <si>
    <t xml:space="preserve">logfO2 MELTS OSaS</t>
  </si>
  <si>
    <t xml:space="preserve">dFMQ</t>
  </si>
  <si>
    <t xml:space="preserve">mu O2 kJ</t>
  </si>
  <si>
    <t xml:space="preserve">mu0 O2 kJ</t>
  </si>
  <si>
    <t xml:space="preserve">mu SiO2 liq kJ</t>
  </si>
  <si>
    <t xml:space="preserve">mu Fe3O4 corrected kJ</t>
  </si>
  <si>
    <t xml:space="preserve">mu Fe3O4 uncorrected kJ</t>
  </si>
  <si>
    <t xml:space="preserve">muFe2SiO4 kJ</t>
  </si>
  <si>
    <t xml:space="preserve">PL-777</t>
  </si>
  <si>
    <t xml:space="preserve">DR08</t>
  </si>
  <si>
    <t xml:space="preserve">PL-780</t>
  </si>
  <si>
    <t xml:space="preserve">DR03</t>
  </si>
  <si>
    <t xml:space="preserve">DR05</t>
  </si>
  <si>
    <t xml:space="preserve">DR06</t>
  </si>
  <si>
    <t xml:space="preserve">DR09</t>
  </si>
  <si>
    <t xml:space="preserve">DR22</t>
  </si>
  <si>
    <t xml:space="preserve">DR21</t>
  </si>
  <si>
    <t xml:space="preserve">DR07</t>
  </si>
  <si>
    <t xml:space="preserve">DR13</t>
  </si>
  <si>
    <t xml:space="preserve">abbrev</t>
  </si>
  <si>
    <t xml:space="preserve">sio2</t>
  </si>
  <si>
    <t xml:space="preserve">tio2</t>
  </si>
  <si>
    <t xml:space="preserve">al2o3</t>
  </si>
  <si>
    <t xml:space="preserve">feo</t>
  </si>
  <si>
    <t xml:space="preserve">mno</t>
  </si>
  <si>
    <t xml:space="preserve">mgo</t>
  </si>
  <si>
    <t xml:space="preserve">cao</t>
  </si>
  <si>
    <t xml:space="preserve">na2o</t>
  </si>
  <si>
    <t xml:space="preserve">k2o</t>
  </si>
  <si>
    <t xml:space="preserve">p2o5</t>
  </si>
  <si>
    <t xml:space="preserve">h2o</t>
  </si>
  <si>
    <t xml:space="preserve">S_</t>
  </si>
  <si>
    <t xml:space="preserve">ese_S_</t>
  </si>
  <si>
    <t xml:space="preserve">F_</t>
  </si>
  <si>
    <t xml:space="preserve">ese_F_</t>
  </si>
  <si>
    <t xml:space="preserve">Cl_</t>
  </si>
  <si>
    <t xml:space="preserve">ese_Cl_</t>
  </si>
  <si>
    <t xml:space="preserve">Mg#</t>
  </si>
  <si>
    <t xml:space="preserve">Fe3</t>
  </si>
  <si>
    <t xml:space="preserve">Fe3/Fe2</t>
  </si>
  <si>
    <t xml:space="preserve">S6</t>
  </si>
  <si>
    <t xml:space="preserve">S6_meas</t>
  </si>
  <si>
    <t xml:space="preserve">C</t>
  </si>
  <si>
    <t xml:space="preserve">M</t>
  </si>
  <si>
    <t xml:space="preserve">K</t>
  </si>
  <si>
    <t xml:space="preserve">T_start</t>
  </si>
  <si>
    <t xml:space="preserve">comment</t>
  </si>
  <si>
    <t xml:space="preserve">abbrev_save</t>
  </si>
  <si>
    <t xml:space="preserve">T_start_save</t>
  </si>
  <si>
    <t xml:space="preserve">h2o_save</t>
  </si>
  <si>
    <t xml:space="preserve">S6_jugo</t>
  </si>
  <si>
    <t xml:space="preserve">log_fo2_Boulliung2023_CalcOnS6</t>
  </si>
  <si>
    <t xml:space="preserve">FMQ</t>
  </si>
  <si>
    <t xml:space="preserve">dFMQ_Boulliung2023</t>
  </si>
  <si>
    <t xml:space="preserve">NSW log S6/S2</t>
  </si>
  <si>
    <t xml:space="preserve">NSW S6/Stot</t>
  </si>
  <si>
    <t xml:space="preserve">Ju test</t>
  </si>
  <si>
    <t xml:space="preserve">Include</t>
  </si>
  <si>
    <t xml:space="preserve">Ol_Fa_prop</t>
  </si>
  <si>
    <r>
      <rPr>
        <sz val="10"/>
        <rFont val="Arial"/>
        <family val="2"/>
        <charset val="1"/>
      </rPr>
      <t xml:space="preserve">MAY-</t>
    </r>
    <r>
      <rPr>
        <sz val="12"/>
        <rFont val="Arial"/>
        <family val="2"/>
        <charset val="1"/>
      </rPr>
      <t xml:space="preserve">DR-08-02</t>
    </r>
  </si>
  <si>
    <t xml:space="preserve">DR17</t>
  </si>
  <si>
    <t xml:space="preserve">0.503921568627451</t>
  </si>
  <si>
    <t xml:space="preserve">0.9999810273487268</t>
  </si>
  <si>
    <t xml:space="preserve">0.7049255469061472</t>
  </si>
  <si>
    <t xml:space="preserve">1.0</t>
  </si>
  <si>
    <t xml:space="preserve">S6: median of mafic samples</t>
  </si>
  <si>
    <t xml:space="preserve">0.8333333333333333</t>
  </si>
  <si>
    <t xml:space="preserve">0.8660254037844387</t>
  </si>
  <si>
    <t xml:space="preserve">0.5000000000000001</t>
  </si>
  <si>
    <t xml:space="preserve">0.3313725490196078</t>
  </si>
  <si>
    <t xml:space="preserve">0.965124085200289</t>
  </si>
  <si>
    <t xml:space="preserve">0.7942898895752861</t>
  </si>
  <si>
    <t xml:space="preserve">0.7005430375932911</t>
  </si>
  <si>
    <t xml:space="preserve">0.37841105004231035</t>
  </si>
  <si>
    <t xml:space="preserve">0.16666666666666663</t>
  </si>
  <si>
    <t xml:space="preserve">0.8660254037844386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</si>
</sst>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0"/>
    <numFmt numFmtId="167" formatCode="0"/>
    <numFmt numFmtId="168" formatCode="0.000"/>
    <numFmt numFmtId="169" formatCode="0.000000"/>
    <numFmt numFmtId="170" formatCode="0.0000"/>
    <numFmt numFmtId="171" formatCode="&quot;VRAI&quot;;&quot;VRAI&quot;;&quot;FAUX&quot;"/>
  </numFmts>
  <fonts count="2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999999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999999"/>
      <name val="Arial"/>
      <family val="2"/>
      <charset val="1"/>
    </font>
    <font>
      <sz val="12"/>
      <color rgb="FF000000"/>
      <name val="Calibri"/>
      <family val="0"/>
      <charset val="1"/>
    </font>
    <font>
      <sz val="12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000000"/>
      <name val="Arial"/>
      <family val="2"/>
      <charset val="1"/>
    </font>
    <font>
      <sz val="12"/>
      <color rgb="FFFF0000"/>
      <name val="Calibri"/>
      <family val="2"/>
      <charset val="1"/>
    </font>
    <font>
      <b val="true"/>
      <sz val="11"/>
      <name val="Cambria"/>
      <family val="0"/>
      <charset val="1"/>
    </font>
    <font>
      <sz val="10"/>
      <color rgb="FF000000"/>
      <name val="Arial"/>
      <family val="2"/>
      <charset val="1"/>
    </font>
    <font>
      <sz val="12"/>
      <color rgb="FF2A6099"/>
      <name val="Arial"/>
      <family val="2"/>
      <charset val="1"/>
    </font>
    <font>
      <sz val="12"/>
      <color rgb="FF2A6099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EEEEEE"/>
        <bgColor rgb="FFDEE7E5"/>
      </patternFill>
    </fill>
    <fill>
      <patternFill patternType="solid">
        <fgColor rgb="FFF6F9D4"/>
        <bgColor rgb="FFFFF5CE"/>
      </patternFill>
    </fill>
    <fill>
      <patternFill patternType="solid">
        <fgColor rgb="FFDEE6EF"/>
        <bgColor rgb="FFDEE7E5"/>
      </patternFill>
    </fill>
    <fill>
      <patternFill patternType="solid">
        <fgColor rgb="FFFFFFFF"/>
        <bgColor rgb="FFFFFFD7"/>
      </patternFill>
    </fill>
    <fill>
      <patternFill patternType="solid">
        <fgColor rgb="FFE0C2CD"/>
        <bgColor rgb="FFF7D1D5"/>
      </patternFill>
    </fill>
    <fill>
      <patternFill patternType="solid">
        <fgColor rgb="FFFFFFD7"/>
        <bgColor rgb="FFF6F9D4"/>
      </patternFill>
    </fill>
    <fill>
      <patternFill patternType="solid">
        <fgColor rgb="FFF7D1D5"/>
        <bgColor rgb="FFFFD7D7"/>
      </patternFill>
    </fill>
    <fill>
      <patternFill patternType="solid">
        <fgColor rgb="FFDEE7E5"/>
        <bgColor rgb="FFDEE6EF"/>
      </patternFill>
    </fill>
    <fill>
      <patternFill patternType="solid">
        <fgColor rgb="FFDDE8CB"/>
        <bgColor rgb="FFDEE7E5"/>
      </patternFill>
    </fill>
    <fill>
      <patternFill patternType="solid">
        <fgColor rgb="FFFFDBB6"/>
        <bgColor rgb="FFFFD7D7"/>
      </patternFill>
    </fill>
    <fill>
      <patternFill patternType="solid">
        <fgColor rgb="FFFFD7D7"/>
        <bgColor rgb="FFF7D1D5"/>
      </patternFill>
    </fill>
    <fill>
      <patternFill patternType="solid">
        <fgColor rgb="FFFFF5CE"/>
        <bgColor rgb="FFF6F9D4"/>
      </patternFill>
    </fill>
    <fill>
      <patternFill patternType="solid">
        <fgColor rgb="FFB9CDE5"/>
        <bgColor rgb="FFE0C2CD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5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6F9D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D7"/>
      <rgbColor rgb="FFDEE6EF"/>
      <rgbColor rgb="FF660066"/>
      <rgbColor rgb="FFFF8080"/>
      <rgbColor rgb="FF2A6099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7E5"/>
      <rgbColor rgb="FFDDE8CB"/>
      <rgbColor rgb="FFFFF5CE"/>
      <rgbColor rgb="FFEEEEEE"/>
      <rgbColor rgb="FFE0C2CD"/>
      <rgbColor rgb="FFF7D1D5"/>
      <rgbColor rgb="FFFFDBB6"/>
      <rgbColor rgb="FF3366FF"/>
      <rgbColor rgb="FF33CCCC"/>
      <rgbColor rgb="FF99CC00"/>
      <rgbColor rgb="FFFFD7D7"/>
      <rgbColor rgb="FFFF9900"/>
      <rgbColor rgb="FFFF6600"/>
      <rgbColor rgb="FF666699"/>
      <rgbColor rgb="FF999999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S_!$V$1:$V$1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og"/>
            <c:forward val="0"/>
            <c:backward val="0"/>
            <c:dispRSqr val="0"/>
            <c:dispEq val="1"/>
          </c:trendline>
          <c:xVal>
            <c:numRef>
              <c:f>S_!$U$2:$U$7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S_!$V$2:$V$7</c:f>
              <c:numCache>
                <c:formatCode>General</c:formatCode>
                <c:ptCount val="6"/>
                <c:pt idx="0">
                  <c:v>0.074</c:v>
                </c:pt>
                <c:pt idx="1">
                  <c:v>0.094</c:v>
                </c:pt>
                <c:pt idx="2">
                  <c:v>0.104</c:v>
                </c:pt>
                <c:pt idx="3">
                  <c:v>0.107</c:v>
                </c:pt>
                <c:pt idx="4">
                  <c:v>0.137</c:v>
                </c:pt>
                <c:pt idx="5">
                  <c:v>0.141</c:v>
                </c:pt>
              </c:numCache>
            </c:numRef>
          </c:yVal>
          <c:smooth val="0"/>
        </c:ser>
        <c:axId val="42138641"/>
        <c:axId val="29293511"/>
      </c:scatterChart>
      <c:valAx>
        <c:axId val="4213864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293511"/>
        <c:crosses val="autoZero"/>
        <c:crossBetween val="midCat"/>
      </c:valAx>
      <c:valAx>
        <c:axId val="292935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213864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431640</xdr:colOff>
      <xdr:row>7</xdr:row>
      <xdr:rowOff>23040</xdr:rowOff>
    </xdr:from>
    <xdr:to>
      <xdr:col>28</xdr:col>
      <xdr:colOff>492840</xdr:colOff>
      <xdr:row>27</xdr:row>
      <xdr:rowOff>6480</xdr:rowOff>
    </xdr:to>
    <xdr:graphicFrame>
      <xdr:nvGraphicFramePr>
        <xdr:cNvPr id="0" name=""/>
        <xdr:cNvGraphicFramePr/>
      </xdr:nvGraphicFramePr>
      <xdr:xfrm>
        <a:off x="19659600" y="1161000"/>
        <a:ext cx="578628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82"/>
  <sheetViews>
    <sheetView showFormulas="false" showGridLines="true" showRowColHeaders="true" showZeros="true" rightToLeft="false" tabSelected="false" showOutlineSymbols="true" defaultGridColor="true" view="normal" topLeftCell="A7" colorId="64" zoomScale="55" zoomScaleNormal="55" zoomScalePageLayoutView="100" workbookViewId="0">
      <selection pane="topLeft" activeCell="O46" activeCellId="0" sqref="O46"/>
    </sheetView>
  </sheetViews>
  <sheetFormatPr defaultColWidth="11.55078125" defaultRowHeight="15" zeroHeight="false" outlineLevelRow="0" outlineLevelCol="0"/>
  <cols>
    <col collapsed="false" customWidth="true" hidden="false" outlineLevel="0" max="1" min="1" style="1" width="4.41"/>
    <col collapsed="false" customWidth="true" hidden="false" outlineLevel="0" max="2" min="2" style="1" width="34.72"/>
    <col collapsed="false" customWidth="true" hidden="false" outlineLevel="0" max="3" min="3" style="1" width="24.21"/>
    <col collapsed="false" customWidth="true" hidden="false" outlineLevel="0" max="4" min="4" style="1" width="18"/>
    <col collapsed="false" customWidth="true" hidden="false" outlineLevel="0" max="5" min="5" style="1" width="11.11"/>
    <col collapsed="false" customWidth="true" hidden="false" outlineLevel="0" max="7" min="6" style="1" width="8.81"/>
    <col collapsed="false" customWidth="true" hidden="false" outlineLevel="0" max="8" min="8" style="1" width="13.63"/>
    <col collapsed="false" customWidth="true" hidden="false" outlineLevel="0" max="9" min="9" style="1" width="10.19"/>
    <col collapsed="false" customWidth="true" hidden="false" outlineLevel="0" max="10" min="10" style="1" width="18.82"/>
    <col collapsed="false" customWidth="true" hidden="false" outlineLevel="0" max="11" min="11" style="2" width="21.02"/>
    <col collapsed="false" customWidth="true" hidden="false" outlineLevel="0" max="12" min="12" style="1" width="11.84"/>
    <col collapsed="false" customWidth="false" hidden="false" outlineLevel="0" max="1023" min="13" style="1" width="11.54"/>
  </cols>
  <sheetData>
    <row r="1" customFormat="false" ht="15" hidden="false" customHeight="false" outlineLevel="0" collapsed="false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="5" customFormat="true" ht="15" hidden="false" customHeight="false" outlineLevel="0" collapsed="false">
      <c r="A2" s="5" t="n">
        <v>0</v>
      </c>
      <c r="B2" s="5" t="s">
        <v>14</v>
      </c>
      <c r="C2" s="6" t="s">
        <v>15</v>
      </c>
      <c r="D2" s="7"/>
      <c r="E2" s="5" t="n">
        <v>1</v>
      </c>
      <c r="F2" s="5" t="s">
        <v>16</v>
      </c>
      <c r="G2" s="5" t="s">
        <v>17</v>
      </c>
      <c r="H2" s="5" t="s">
        <v>18</v>
      </c>
      <c r="I2" s="5" t="s">
        <v>19</v>
      </c>
      <c r="J2" s="5" t="s">
        <v>20</v>
      </c>
      <c r="K2" s="8" t="s">
        <v>21</v>
      </c>
      <c r="L2" s="5" t="n">
        <v>0.22</v>
      </c>
      <c r="M2" s="9" t="n">
        <f aca="false">AVERAGE(L2:L6)</f>
        <v>0.22</v>
      </c>
      <c r="N2" s="10" t="n">
        <f aca="false">STDEV(L2:L6)</f>
        <v>0</v>
      </c>
      <c r="AMJ2" s="11"/>
    </row>
    <row r="3" s="12" customFormat="true" ht="15" hidden="false" customHeight="false" outlineLevel="0" collapsed="false">
      <c r="A3" s="12" t="n">
        <v>1</v>
      </c>
      <c r="B3" s="12" t="s">
        <v>22</v>
      </c>
      <c r="C3" s="6" t="s">
        <v>15</v>
      </c>
      <c r="D3" s="13"/>
      <c r="E3" s="12" t="n">
        <v>1</v>
      </c>
      <c r="F3" s="12" t="s">
        <v>23</v>
      </c>
      <c r="G3" s="12" t="s">
        <v>24</v>
      </c>
      <c r="H3" s="12" t="s">
        <v>25</v>
      </c>
      <c r="I3" s="12" t="s">
        <v>26</v>
      </c>
      <c r="J3" s="12" t="s">
        <v>27</v>
      </c>
      <c r="K3" s="14" t="s">
        <v>28</v>
      </c>
      <c r="L3" s="12" t="n">
        <v>0.22</v>
      </c>
      <c r="AMJ3" s="11"/>
    </row>
    <row r="4" s="12" customFormat="true" ht="15" hidden="false" customHeight="false" outlineLevel="0" collapsed="false">
      <c r="A4" s="12" t="n">
        <v>2</v>
      </c>
      <c r="B4" s="12" t="s">
        <v>29</v>
      </c>
      <c r="C4" s="6" t="s">
        <v>15</v>
      </c>
      <c r="D4" s="13"/>
      <c r="E4" s="12" t="n">
        <v>1</v>
      </c>
      <c r="F4" s="12" t="s">
        <v>30</v>
      </c>
      <c r="G4" s="12" t="s">
        <v>31</v>
      </c>
      <c r="H4" s="12" t="s">
        <v>32</v>
      </c>
      <c r="I4" s="12" t="s">
        <v>33</v>
      </c>
      <c r="J4" s="12" t="s">
        <v>34</v>
      </c>
      <c r="K4" s="14" t="s">
        <v>28</v>
      </c>
      <c r="L4" s="12" t="n">
        <v>0.22</v>
      </c>
      <c r="AMJ4" s="11"/>
    </row>
    <row r="5" s="12" customFormat="true" ht="15" hidden="false" customHeight="false" outlineLevel="0" collapsed="false">
      <c r="A5" s="12" t="n">
        <v>3</v>
      </c>
      <c r="B5" s="12" t="s">
        <v>35</v>
      </c>
      <c r="C5" s="6" t="s">
        <v>15</v>
      </c>
      <c r="D5" s="13"/>
      <c r="E5" s="12" t="n">
        <v>1</v>
      </c>
      <c r="F5" s="12" t="s">
        <v>36</v>
      </c>
      <c r="G5" s="12" t="s">
        <v>37</v>
      </c>
      <c r="H5" s="12" t="s">
        <v>38</v>
      </c>
      <c r="I5" s="12" t="s">
        <v>39</v>
      </c>
      <c r="J5" s="12" t="s">
        <v>40</v>
      </c>
      <c r="K5" s="14" t="s">
        <v>28</v>
      </c>
      <c r="L5" s="12" t="n">
        <v>0.22</v>
      </c>
      <c r="AMJ5" s="11"/>
    </row>
    <row r="6" s="15" customFormat="true" ht="15" hidden="false" customHeight="false" outlineLevel="0" collapsed="false">
      <c r="A6" s="15" t="n">
        <v>4</v>
      </c>
      <c r="B6" s="15" t="s">
        <v>41</v>
      </c>
      <c r="C6" s="6" t="s">
        <v>15</v>
      </c>
      <c r="D6" s="16"/>
      <c r="E6" s="15" t="n">
        <v>1</v>
      </c>
      <c r="F6" s="15" t="s">
        <v>42</v>
      </c>
      <c r="G6" s="15" t="s">
        <v>43</v>
      </c>
      <c r="H6" s="15" t="s">
        <v>44</v>
      </c>
      <c r="I6" s="15" t="s">
        <v>45</v>
      </c>
      <c r="J6" s="15" t="s">
        <v>46</v>
      </c>
      <c r="K6" s="17" t="s">
        <v>28</v>
      </c>
      <c r="L6" s="15" t="n">
        <v>0.22</v>
      </c>
      <c r="AMJ6" s="11"/>
    </row>
    <row r="7" s="18" customFormat="true" ht="15" hidden="false" customHeight="false" outlineLevel="0" collapsed="false">
      <c r="A7" s="18" t="n">
        <v>8</v>
      </c>
      <c r="B7" s="18" t="s">
        <v>47</v>
      </c>
      <c r="C7" s="19" t="s">
        <v>48</v>
      </c>
      <c r="D7" s="20"/>
      <c r="E7" s="18" t="n">
        <v>1</v>
      </c>
      <c r="F7" s="18" t="s">
        <v>49</v>
      </c>
      <c r="G7" s="18" t="s">
        <v>50</v>
      </c>
      <c r="H7" s="18" t="s">
        <v>51</v>
      </c>
      <c r="I7" s="18" t="s">
        <v>52</v>
      </c>
      <c r="J7" s="18" t="s">
        <v>53</v>
      </c>
      <c r="K7" s="21" t="s">
        <v>54</v>
      </c>
      <c r="L7" s="18" t="n">
        <v>0.23</v>
      </c>
      <c r="M7" s="22" t="n">
        <f aca="false">AVERAGE(L7:L11)</f>
        <v>0.23</v>
      </c>
      <c r="N7" s="23" t="n">
        <f aca="false">STDEV(L7:L11)</f>
        <v>0</v>
      </c>
      <c r="O7" s="22" t="n">
        <v>0.03</v>
      </c>
      <c r="P7" s="22" t="n">
        <v>0.01</v>
      </c>
      <c r="AMJ7" s="11"/>
    </row>
    <row r="8" s="24" customFormat="true" ht="15" hidden="false" customHeight="false" outlineLevel="0" collapsed="false">
      <c r="A8" s="24" t="n">
        <v>9</v>
      </c>
      <c r="B8" s="24" t="s">
        <v>55</v>
      </c>
      <c r="C8" s="19" t="s">
        <v>48</v>
      </c>
      <c r="D8" s="25"/>
      <c r="E8" s="24" t="n">
        <v>1</v>
      </c>
      <c r="F8" s="24" t="s">
        <v>56</v>
      </c>
      <c r="G8" s="24" t="s">
        <v>57</v>
      </c>
      <c r="H8" s="24" t="s">
        <v>58</v>
      </c>
      <c r="I8" s="24" t="s">
        <v>59</v>
      </c>
      <c r="J8" s="24" t="s">
        <v>60</v>
      </c>
      <c r="K8" s="26" t="s">
        <v>54</v>
      </c>
      <c r="L8" s="24" t="n">
        <v>0.23</v>
      </c>
      <c r="AMJ8" s="11"/>
    </row>
    <row r="9" s="24" customFormat="true" ht="15" hidden="false" customHeight="false" outlineLevel="0" collapsed="false">
      <c r="A9" s="24" t="n">
        <v>10</v>
      </c>
      <c r="B9" s="24" t="s">
        <v>61</v>
      </c>
      <c r="C9" s="19" t="s">
        <v>48</v>
      </c>
      <c r="D9" s="25"/>
      <c r="E9" s="24" t="n">
        <v>1</v>
      </c>
      <c r="F9" s="24" t="s">
        <v>62</v>
      </c>
      <c r="G9" s="24" t="s">
        <v>63</v>
      </c>
      <c r="H9" s="24" t="s">
        <v>64</v>
      </c>
      <c r="I9" s="24" t="s">
        <v>52</v>
      </c>
      <c r="J9" s="24" t="s">
        <v>65</v>
      </c>
      <c r="K9" s="26" t="s">
        <v>54</v>
      </c>
      <c r="L9" s="24" t="n">
        <v>0.23</v>
      </c>
      <c r="AMJ9" s="11"/>
    </row>
    <row r="10" s="24" customFormat="true" ht="15" hidden="false" customHeight="false" outlineLevel="0" collapsed="false">
      <c r="A10" s="24" t="n">
        <v>11</v>
      </c>
      <c r="B10" s="24" t="s">
        <v>66</v>
      </c>
      <c r="C10" s="19" t="s">
        <v>48</v>
      </c>
      <c r="D10" s="25"/>
      <c r="E10" s="24" t="n">
        <v>1</v>
      </c>
      <c r="F10" s="24" t="s">
        <v>67</v>
      </c>
      <c r="G10" s="24" t="s">
        <v>57</v>
      </c>
      <c r="H10" s="24" t="s">
        <v>68</v>
      </c>
      <c r="I10" s="24" t="s">
        <v>69</v>
      </c>
      <c r="J10" s="24" t="s">
        <v>70</v>
      </c>
      <c r="K10" s="26" t="s">
        <v>54</v>
      </c>
      <c r="L10" s="24" t="n">
        <v>0.23</v>
      </c>
      <c r="AMJ10" s="11"/>
    </row>
    <row r="11" s="27" customFormat="true" ht="15" hidden="false" customHeight="false" outlineLevel="0" collapsed="false">
      <c r="A11" s="27" t="n">
        <v>12</v>
      </c>
      <c r="B11" s="27" t="s">
        <v>71</v>
      </c>
      <c r="C11" s="19" t="s">
        <v>48</v>
      </c>
      <c r="D11" s="28"/>
      <c r="E11" s="27" t="n">
        <v>1</v>
      </c>
      <c r="F11" s="27" t="s">
        <v>72</v>
      </c>
      <c r="G11" s="27" t="s">
        <v>63</v>
      </c>
      <c r="H11" s="27" t="s">
        <v>58</v>
      </c>
      <c r="I11" s="27" t="s">
        <v>73</v>
      </c>
      <c r="J11" s="27" t="s">
        <v>74</v>
      </c>
      <c r="K11" s="29" t="s">
        <v>54</v>
      </c>
      <c r="L11" s="27" t="n">
        <v>0.23</v>
      </c>
      <c r="AMJ11" s="11"/>
    </row>
    <row r="12" s="30" customFormat="true" ht="15" hidden="false" customHeight="false" outlineLevel="0" collapsed="false">
      <c r="A12" s="30" t="n">
        <v>13</v>
      </c>
      <c r="B12" s="30" t="s">
        <v>75</v>
      </c>
      <c r="C12" s="31" t="s">
        <v>76</v>
      </c>
      <c r="D12" s="32"/>
      <c r="E12" s="30" t="n">
        <v>1</v>
      </c>
      <c r="F12" s="30" t="s">
        <v>77</v>
      </c>
      <c r="G12" s="30" t="s">
        <v>78</v>
      </c>
      <c r="H12" s="30" t="s">
        <v>79</v>
      </c>
      <c r="I12" s="30" t="s">
        <v>80</v>
      </c>
      <c r="J12" s="30" t="s">
        <v>81</v>
      </c>
      <c r="K12" s="33" t="s">
        <v>54</v>
      </c>
      <c r="L12" s="30" t="n">
        <v>0.22</v>
      </c>
      <c r="M12" s="34" t="n">
        <f aca="false">AVERAGE(L12:L30)</f>
        <v>0.233157894736842</v>
      </c>
      <c r="N12" s="34" t="n">
        <f aca="false">STDEV(L12:L30)</f>
        <v>0.0240491699045812</v>
      </c>
      <c r="O12" s="22" t="n">
        <v>0.03</v>
      </c>
      <c r="P12" s="22" t="n">
        <v>0.01</v>
      </c>
      <c r="AMJ12" s="11"/>
    </row>
    <row r="13" s="35" customFormat="true" ht="15" hidden="false" customHeight="false" outlineLevel="0" collapsed="false">
      <c r="A13" s="35" t="n">
        <v>14</v>
      </c>
      <c r="B13" s="35" t="s">
        <v>82</v>
      </c>
      <c r="C13" s="31" t="s">
        <v>76</v>
      </c>
      <c r="E13" s="35" t="n">
        <v>1</v>
      </c>
      <c r="F13" s="35" t="s">
        <v>83</v>
      </c>
      <c r="G13" s="35" t="s">
        <v>84</v>
      </c>
      <c r="H13" s="35" t="s">
        <v>85</v>
      </c>
      <c r="I13" s="35" t="s">
        <v>86</v>
      </c>
      <c r="J13" s="35" t="s">
        <v>87</v>
      </c>
      <c r="K13" s="36" t="s">
        <v>54</v>
      </c>
      <c r="L13" s="35" t="n">
        <v>0.24</v>
      </c>
      <c r="AMJ13" s="11"/>
    </row>
    <row r="14" s="35" customFormat="true" ht="15" hidden="false" customHeight="false" outlineLevel="0" collapsed="false">
      <c r="A14" s="35" t="n">
        <v>15</v>
      </c>
      <c r="B14" s="35" t="s">
        <v>88</v>
      </c>
      <c r="C14" s="31" t="s">
        <v>76</v>
      </c>
      <c r="E14" s="35" t="n">
        <v>1</v>
      </c>
      <c r="F14" s="35" t="s">
        <v>89</v>
      </c>
      <c r="G14" s="35" t="s">
        <v>90</v>
      </c>
      <c r="H14" s="35" t="s">
        <v>91</v>
      </c>
      <c r="I14" s="35" t="s">
        <v>92</v>
      </c>
      <c r="J14" s="35" t="s">
        <v>93</v>
      </c>
      <c r="K14" s="36" t="s">
        <v>94</v>
      </c>
      <c r="L14" s="35" t="n">
        <v>0.26</v>
      </c>
      <c r="AMJ14" s="11"/>
    </row>
    <row r="15" s="35" customFormat="true" ht="15" hidden="false" customHeight="false" outlineLevel="0" collapsed="false">
      <c r="A15" s="35" t="n">
        <v>16</v>
      </c>
      <c r="B15" s="35" t="s">
        <v>95</v>
      </c>
      <c r="C15" s="31" t="s">
        <v>76</v>
      </c>
      <c r="E15" s="35" t="n">
        <v>1</v>
      </c>
      <c r="F15" s="35" t="s">
        <v>96</v>
      </c>
      <c r="G15" s="35" t="s">
        <v>97</v>
      </c>
      <c r="H15" s="35" t="s">
        <v>64</v>
      </c>
      <c r="I15" s="35" t="s">
        <v>98</v>
      </c>
      <c r="J15" s="35" t="s">
        <v>99</v>
      </c>
      <c r="K15" s="36" t="s">
        <v>54</v>
      </c>
      <c r="L15" s="35" t="n">
        <v>0.22</v>
      </c>
      <c r="AMJ15" s="11"/>
    </row>
    <row r="16" s="35" customFormat="true" ht="15" hidden="false" customHeight="false" outlineLevel="0" collapsed="false">
      <c r="A16" s="35" t="n">
        <v>17</v>
      </c>
      <c r="B16" s="35" t="s">
        <v>100</v>
      </c>
      <c r="C16" s="31" t="s">
        <v>76</v>
      </c>
      <c r="E16" s="35" t="n">
        <v>1</v>
      </c>
      <c r="F16" s="35" t="s">
        <v>101</v>
      </c>
      <c r="G16" s="35" t="s">
        <v>102</v>
      </c>
      <c r="H16" s="35" t="s">
        <v>68</v>
      </c>
      <c r="I16" s="35" t="s">
        <v>103</v>
      </c>
      <c r="J16" s="35" t="s">
        <v>104</v>
      </c>
      <c r="K16" s="36" t="s">
        <v>54</v>
      </c>
      <c r="L16" s="35" t="n">
        <v>0.21</v>
      </c>
      <c r="AMJ16" s="11"/>
    </row>
    <row r="17" s="35" customFormat="true" ht="15" hidden="false" customHeight="false" outlineLevel="0" collapsed="false">
      <c r="A17" s="35" t="n">
        <v>18</v>
      </c>
      <c r="B17" s="35" t="s">
        <v>105</v>
      </c>
      <c r="C17" s="31" t="s">
        <v>76</v>
      </c>
      <c r="E17" s="35" t="n">
        <v>1</v>
      </c>
      <c r="F17" s="35" t="s">
        <v>101</v>
      </c>
      <c r="G17" s="35" t="s">
        <v>106</v>
      </c>
      <c r="H17" s="35" t="s">
        <v>51</v>
      </c>
      <c r="I17" s="35" t="s">
        <v>107</v>
      </c>
      <c r="J17" s="35" t="s">
        <v>108</v>
      </c>
      <c r="K17" s="36" t="s">
        <v>54</v>
      </c>
      <c r="L17" s="35" t="n">
        <v>0.21</v>
      </c>
      <c r="AMJ17" s="11"/>
    </row>
    <row r="18" s="35" customFormat="true" ht="15" hidden="false" customHeight="false" outlineLevel="0" collapsed="false">
      <c r="A18" s="35" t="n">
        <v>19</v>
      </c>
      <c r="B18" s="35" t="s">
        <v>109</v>
      </c>
      <c r="C18" s="31" t="s">
        <v>76</v>
      </c>
      <c r="E18" s="35" t="n">
        <v>1</v>
      </c>
      <c r="F18" s="35" t="s">
        <v>110</v>
      </c>
      <c r="G18" s="35" t="s">
        <v>111</v>
      </c>
      <c r="H18" s="35" t="s">
        <v>112</v>
      </c>
      <c r="I18" s="35" t="s">
        <v>98</v>
      </c>
      <c r="J18" s="35" t="s">
        <v>113</v>
      </c>
      <c r="K18" s="36" t="s">
        <v>28</v>
      </c>
      <c r="L18" s="35" t="n">
        <v>0.22</v>
      </c>
      <c r="AMJ18" s="11"/>
    </row>
    <row r="19" s="35" customFormat="true" ht="15" hidden="false" customHeight="false" outlineLevel="0" collapsed="false">
      <c r="A19" s="35" t="n">
        <v>20</v>
      </c>
      <c r="B19" s="35" t="s">
        <v>114</v>
      </c>
      <c r="C19" s="31" t="s">
        <v>76</v>
      </c>
      <c r="E19" s="35" t="n">
        <v>1</v>
      </c>
      <c r="F19" s="35" t="s">
        <v>115</v>
      </c>
      <c r="G19" s="35" t="s">
        <v>116</v>
      </c>
      <c r="H19" s="35" t="s">
        <v>117</v>
      </c>
      <c r="I19" s="35" t="s">
        <v>118</v>
      </c>
      <c r="J19" s="35" t="s">
        <v>119</v>
      </c>
      <c r="K19" s="36" t="s">
        <v>28</v>
      </c>
      <c r="L19" s="35" t="n">
        <v>0.23</v>
      </c>
      <c r="AMJ19" s="11"/>
    </row>
    <row r="20" s="35" customFormat="true" ht="15" hidden="false" customHeight="false" outlineLevel="0" collapsed="false">
      <c r="A20" s="35" t="n">
        <v>21</v>
      </c>
      <c r="B20" s="35" t="s">
        <v>120</v>
      </c>
      <c r="C20" s="31" t="s">
        <v>76</v>
      </c>
      <c r="E20" s="35" t="n">
        <v>1</v>
      </c>
      <c r="F20" s="35" t="s">
        <v>121</v>
      </c>
      <c r="G20" s="35" t="s">
        <v>122</v>
      </c>
      <c r="H20" s="35" t="s">
        <v>123</v>
      </c>
      <c r="I20" s="35" t="s">
        <v>39</v>
      </c>
      <c r="J20" s="35" t="s">
        <v>124</v>
      </c>
      <c r="K20" s="36" t="s">
        <v>28</v>
      </c>
      <c r="L20" s="35" t="n">
        <v>0.22</v>
      </c>
      <c r="AMJ20" s="11"/>
    </row>
    <row r="21" s="35" customFormat="true" ht="15" hidden="false" customHeight="false" outlineLevel="0" collapsed="false">
      <c r="A21" s="35" t="n">
        <v>22</v>
      </c>
      <c r="B21" s="35" t="s">
        <v>125</v>
      </c>
      <c r="C21" s="31" t="s">
        <v>76</v>
      </c>
      <c r="E21" s="35" t="n">
        <v>1</v>
      </c>
      <c r="F21" s="35" t="s">
        <v>126</v>
      </c>
      <c r="G21" s="35" t="s">
        <v>17</v>
      </c>
      <c r="H21" s="35" t="s">
        <v>127</v>
      </c>
      <c r="I21" s="35" t="s">
        <v>128</v>
      </c>
      <c r="J21" s="35" t="s">
        <v>129</v>
      </c>
      <c r="K21" s="36" t="s">
        <v>54</v>
      </c>
      <c r="L21" s="35" t="n">
        <v>0.21</v>
      </c>
      <c r="AMJ21" s="11"/>
    </row>
    <row r="22" s="35" customFormat="true" ht="15" hidden="false" customHeight="false" outlineLevel="0" collapsed="false">
      <c r="A22" s="35" t="n">
        <v>24</v>
      </c>
      <c r="B22" s="35" t="s">
        <v>130</v>
      </c>
      <c r="C22" s="31" t="s">
        <v>76</v>
      </c>
      <c r="E22" s="35" t="n">
        <v>1</v>
      </c>
      <c r="F22" s="35" t="s">
        <v>96</v>
      </c>
      <c r="G22" s="35" t="s">
        <v>131</v>
      </c>
      <c r="H22" s="35" t="s">
        <v>132</v>
      </c>
      <c r="I22" s="35" t="s">
        <v>133</v>
      </c>
      <c r="J22" s="35" t="s">
        <v>134</v>
      </c>
      <c r="K22" s="36" t="s">
        <v>135</v>
      </c>
      <c r="L22" s="35" t="n">
        <v>0.28</v>
      </c>
      <c r="AMJ22" s="11"/>
    </row>
    <row r="23" s="35" customFormat="true" ht="15" hidden="false" customHeight="false" outlineLevel="0" collapsed="false">
      <c r="A23" s="35" t="n">
        <v>29</v>
      </c>
      <c r="B23" s="35" t="s">
        <v>136</v>
      </c>
      <c r="C23" s="31" t="s">
        <v>76</v>
      </c>
      <c r="E23" s="35" t="n">
        <v>1</v>
      </c>
      <c r="F23" s="35" t="s">
        <v>137</v>
      </c>
      <c r="G23" s="35" t="s">
        <v>138</v>
      </c>
      <c r="H23" s="35" t="s">
        <v>25</v>
      </c>
      <c r="I23" s="35" t="s">
        <v>139</v>
      </c>
      <c r="J23" s="35" t="s">
        <v>140</v>
      </c>
      <c r="K23" s="36" t="s">
        <v>141</v>
      </c>
      <c r="L23" s="35" t="n">
        <v>0.22</v>
      </c>
      <c r="AMJ23" s="11"/>
    </row>
    <row r="24" s="35" customFormat="true" ht="15" hidden="false" customHeight="false" outlineLevel="0" collapsed="false">
      <c r="A24" s="35" t="n">
        <v>30</v>
      </c>
      <c r="B24" s="35" t="s">
        <v>142</v>
      </c>
      <c r="C24" s="31" t="s">
        <v>76</v>
      </c>
      <c r="E24" s="35" t="n">
        <v>1</v>
      </c>
      <c r="F24" s="35" t="s">
        <v>143</v>
      </c>
      <c r="G24" s="35" t="s">
        <v>144</v>
      </c>
      <c r="H24" s="35" t="s">
        <v>145</v>
      </c>
      <c r="I24" s="35" t="s">
        <v>146</v>
      </c>
      <c r="J24" s="35" t="s">
        <v>147</v>
      </c>
      <c r="K24" s="36" t="s">
        <v>54</v>
      </c>
      <c r="L24" s="35" t="n">
        <v>0.23</v>
      </c>
      <c r="AMJ24" s="11"/>
    </row>
    <row r="25" s="35" customFormat="true" ht="15" hidden="false" customHeight="false" outlineLevel="0" collapsed="false">
      <c r="A25" s="35" t="n">
        <v>31</v>
      </c>
      <c r="B25" s="35" t="s">
        <v>148</v>
      </c>
      <c r="C25" s="31" t="s">
        <v>76</v>
      </c>
      <c r="E25" s="35" t="n">
        <v>1</v>
      </c>
      <c r="F25" s="35" t="s">
        <v>56</v>
      </c>
      <c r="G25" s="35" t="s">
        <v>149</v>
      </c>
      <c r="H25" s="35" t="s">
        <v>150</v>
      </c>
      <c r="I25" s="35" t="s">
        <v>151</v>
      </c>
      <c r="J25" s="35" t="s">
        <v>152</v>
      </c>
      <c r="K25" s="36" t="s">
        <v>28</v>
      </c>
      <c r="L25" s="35" t="n">
        <v>0.23</v>
      </c>
      <c r="AMJ25" s="11"/>
    </row>
    <row r="26" s="35" customFormat="true" ht="15" hidden="false" customHeight="false" outlineLevel="0" collapsed="false">
      <c r="A26" s="35" t="n">
        <v>32</v>
      </c>
      <c r="B26" s="35" t="s">
        <v>153</v>
      </c>
      <c r="C26" s="31" t="s">
        <v>76</v>
      </c>
      <c r="E26" s="35" t="n">
        <v>1</v>
      </c>
      <c r="F26" s="35" t="s">
        <v>56</v>
      </c>
      <c r="G26" s="35" t="s">
        <v>154</v>
      </c>
      <c r="H26" s="35" t="s">
        <v>155</v>
      </c>
      <c r="I26" s="35" t="s">
        <v>59</v>
      </c>
      <c r="J26" s="35" t="s">
        <v>156</v>
      </c>
      <c r="K26" s="36" t="s">
        <v>54</v>
      </c>
      <c r="L26" s="35" t="n">
        <v>0.23</v>
      </c>
      <c r="AMJ26" s="11"/>
    </row>
    <row r="27" s="35" customFormat="true" ht="15" hidden="false" customHeight="false" outlineLevel="0" collapsed="false">
      <c r="A27" s="35" t="n">
        <v>33</v>
      </c>
      <c r="B27" s="35" t="s">
        <v>157</v>
      </c>
      <c r="C27" s="31" t="s">
        <v>76</v>
      </c>
      <c r="E27" s="35" t="n">
        <v>1</v>
      </c>
      <c r="F27" s="35" t="s">
        <v>137</v>
      </c>
      <c r="G27" s="35" t="s">
        <v>144</v>
      </c>
      <c r="H27" s="35" t="s">
        <v>18</v>
      </c>
      <c r="I27" s="35" t="s">
        <v>158</v>
      </c>
      <c r="J27" s="35" t="s">
        <v>159</v>
      </c>
      <c r="K27" s="36" t="s">
        <v>28</v>
      </c>
      <c r="L27" s="35" t="n">
        <v>0.25</v>
      </c>
      <c r="AMJ27" s="11"/>
    </row>
    <row r="28" s="35" customFormat="true" ht="15" hidden="false" customHeight="false" outlineLevel="0" collapsed="false">
      <c r="A28" s="35" t="n">
        <v>34</v>
      </c>
      <c r="B28" s="35" t="s">
        <v>160</v>
      </c>
      <c r="C28" s="31" t="s">
        <v>76</v>
      </c>
      <c r="E28" s="35" t="n">
        <v>1</v>
      </c>
      <c r="F28" s="35" t="s">
        <v>161</v>
      </c>
      <c r="G28" s="35" t="s">
        <v>57</v>
      </c>
      <c r="H28" s="35" t="s">
        <v>162</v>
      </c>
      <c r="I28" s="35" t="s">
        <v>163</v>
      </c>
      <c r="J28" s="35" t="s">
        <v>164</v>
      </c>
      <c r="K28" s="36" t="s">
        <v>165</v>
      </c>
      <c r="L28" s="35" t="n">
        <v>0.3</v>
      </c>
      <c r="AMJ28" s="11"/>
    </row>
    <row r="29" s="35" customFormat="true" ht="15" hidden="false" customHeight="false" outlineLevel="0" collapsed="false">
      <c r="A29" s="35" t="n">
        <v>35</v>
      </c>
      <c r="B29" s="35" t="s">
        <v>166</v>
      </c>
      <c r="C29" s="31" t="s">
        <v>76</v>
      </c>
      <c r="E29" s="35" t="n">
        <v>1</v>
      </c>
      <c r="F29" s="35" t="s">
        <v>137</v>
      </c>
      <c r="G29" s="35" t="s">
        <v>78</v>
      </c>
      <c r="H29" s="35" t="s">
        <v>167</v>
      </c>
      <c r="I29" s="35" t="s">
        <v>168</v>
      </c>
      <c r="J29" s="35" t="s">
        <v>169</v>
      </c>
      <c r="K29" s="36" t="s">
        <v>54</v>
      </c>
      <c r="L29" s="35" t="n">
        <v>0.23</v>
      </c>
      <c r="AMJ29" s="11"/>
    </row>
    <row r="30" s="37" customFormat="true" ht="15" hidden="false" customHeight="false" outlineLevel="0" collapsed="false">
      <c r="A30" s="37" t="n">
        <v>36</v>
      </c>
      <c r="B30" s="37" t="s">
        <v>170</v>
      </c>
      <c r="C30" s="31" t="s">
        <v>76</v>
      </c>
      <c r="E30" s="37" t="n">
        <v>1</v>
      </c>
      <c r="F30" s="37" t="s">
        <v>171</v>
      </c>
      <c r="G30" s="37" t="s">
        <v>97</v>
      </c>
      <c r="H30" s="37" t="s">
        <v>68</v>
      </c>
      <c r="I30" s="37" t="s">
        <v>172</v>
      </c>
      <c r="J30" s="37" t="s">
        <v>173</v>
      </c>
      <c r="K30" s="38" t="s">
        <v>54</v>
      </c>
      <c r="L30" s="37" t="n">
        <v>0.22</v>
      </c>
      <c r="AMJ30" s="11"/>
    </row>
    <row r="31" s="18" customFormat="true" ht="15" hidden="false" customHeight="false" outlineLevel="0" collapsed="false">
      <c r="A31" s="18" t="n">
        <v>37</v>
      </c>
      <c r="B31" s="18" t="s">
        <v>174</v>
      </c>
      <c r="C31" s="19" t="s">
        <v>48</v>
      </c>
      <c r="D31" s="25"/>
      <c r="E31" s="18" t="n">
        <v>1</v>
      </c>
      <c r="F31" s="18" t="s">
        <v>175</v>
      </c>
      <c r="G31" s="18" t="s">
        <v>176</v>
      </c>
      <c r="H31" s="18" t="s">
        <v>177</v>
      </c>
      <c r="I31" s="18" t="s">
        <v>178</v>
      </c>
      <c r="J31" s="18" t="s">
        <v>179</v>
      </c>
      <c r="K31" s="21" t="s">
        <v>141</v>
      </c>
      <c r="L31" s="18" t="n">
        <v>0.2</v>
      </c>
      <c r="M31" s="23" t="n">
        <f aca="false">AVERAGE(L31:L34)</f>
        <v>0.2075</v>
      </c>
      <c r="N31" s="23" t="n">
        <f aca="false">STDEV(L31:L34)</f>
        <v>0.015</v>
      </c>
      <c r="O31" s="22" t="n">
        <v>0.03</v>
      </c>
      <c r="P31" s="22" t="n">
        <v>0.01</v>
      </c>
      <c r="AMJ31" s="11"/>
    </row>
    <row r="32" s="24" customFormat="true" ht="15" hidden="false" customHeight="false" outlineLevel="0" collapsed="false">
      <c r="A32" s="24" t="n">
        <v>38</v>
      </c>
      <c r="B32" s="24" t="s">
        <v>180</v>
      </c>
      <c r="C32" s="19" t="s">
        <v>48</v>
      </c>
      <c r="E32" s="24" t="n">
        <v>1</v>
      </c>
      <c r="F32" s="24" t="s">
        <v>181</v>
      </c>
      <c r="G32" s="24" t="s">
        <v>182</v>
      </c>
      <c r="H32" s="24" t="s">
        <v>68</v>
      </c>
      <c r="I32" s="24" t="s">
        <v>183</v>
      </c>
      <c r="J32" s="24" t="s">
        <v>184</v>
      </c>
      <c r="K32" s="26" t="s">
        <v>54</v>
      </c>
      <c r="L32" s="24" t="n">
        <v>0.19</v>
      </c>
      <c r="AMJ32" s="11"/>
    </row>
    <row r="33" s="24" customFormat="true" ht="15" hidden="false" customHeight="false" outlineLevel="0" collapsed="false">
      <c r="A33" s="24" t="n">
        <v>39</v>
      </c>
      <c r="B33" s="24" t="s">
        <v>185</v>
      </c>
      <c r="C33" s="19" t="s">
        <v>48</v>
      </c>
      <c r="E33" s="24" t="n">
        <v>1</v>
      </c>
      <c r="F33" s="24" t="s">
        <v>186</v>
      </c>
      <c r="G33" s="24" t="s">
        <v>187</v>
      </c>
      <c r="H33" s="24" t="s">
        <v>155</v>
      </c>
      <c r="I33" s="24" t="s">
        <v>80</v>
      </c>
      <c r="J33" s="24" t="s">
        <v>188</v>
      </c>
      <c r="K33" s="26" t="s">
        <v>28</v>
      </c>
      <c r="L33" s="24" t="n">
        <v>0.22</v>
      </c>
      <c r="AMJ33" s="11"/>
    </row>
    <row r="34" s="27" customFormat="true" ht="15" hidden="false" customHeight="false" outlineLevel="0" collapsed="false">
      <c r="A34" s="27" t="n">
        <v>40</v>
      </c>
      <c r="B34" s="27" t="s">
        <v>189</v>
      </c>
      <c r="C34" s="19" t="s">
        <v>48</v>
      </c>
      <c r="E34" s="27" t="n">
        <v>1</v>
      </c>
      <c r="F34" s="27" t="s">
        <v>175</v>
      </c>
      <c r="G34" s="27" t="s">
        <v>149</v>
      </c>
      <c r="H34" s="27" t="s">
        <v>190</v>
      </c>
      <c r="I34" s="27" t="s">
        <v>191</v>
      </c>
      <c r="J34" s="27" t="s">
        <v>192</v>
      </c>
      <c r="K34" s="29" t="s">
        <v>28</v>
      </c>
      <c r="L34" s="27" t="n">
        <v>0.22</v>
      </c>
      <c r="AMJ34" s="11"/>
    </row>
    <row r="35" s="39" customFormat="true" ht="15" hidden="false" customHeight="false" outlineLevel="0" collapsed="false">
      <c r="A35" s="39" t="n">
        <v>41</v>
      </c>
      <c r="B35" s="39" t="s">
        <v>193</v>
      </c>
      <c r="C35" s="40" t="s">
        <v>194</v>
      </c>
      <c r="D35" s="41"/>
      <c r="E35" s="39" t="n">
        <v>1</v>
      </c>
      <c r="F35" s="39" t="s">
        <v>195</v>
      </c>
      <c r="G35" s="39" t="s">
        <v>196</v>
      </c>
      <c r="H35" s="39" t="s">
        <v>197</v>
      </c>
      <c r="I35" s="39" t="s">
        <v>198</v>
      </c>
      <c r="J35" s="39" t="s">
        <v>199</v>
      </c>
      <c r="K35" s="42" t="s">
        <v>141</v>
      </c>
      <c r="L35" s="39" t="n">
        <v>0.18</v>
      </c>
      <c r="M35" s="43" t="n">
        <f aca="false">AVERAGE(L35:L37)</f>
        <v>0.196666666666667</v>
      </c>
      <c r="N35" s="43" t="n">
        <f aca="false">STDEV(L35:L37)</f>
        <v>0.0208166599946613</v>
      </c>
      <c r="O35" s="39" t="n">
        <v>0.03</v>
      </c>
      <c r="P35" s="39" t="n">
        <v>0.01</v>
      </c>
      <c r="AMJ35" s="11"/>
    </row>
    <row r="36" s="44" customFormat="true" ht="15" hidden="false" customHeight="false" outlineLevel="0" collapsed="false">
      <c r="A36" s="44" t="n">
        <v>44</v>
      </c>
      <c r="B36" s="44" t="s">
        <v>200</v>
      </c>
      <c r="C36" s="40" t="s">
        <v>194</v>
      </c>
      <c r="E36" s="44" t="n">
        <v>1</v>
      </c>
      <c r="F36" s="44" t="s">
        <v>201</v>
      </c>
      <c r="G36" s="44" t="s">
        <v>202</v>
      </c>
      <c r="H36" s="44" t="s">
        <v>150</v>
      </c>
      <c r="I36" s="44" t="s">
        <v>191</v>
      </c>
      <c r="J36" s="44" t="s">
        <v>203</v>
      </c>
      <c r="K36" s="45" t="s">
        <v>94</v>
      </c>
      <c r="L36" s="44" t="n">
        <v>0.22</v>
      </c>
      <c r="M36" s="46"/>
      <c r="N36" s="46"/>
      <c r="AMJ36" s="11"/>
    </row>
    <row r="37" s="47" customFormat="true" ht="15" hidden="false" customHeight="false" outlineLevel="0" collapsed="false">
      <c r="A37" s="47" t="n">
        <v>45</v>
      </c>
      <c r="B37" s="47" t="s">
        <v>204</v>
      </c>
      <c r="C37" s="40" t="s">
        <v>194</v>
      </c>
      <c r="D37" s="48"/>
      <c r="E37" s="47" t="n">
        <v>1</v>
      </c>
      <c r="F37" s="47" t="s">
        <v>205</v>
      </c>
      <c r="G37" s="47" t="s">
        <v>206</v>
      </c>
      <c r="H37" s="47" t="s">
        <v>207</v>
      </c>
      <c r="I37" s="47" t="s">
        <v>208</v>
      </c>
      <c r="J37" s="47" t="s">
        <v>209</v>
      </c>
      <c r="K37" s="49" t="s">
        <v>141</v>
      </c>
      <c r="L37" s="47" t="n">
        <v>0.19</v>
      </c>
      <c r="M37" s="50"/>
      <c r="N37" s="50"/>
      <c r="AMJ37" s="11"/>
    </row>
    <row r="38" s="51" customFormat="true" ht="15" hidden="false" customHeight="false" outlineLevel="0" collapsed="false">
      <c r="A38" s="51" t="n">
        <v>50</v>
      </c>
      <c r="B38" s="51" t="s">
        <v>210</v>
      </c>
      <c r="C38" s="52" t="s">
        <v>211</v>
      </c>
      <c r="D38" s="53"/>
      <c r="E38" s="51" t="n">
        <v>1</v>
      </c>
      <c r="F38" s="51" t="s">
        <v>96</v>
      </c>
      <c r="G38" s="51" t="s">
        <v>212</v>
      </c>
      <c r="H38" s="51" t="s">
        <v>213</v>
      </c>
      <c r="I38" s="51" t="s">
        <v>214</v>
      </c>
      <c r="J38" s="51" t="s">
        <v>215</v>
      </c>
      <c r="K38" s="54" t="s">
        <v>54</v>
      </c>
      <c r="L38" s="51" t="n">
        <v>0.21</v>
      </c>
      <c r="M38" s="55" t="n">
        <f aca="false">AVERAGE(L38:L41)</f>
        <v>0.2175</v>
      </c>
      <c r="N38" s="55" t="n">
        <f aca="false">STDEV(L38:L41)</f>
        <v>0.015</v>
      </c>
      <c r="O38" s="51" t="n">
        <v>0.03</v>
      </c>
      <c r="P38" s="51" t="n">
        <v>0.01</v>
      </c>
      <c r="AMJ38" s="11"/>
    </row>
    <row r="39" s="56" customFormat="true" ht="15" hidden="false" customHeight="false" outlineLevel="0" collapsed="false">
      <c r="A39" s="56" t="n">
        <v>51</v>
      </c>
      <c r="B39" s="56" t="s">
        <v>216</v>
      </c>
      <c r="C39" s="52" t="s">
        <v>211</v>
      </c>
      <c r="E39" s="56" t="n">
        <v>1</v>
      </c>
      <c r="F39" s="56" t="s">
        <v>72</v>
      </c>
      <c r="G39" s="56" t="s">
        <v>217</v>
      </c>
      <c r="H39" s="56" t="s">
        <v>218</v>
      </c>
      <c r="I39" s="56" t="s">
        <v>86</v>
      </c>
      <c r="J39" s="56" t="s">
        <v>219</v>
      </c>
      <c r="K39" s="57" t="s">
        <v>28</v>
      </c>
      <c r="L39" s="56" t="n">
        <v>0.24</v>
      </c>
      <c r="M39" s="58"/>
      <c r="N39" s="58"/>
      <c r="AMJ39" s="11"/>
    </row>
    <row r="40" s="56" customFormat="true" ht="15" hidden="false" customHeight="false" outlineLevel="0" collapsed="false">
      <c r="A40" s="56" t="n">
        <v>52</v>
      </c>
      <c r="B40" s="56" t="s">
        <v>220</v>
      </c>
      <c r="C40" s="52" t="s">
        <v>211</v>
      </c>
      <c r="E40" s="56" t="n">
        <v>1</v>
      </c>
      <c r="F40" s="56" t="s">
        <v>121</v>
      </c>
      <c r="G40" s="56" t="s">
        <v>221</v>
      </c>
      <c r="H40" s="56" t="s">
        <v>222</v>
      </c>
      <c r="I40" s="56" t="s">
        <v>223</v>
      </c>
      <c r="J40" s="56" t="s">
        <v>224</v>
      </c>
      <c r="K40" s="57" t="s">
        <v>54</v>
      </c>
      <c r="L40" s="56" t="n">
        <v>0.21</v>
      </c>
      <c r="M40" s="58"/>
      <c r="N40" s="58"/>
      <c r="AMJ40" s="11"/>
    </row>
    <row r="41" s="59" customFormat="true" ht="15" hidden="false" customHeight="false" outlineLevel="0" collapsed="false">
      <c r="A41" s="59" t="n">
        <v>53</v>
      </c>
      <c r="B41" s="59" t="s">
        <v>225</v>
      </c>
      <c r="C41" s="52" t="s">
        <v>211</v>
      </c>
      <c r="E41" s="59" t="n">
        <v>1</v>
      </c>
      <c r="F41" s="59" t="s">
        <v>226</v>
      </c>
      <c r="G41" s="59" t="s">
        <v>90</v>
      </c>
      <c r="H41" s="59" t="s">
        <v>222</v>
      </c>
      <c r="I41" s="59" t="s">
        <v>128</v>
      </c>
      <c r="J41" s="59" t="s">
        <v>227</v>
      </c>
      <c r="K41" s="60" t="s">
        <v>54</v>
      </c>
      <c r="L41" s="59" t="n">
        <v>0.21</v>
      </c>
      <c r="M41" s="61"/>
      <c r="N41" s="61"/>
      <c r="AMJ41" s="11"/>
    </row>
    <row r="42" s="62" customFormat="true" ht="15" hidden="false" customHeight="false" outlineLevel="0" collapsed="false">
      <c r="A42" s="62" t="n">
        <v>54</v>
      </c>
      <c r="B42" s="62" t="s">
        <v>228</v>
      </c>
      <c r="C42" s="63" t="s">
        <v>229</v>
      </c>
      <c r="D42" s="64"/>
      <c r="E42" s="62" t="n">
        <v>1</v>
      </c>
      <c r="F42" s="62" t="s">
        <v>201</v>
      </c>
      <c r="G42" s="62" t="s">
        <v>230</v>
      </c>
      <c r="H42" s="62" t="s">
        <v>231</v>
      </c>
      <c r="I42" s="62" t="s">
        <v>232</v>
      </c>
      <c r="J42" s="62" t="s">
        <v>233</v>
      </c>
      <c r="K42" s="65" t="s">
        <v>234</v>
      </c>
      <c r="L42" s="62" t="n">
        <v>0.17</v>
      </c>
      <c r="M42" s="66" t="n">
        <f aca="false">AVERAGE(L42:L45)</f>
        <v>0.19</v>
      </c>
      <c r="N42" s="66" t="n">
        <f aca="false">STDEV(L42:L45)</f>
        <v>0.0270801280154532</v>
      </c>
      <c r="AMJ42" s="11"/>
    </row>
    <row r="43" s="67" customFormat="true" ht="15" hidden="false" customHeight="false" outlineLevel="0" collapsed="false">
      <c r="A43" s="67" t="n">
        <v>55</v>
      </c>
      <c r="B43" s="67" t="s">
        <v>235</v>
      </c>
      <c r="C43" s="63" t="s">
        <v>229</v>
      </c>
      <c r="E43" s="67" t="n">
        <v>1</v>
      </c>
      <c r="F43" s="67" t="s">
        <v>236</v>
      </c>
      <c r="G43" s="67" t="s">
        <v>237</v>
      </c>
      <c r="H43" s="67" t="s">
        <v>238</v>
      </c>
      <c r="I43" s="67" t="s">
        <v>239</v>
      </c>
      <c r="J43" s="67" t="s">
        <v>240</v>
      </c>
      <c r="K43" s="68" t="s">
        <v>234</v>
      </c>
      <c r="L43" s="67" t="n">
        <v>0.18</v>
      </c>
      <c r="M43" s="69"/>
      <c r="N43" s="69"/>
      <c r="AMJ43" s="11"/>
    </row>
    <row r="44" s="67" customFormat="true" ht="15" hidden="false" customHeight="false" outlineLevel="0" collapsed="false">
      <c r="A44" s="67" t="n">
        <v>56</v>
      </c>
      <c r="B44" s="67" t="s">
        <v>241</v>
      </c>
      <c r="C44" s="63" t="s">
        <v>229</v>
      </c>
      <c r="E44" s="67" t="n">
        <v>1</v>
      </c>
      <c r="F44" s="67" t="s">
        <v>195</v>
      </c>
      <c r="G44" s="67" t="s">
        <v>242</v>
      </c>
      <c r="H44" s="67" t="s">
        <v>243</v>
      </c>
      <c r="I44" s="67" t="s">
        <v>244</v>
      </c>
      <c r="J44" s="67" t="s">
        <v>245</v>
      </c>
      <c r="K44" s="68" t="s">
        <v>234</v>
      </c>
      <c r="L44" s="67" t="n">
        <v>0.18</v>
      </c>
      <c r="M44" s="69"/>
      <c r="N44" s="69"/>
      <c r="AMJ44" s="11"/>
    </row>
    <row r="45" s="70" customFormat="true" ht="15" hidden="false" customHeight="false" outlineLevel="0" collapsed="false">
      <c r="A45" s="70" t="n">
        <v>57</v>
      </c>
      <c r="B45" s="70" t="s">
        <v>246</v>
      </c>
      <c r="C45" s="63" t="s">
        <v>229</v>
      </c>
      <c r="E45" s="70" t="n">
        <v>1</v>
      </c>
      <c r="F45" s="70" t="s">
        <v>175</v>
      </c>
      <c r="G45" s="70" t="s">
        <v>247</v>
      </c>
      <c r="H45" s="70" t="s">
        <v>44</v>
      </c>
      <c r="I45" s="70" t="s">
        <v>146</v>
      </c>
      <c r="J45" s="70" t="s">
        <v>248</v>
      </c>
      <c r="K45" s="71" t="s">
        <v>21</v>
      </c>
      <c r="L45" s="70" t="n">
        <v>0.23</v>
      </c>
      <c r="M45" s="72"/>
      <c r="N45" s="72"/>
      <c r="AMJ45" s="11"/>
    </row>
    <row r="46" s="73" customFormat="true" ht="15" hidden="false" customHeight="false" outlineLevel="0" collapsed="false">
      <c r="A46" s="73" t="n">
        <v>58</v>
      </c>
      <c r="B46" s="73" t="s">
        <v>249</v>
      </c>
      <c r="C46" s="74" t="s">
        <v>250</v>
      </c>
      <c r="D46" s="75"/>
      <c r="E46" s="73" t="n">
        <v>1</v>
      </c>
      <c r="F46" s="73" t="s">
        <v>251</v>
      </c>
      <c r="G46" s="73" t="s">
        <v>106</v>
      </c>
      <c r="H46" s="73" t="s">
        <v>252</v>
      </c>
      <c r="I46" s="73" t="s">
        <v>253</v>
      </c>
      <c r="J46" s="73" t="s">
        <v>254</v>
      </c>
      <c r="K46" s="76" t="s">
        <v>94</v>
      </c>
      <c r="L46" s="73" t="n">
        <v>0.24</v>
      </c>
      <c r="M46" s="77" t="n">
        <f aca="false">AVERAGE(L46:L48)</f>
        <v>0.236666666666667</v>
      </c>
      <c r="N46" s="77" t="n">
        <f aca="false">STDEV(L46:L48)</f>
        <v>0.00577350269189625</v>
      </c>
      <c r="O46" s="73" t="n">
        <v>0.05</v>
      </c>
      <c r="P46" s="73" t="n">
        <v>0.01</v>
      </c>
      <c r="AMJ46" s="11"/>
    </row>
    <row r="47" s="78" customFormat="true" ht="15" hidden="false" customHeight="false" outlineLevel="0" collapsed="false">
      <c r="A47" s="78" t="n">
        <v>60</v>
      </c>
      <c r="B47" s="78" t="s">
        <v>255</v>
      </c>
      <c r="C47" s="74" t="s">
        <v>250</v>
      </c>
      <c r="E47" s="78" t="n">
        <v>1</v>
      </c>
      <c r="F47" s="78" t="s">
        <v>256</v>
      </c>
      <c r="G47" s="78" t="s">
        <v>257</v>
      </c>
      <c r="H47" s="78" t="s">
        <v>258</v>
      </c>
      <c r="I47" s="78" t="s">
        <v>259</v>
      </c>
      <c r="J47" s="78" t="s">
        <v>260</v>
      </c>
      <c r="K47" s="79" t="s">
        <v>94</v>
      </c>
      <c r="L47" s="78" t="n">
        <v>0.23</v>
      </c>
      <c r="M47" s="80"/>
      <c r="N47" s="80"/>
      <c r="AMJ47" s="11"/>
    </row>
    <row r="48" s="81" customFormat="true" ht="15" hidden="false" customHeight="false" outlineLevel="0" collapsed="false">
      <c r="A48" s="81" t="n">
        <v>62</v>
      </c>
      <c r="B48" s="81" t="s">
        <v>261</v>
      </c>
      <c r="C48" s="74" t="s">
        <v>250</v>
      </c>
      <c r="E48" s="81" t="n">
        <v>1</v>
      </c>
      <c r="F48" s="81" t="s">
        <v>262</v>
      </c>
      <c r="G48" s="81" t="s">
        <v>263</v>
      </c>
      <c r="H48" s="81" t="s">
        <v>91</v>
      </c>
      <c r="I48" s="81" t="s">
        <v>264</v>
      </c>
      <c r="J48" s="81" t="s">
        <v>265</v>
      </c>
      <c r="K48" s="82" t="s">
        <v>94</v>
      </c>
      <c r="L48" s="81" t="n">
        <v>0.24</v>
      </c>
      <c r="M48" s="83"/>
      <c r="N48" s="83"/>
      <c r="AMJ48" s="11"/>
    </row>
    <row r="49" s="84" customFormat="true" ht="15" hidden="false" customHeight="false" outlineLevel="0" collapsed="false">
      <c r="A49" s="84" t="n">
        <v>63</v>
      </c>
      <c r="B49" s="84" t="s">
        <v>266</v>
      </c>
      <c r="C49" s="85" t="s">
        <v>267</v>
      </c>
      <c r="D49" s="86"/>
      <c r="E49" s="84" t="n">
        <v>1</v>
      </c>
      <c r="F49" s="84" t="s">
        <v>268</v>
      </c>
      <c r="G49" s="84" t="s">
        <v>269</v>
      </c>
      <c r="H49" s="84" t="s">
        <v>270</v>
      </c>
      <c r="I49" s="84" t="s">
        <v>271</v>
      </c>
      <c r="J49" s="84" t="s">
        <v>272</v>
      </c>
      <c r="K49" s="87" t="s">
        <v>21</v>
      </c>
      <c r="L49" s="84" t="n">
        <v>0.29</v>
      </c>
      <c r="M49" s="88" t="n">
        <f aca="false">AVERAGE(L49:L53)</f>
        <v>0.298</v>
      </c>
      <c r="N49" s="88" t="n">
        <f aca="false">STDEV(L49:L53)</f>
        <v>0.00836660026534076</v>
      </c>
      <c r="O49" s="84" t="n">
        <v>0.035</v>
      </c>
      <c r="P49" s="84" t="n">
        <v>0.006</v>
      </c>
      <c r="AMJ49" s="11"/>
    </row>
    <row r="50" s="89" customFormat="true" ht="15" hidden="false" customHeight="false" outlineLevel="0" collapsed="false">
      <c r="A50" s="89" t="n">
        <v>64</v>
      </c>
      <c r="B50" s="89" t="s">
        <v>273</v>
      </c>
      <c r="C50" s="85" t="s">
        <v>274</v>
      </c>
      <c r="E50" s="89" t="n">
        <v>1</v>
      </c>
      <c r="F50" s="89" t="s">
        <v>268</v>
      </c>
      <c r="G50" s="89" t="s">
        <v>275</v>
      </c>
      <c r="H50" s="89" t="s">
        <v>32</v>
      </c>
      <c r="I50" s="89" t="s">
        <v>276</v>
      </c>
      <c r="J50" s="89" t="s">
        <v>277</v>
      </c>
      <c r="K50" s="90" t="s">
        <v>21</v>
      </c>
      <c r="L50" s="89" t="n">
        <v>0.29</v>
      </c>
      <c r="AMJ50" s="11"/>
    </row>
    <row r="51" s="89" customFormat="true" ht="15" hidden="false" customHeight="false" outlineLevel="0" collapsed="false">
      <c r="A51" s="89" t="n">
        <v>65</v>
      </c>
      <c r="B51" s="89" t="s">
        <v>278</v>
      </c>
      <c r="C51" s="85" t="s">
        <v>274</v>
      </c>
      <c r="D51" s="91" t="s">
        <v>279</v>
      </c>
      <c r="E51" s="89" t="n">
        <v>1</v>
      </c>
      <c r="F51" s="89" t="s">
        <v>268</v>
      </c>
      <c r="G51" s="89" t="s">
        <v>280</v>
      </c>
      <c r="H51" s="89" t="s">
        <v>281</v>
      </c>
      <c r="I51" s="89" t="s">
        <v>282</v>
      </c>
      <c r="J51" s="89" t="s">
        <v>283</v>
      </c>
      <c r="K51" s="90" t="s">
        <v>94</v>
      </c>
      <c r="L51" s="89" t="n">
        <v>0.3</v>
      </c>
      <c r="AMJ51" s="11"/>
    </row>
    <row r="52" s="89" customFormat="true" ht="15" hidden="false" customHeight="false" outlineLevel="0" collapsed="false">
      <c r="A52" s="89" t="n">
        <v>66</v>
      </c>
      <c r="B52" s="89" t="s">
        <v>284</v>
      </c>
      <c r="C52" s="85" t="s">
        <v>274</v>
      </c>
      <c r="E52" s="89" t="n">
        <v>1</v>
      </c>
      <c r="F52" s="89" t="s">
        <v>268</v>
      </c>
      <c r="G52" s="89" t="s">
        <v>285</v>
      </c>
      <c r="H52" s="89" t="s">
        <v>286</v>
      </c>
      <c r="I52" s="89" t="s">
        <v>287</v>
      </c>
      <c r="J52" s="89" t="s">
        <v>288</v>
      </c>
      <c r="K52" s="90" t="s">
        <v>94</v>
      </c>
      <c r="L52" s="89" t="n">
        <v>0.3</v>
      </c>
      <c r="AMJ52" s="11"/>
    </row>
    <row r="53" s="92" customFormat="true" ht="15" hidden="false" customHeight="false" outlineLevel="0" collapsed="false">
      <c r="A53" s="92" t="n">
        <v>67</v>
      </c>
      <c r="B53" s="92" t="s">
        <v>289</v>
      </c>
      <c r="C53" s="85" t="s">
        <v>274</v>
      </c>
      <c r="E53" s="92" t="n">
        <v>1</v>
      </c>
      <c r="F53" s="92" t="s">
        <v>268</v>
      </c>
      <c r="G53" s="92" t="s">
        <v>290</v>
      </c>
      <c r="H53" s="92" t="s">
        <v>291</v>
      </c>
      <c r="I53" s="92" t="s">
        <v>292</v>
      </c>
      <c r="J53" s="92" t="s">
        <v>293</v>
      </c>
      <c r="K53" s="93" t="s">
        <v>294</v>
      </c>
      <c r="L53" s="92" t="n">
        <v>0.31</v>
      </c>
      <c r="AMJ53" s="11"/>
    </row>
    <row r="54" s="18" customFormat="true" ht="15" hidden="false" customHeight="false" outlineLevel="0" collapsed="false">
      <c r="A54" s="18" t="n">
        <v>68</v>
      </c>
      <c r="B54" s="18" t="s">
        <v>295</v>
      </c>
      <c r="C54" s="19" t="s">
        <v>296</v>
      </c>
      <c r="D54" s="25"/>
      <c r="E54" s="18" t="n">
        <v>1</v>
      </c>
      <c r="F54" s="18" t="s">
        <v>297</v>
      </c>
      <c r="G54" s="18" t="s">
        <v>298</v>
      </c>
      <c r="H54" s="18" t="s">
        <v>299</v>
      </c>
      <c r="I54" s="18" t="s">
        <v>300</v>
      </c>
      <c r="J54" s="18" t="s">
        <v>301</v>
      </c>
      <c r="K54" s="21" t="s">
        <v>302</v>
      </c>
      <c r="L54" s="18" t="n">
        <v>0.37</v>
      </c>
      <c r="M54" s="94" t="n">
        <f aca="false">AVERAGE(L54:L57)</f>
        <v>0.3725</v>
      </c>
      <c r="N54" s="94" t="n">
        <f aca="false">STDEV(L54:L57)</f>
        <v>0.005</v>
      </c>
      <c r="O54" s="18" t="n">
        <v>0.17</v>
      </c>
      <c r="P54" s="18" t="n">
        <v>0.01</v>
      </c>
      <c r="AMJ54" s="11"/>
    </row>
    <row r="55" s="24" customFormat="true" ht="15" hidden="false" customHeight="false" outlineLevel="0" collapsed="false">
      <c r="A55" s="24" t="n">
        <v>69</v>
      </c>
      <c r="B55" s="24" t="s">
        <v>303</v>
      </c>
      <c r="C55" s="19" t="s">
        <v>296</v>
      </c>
      <c r="D55" s="95" t="s">
        <v>304</v>
      </c>
      <c r="E55" s="24" t="n">
        <v>1</v>
      </c>
      <c r="F55" s="24" t="s">
        <v>305</v>
      </c>
      <c r="G55" s="24" t="s">
        <v>306</v>
      </c>
      <c r="H55" s="24" t="s">
        <v>307</v>
      </c>
      <c r="I55" s="24" t="s">
        <v>308</v>
      </c>
      <c r="J55" s="24" t="s">
        <v>309</v>
      </c>
      <c r="K55" s="26" t="s">
        <v>302</v>
      </c>
      <c r="L55" s="24" t="n">
        <v>0.38</v>
      </c>
      <c r="AMJ55" s="11"/>
    </row>
    <row r="56" s="24" customFormat="true" ht="15" hidden="false" customHeight="false" outlineLevel="0" collapsed="false">
      <c r="A56" s="24" t="n">
        <v>70</v>
      </c>
      <c r="B56" s="24" t="s">
        <v>310</v>
      </c>
      <c r="C56" s="19" t="s">
        <v>296</v>
      </c>
      <c r="E56" s="24" t="n">
        <v>1</v>
      </c>
      <c r="F56" s="24" t="s">
        <v>311</v>
      </c>
      <c r="G56" s="24" t="s">
        <v>312</v>
      </c>
      <c r="H56" s="24" t="s">
        <v>307</v>
      </c>
      <c r="I56" s="24" t="s">
        <v>313</v>
      </c>
      <c r="J56" s="24" t="s">
        <v>314</v>
      </c>
      <c r="K56" s="26" t="s">
        <v>302</v>
      </c>
      <c r="L56" s="24" t="n">
        <v>0.37</v>
      </c>
      <c r="AMJ56" s="11"/>
    </row>
    <row r="57" s="27" customFormat="true" ht="15" hidden="false" customHeight="false" outlineLevel="0" collapsed="false">
      <c r="A57" s="27" t="n">
        <v>71</v>
      </c>
      <c r="B57" s="27" t="s">
        <v>315</v>
      </c>
      <c r="C57" s="19" t="s">
        <v>296</v>
      </c>
      <c r="E57" s="27" t="n">
        <v>1</v>
      </c>
      <c r="F57" s="27" t="s">
        <v>316</v>
      </c>
      <c r="G57" s="27" t="s">
        <v>317</v>
      </c>
      <c r="H57" s="27" t="s">
        <v>318</v>
      </c>
      <c r="I57" s="27" t="s">
        <v>319</v>
      </c>
      <c r="J57" s="27" t="s">
        <v>320</v>
      </c>
      <c r="K57" s="29" t="s">
        <v>302</v>
      </c>
      <c r="L57" s="27" t="n">
        <v>0.37</v>
      </c>
      <c r="AMJ57" s="11"/>
    </row>
    <row r="58" s="96" customFormat="true" ht="15" hidden="false" customHeight="false" outlineLevel="0" collapsed="false">
      <c r="A58" s="96" t="n">
        <v>72</v>
      </c>
      <c r="B58" s="96" t="s">
        <v>321</v>
      </c>
      <c r="C58" s="97" t="s">
        <v>322</v>
      </c>
      <c r="D58" s="98"/>
      <c r="E58" s="96" t="n">
        <v>1</v>
      </c>
      <c r="F58" s="96" t="s">
        <v>323</v>
      </c>
      <c r="G58" s="96" t="s">
        <v>324</v>
      </c>
      <c r="H58" s="96" t="s">
        <v>270</v>
      </c>
      <c r="I58" s="96" t="s">
        <v>325</v>
      </c>
      <c r="J58" s="96" t="s">
        <v>326</v>
      </c>
      <c r="K58" s="99" t="s">
        <v>94</v>
      </c>
      <c r="L58" s="96" t="n">
        <v>0.25</v>
      </c>
      <c r="M58" s="100" t="n">
        <f aca="false">AVERAGE(L58:L62)</f>
        <v>0.258</v>
      </c>
      <c r="N58" s="100" t="n">
        <f aca="false">STDEV(L58:L62)</f>
        <v>0.00836660026534076</v>
      </c>
      <c r="O58" s="96" t="n">
        <v>0.11</v>
      </c>
      <c r="P58" s="96" t="n">
        <v>0.04</v>
      </c>
      <c r="AMJ58" s="11"/>
    </row>
    <row r="59" s="101" customFormat="true" ht="15" hidden="false" customHeight="false" outlineLevel="0" collapsed="false">
      <c r="A59" s="101" t="n">
        <v>73</v>
      </c>
      <c r="B59" s="101" t="s">
        <v>327</v>
      </c>
      <c r="C59" s="97" t="s">
        <v>322</v>
      </c>
      <c r="E59" s="101" t="n">
        <v>1</v>
      </c>
      <c r="F59" s="101" t="s">
        <v>328</v>
      </c>
      <c r="G59" s="101" t="s">
        <v>329</v>
      </c>
      <c r="H59" s="101" t="s">
        <v>286</v>
      </c>
      <c r="I59" s="101" t="s">
        <v>92</v>
      </c>
      <c r="J59" s="101" t="s">
        <v>330</v>
      </c>
      <c r="K59" s="102" t="s">
        <v>94</v>
      </c>
      <c r="L59" s="101" t="n">
        <v>0.26</v>
      </c>
      <c r="AMJ59" s="11"/>
    </row>
    <row r="60" s="101" customFormat="true" ht="15" hidden="false" customHeight="false" outlineLevel="0" collapsed="false">
      <c r="A60" s="101" t="n">
        <v>74</v>
      </c>
      <c r="B60" s="101" t="s">
        <v>331</v>
      </c>
      <c r="C60" s="97" t="s">
        <v>322</v>
      </c>
      <c r="D60" s="103" t="s">
        <v>332</v>
      </c>
      <c r="E60" s="101" t="n">
        <v>1</v>
      </c>
      <c r="F60" s="101" t="s">
        <v>226</v>
      </c>
      <c r="G60" s="101" t="s">
        <v>333</v>
      </c>
      <c r="H60" s="101" t="s">
        <v>334</v>
      </c>
      <c r="I60" s="101" t="s">
        <v>335</v>
      </c>
      <c r="J60" s="101" t="s">
        <v>336</v>
      </c>
      <c r="K60" s="102" t="s">
        <v>294</v>
      </c>
      <c r="L60" s="101" t="n">
        <v>0.26</v>
      </c>
      <c r="AMJ60" s="11"/>
    </row>
    <row r="61" s="101" customFormat="true" ht="15" hidden="false" customHeight="false" outlineLevel="0" collapsed="false">
      <c r="A61" s="101" t="n">
        <v>75</v>
      </c>
      <c r="B61" s="101" t="s">
        <v>337</v>
      </c>
      <c r="C61" s="97" t="s">
        <v>322</v>
      </c>
      <c r="E61" s="101" t="n">
        <v>1</v>
      </c>
      <c r="F61" s="101" t="s">
        <v>338</v>
      </c>
      <c r="G61" s="101" t="s">
        <v>333</v>
      </c>
      <c r="H61" s="101" t="s">
        <v>339</v>
      </c>
      <c r="I61" s="101" t="s">
        <v>340</v>
      </c>
      <c r="J61" s="101" t="s">
        <v>341</v>
      </c>
      <c r="K61" s="102" t="s">
        <v>94</v>
      </c>
      <c r="L61" s="101" t="n">
        <v>0.27</v>
      </c>
      <c r="AMJ61" s="11"/>
    </row>
    <row r="62" s="104" customFormat="true" ht="15" hidden="false" customHeight="false" outlineLevel="0" collapsed="false">
      <c r="A62" s="104" t="n">
        <v>76</v>
      </c>
      <c r="B62" s="104" t="s">
        <v>342</v>
      </c>
      <c r="C62" s="97" t="s">
        <v>322</v>
      </c>
      <c r="E62" s="104" t="n">
        <v>1</v>
      </c>
      <c r="F62" s="104" t="s">
        <v>338</v>
      </c>
      <c r="G62" s="104" t="s">
        <v>343</v>
      </c>
      <c r="H62" s="104" t="s">
        <v>112</v>
      </c>
      <c r="I62" s="104" t="s">
        <v>344</v>
      </c>
      <c r="J62" s="104" t="s">
        <v>345</v>
      </c>
      <c r="K62" s="105" t="s">
        <v>28</v>
      </c>
      <c r="L62" s="104" t="n">
        <v>0.25</v>
      </c>
      <c r="AMJ62" s="11"/>
    </row>
    <row r="63" s="106" customFormat="true" ht="15" hidden="false" customHeight="false" outlineLevel="0" collapsed="false">
      <c r="A63" s="106" t="n">
        <v>79</v>
      </c>
      <c r="B63" s="106" t="s">
        <v>346</v>
      </c>
      <c r="C63" s="107" t="s">
        <v>347</v>
      </c>
      <c r="D63" s="108"/>
      <c r="E63" s="106" t="n">
        <v>1</v>
      </c>
      <c r="F63" s="106" t="s">
        <v>328</v>
      </c>
      <c r="G63" s="106" t="s">
        <v>348</v>
      </c>
      <c r="H63" s="106" t="s">
        <v>349</v>
      </c>
      <c r="I63" s="106" t="s">
        <v>350</v>
      </c>
      <c r="J63" s="106" t="s">
        <v>351</v>
      </c>
      <c r="K63" s="109" t="s">
        <v>165</v>
      </c>
      <c r="L63" s="106" t="n">
        <v>0.29</v>
      </c>
      <c r="M63" s="110" t="n">
        <f aca="false">AVERAGE(L63:L67)</f>
        <v>0.266</v>
      </c>
      <c r="N63" s="110" t="n">
        <f aca="false">STDEV(L63:L67)</f>
        <v>0.0151657508881031</v>
      </c>
      <c r="O63" s="106" t="n">
        <v>0.12</v>
      </c>
      <c r="P63" s="106" t="n">
        <v>0.02</v>
      </c>
      <c r="AMJ63" s="11"/>
    </row>
    <row r="64" s="111" customFormat="true" ht="15" hidden="false" customHeight="false" outlineLevel="0" collapsed="false">
      <c r="A64" s="111" t="n">
        <v>80</v>
      </c>
      <c r="B64" s="111" t="s">
        <v>352</v>
      </c>
      <c r="C64" s="107" t="s">
        <v>353</v>
      </c>
      <c r="E64" s="111" t="n">
        <v>1</v>
      </c>
      <c r="F64" s="111" t="s">
        <v>49</v>
      </c>
      <c r="G64" s="111" t="s">
        <v>354</v>
      </c>
      <c r="H64" s="111" t="s">
        <v>355</v>
      </c>
      <c r="I64" s="111" t="s">
        <v>356</v>
      </c>
      <c r="J64" s="111" t="s">
        <v>357</v>
      </c>
      <c r="K64" s="112" t="s">
        <v>94</v>
      </c>
      <c r="L64" s="111" t="n">
        <v>0.25</v>
      </c>
      <c r="AMJ64" s="11"/>
    </row>
    <row r="65" s="111" customFormat="true" ht="15" hidden="false" customHeight="false" outlineLevel="0" collapsed="false">
      <c r="A65" s="111" t="n">
        <v>81</v>
      </c>
      <c r="B65" s="111" t="s">
        <v>358</v>
      </c>
      <c r="C65" s="107" t="s">
        <v>353</v>
      </c>
      <c r="D65" s="113" t="s">
        <v>359</v>
      </c>
      <c r="E65" s="111" t="n">
        <v>1</v>
      </c>
      <c r="F65" s="111" t="s">
        <v>56</v>
      </c>
      <c r="G65" s="111" t="s">
        <v>360</v>
      </c>
      <c r="H65" s="111" t="s">
        <v>361</v>
      </c>
      <c r="I65" s="111" t="s">
        <v>362</v>
      </c>
      <c r="J65" s="111" t="s">
        <v>363</v>
      </c>
      <c r="K65" s="112" t="s">
        <v>94</v>
      </c>
      <c r="L65" s="111" t="n">
        <v>0.26</v>
      </c>
      <c r="AMJ65" s="11"/>
    </row>
    <row r="66" s="111" customFormat="true" ht="15" hidden="false" customHeight="false" outlineLevel="0" collapsed="false">
      <c r="A66" s="111" t="n">
        <v>82</v>
      </c>
      <c r="B66" s="111" t="s">
        <v>364</v>
      </c>
      <c r="C66" s="107" t="s">
        <v>353</v>
      </c>
      <c r="E66" s="111" t="n">
        <v>1</v>
      </c>
      <c r="F66" s="111" t="s">
        <v>365</v>
      </c>
      <c r="G66" s="111" t="s">
        <v>366</v>
      </c>
      <c r="H66" s="111" t="s">
        <v>281</v>
      </c>
      <c r="I66" s="111" t="s">
        <v>367</v>
      </c>
      <c r="J66" s="111" t="s">
        <v>368</v>
      </c>
      <c r="K66" s="112" t="s">
        <v>94</v>
      </c>
      <c r="L66" s="111" t="n">
        <v>0.26</v>
      </c>
      <c r="AMJ66" s="11"/>
    </row>
    <row r="67" s="114" customFormat="true" ht="15" hidden="false" customHeight="false" outlineLevel="0" collapsed="false">
      <c r="A67" s="114" t="n">
        <v>83</v>
      </c>
      <c r="B67" s="114" t="s">
        <v>369</v>
      </c>
      <c r="C67" s="107" t="s">
        <v>353</v>
      </c>
      <c r="E67" s="114" t="n">
        <v>1</v>
      </c>
      <c r="F67" s="114" t="s">
        <v>370</v>
      </c>
      <c r="G67" s="114" t="s">
        <v>354</v>
      </c>
      <c r="H67" s="114" t="s">
        <v>371</v>
      </c>
      <c r="I67" s="114" t="s">
        <v>372</v>
      </c>
      <c r="J67" s="114" t="s">
        <v>373</v>
      </c>
      <c r="K67" s="115" t="s">
        <v>294</v>
      </c>
      <c r="L67" s="114" t="n">
        <v>0.27</v>
      </c>
      <c r="AMJ67" s="11"/>
    </row>
    <row r="68" s="5" customFormat="true" ht="15" hidden="false" customHeight="false" outlineLevel="0" collapsed="false">
      <c r="A68" s="5" t="n">
        <v>84</v>
      </c>
      <c r="B68" s="5" t="s">
        <v>374</v>
      </c>
      <c r="C68" s="6" t="s">
        <v>375</v>
      </c>
      <c r="D68" s="13"/>
      <c r="E68" s="5" t="n">
        <v>1</v>
      </c>
      <c r="F68" s="5" t="s">
        <v>376</v>
      </c>
      <c r="G68" s="5" t="s">
        <v>377</v>
      </c>
      <c r="H68" s="5" t="s">
        <v>378</v>
      </c>
      <c r="I68" s="5" t="s">
        <v>379</v>
      </c>
      <c r="J68" s="5" t="s">
        <v>380</v>
      </c>
      <c r="K68" s="8" t="s">
        <v>381</v>
      </c>
      <c r="L68" s="5" t="n">
        <v>0.29</v>
      </c>
      <c r="M68" s="116" t="n">
        <f aca="false">AVERAGE(L68:L72)</f>
        <v>0.29</v>
      </c>
      <c r="N68" s="116" t="n">
        <f aca="false">STDEV(L68:L72)</f>
        <v>0.00707106781186546</v>
      </c>
      <c r="AMJ68" s="11"/>
    </row>
    <row r="69" s="12" customFormat="true" ht="15" hidden="false" customHeight="false" outlineLevel="0" collapsed="false">
      <c r="A69" s="12" t="n">
        <v>85</v>
      </c>
      <c r="B69" s="12" t="s">
        <v>382</v>
      </c>
      <c r="C69" s="6" t="s">
        <v>383</v>
      </c>
      <c r="E69" s="12" t="n">
        <v>1</v>
      </c>
      <c r="F69" s="12" t="s">
        <v>110</v>
      </c>
      <c r="G69" s="12" t="s">
        <v>384</v>
      </c>
      <c r="H69" s="12" t="s">
        <v>385</v>
      </c>
      <c r="I69" s="12" t="s">
        <v>379</v>
      </c>
      <c r="J69" s="12" t="s">
        <v>386</v>
      </c>
      <c r="K69" s="14" t="s">
        <v>387</v>
      </c>
      <c r="L69" s="12" t="n">
        <v>0.29</v>
      </c>
      <c r="AMJ69" s="11"/>
    </row>
    <row r="70" s="12" customFormat="true" ht="15" hidden="false" customHeight="false" outlineLevel="0" collapsed="false">
      <c r="A70" s="12" t="n">
        <v>86</v>
      </c>
      <c r="B70" s="12" t="s">
        <v>388</v>
      </c>
      <c r="C70" s="6" t="s">
        <v>383</v>
      </c>
      <c r="D70" s="117" t="s">
        <v>389</v>
      </c>
      <c r="E70" s="12" t="n">
        <v>1</v>
      </c>
      <c r="F70" s="12" t="s">
        <v>115</v>
      </c>
      <c r="G70" s="12" t="s">
        <v>390</v>
      </c>
      <c r="H70" s="12" t="s">
        <v>385</v>
      </c>
      <c r="I70" s="12" t="s">
        <v>391</v>
      </c>
      <c r="J70" s="12" t="s">
        <v>392</v>
      </c>
      <c r="K70" s="14" t="s">
        <v>387</v>
      </c>
      <c r="L70" s="12" t="n">
        <v>0.3</v>
      </c>
      <c r="AMJ70" s="11"/>
    </row>
    <row r="71" s="12" customFormat="true" ht="15" hidden="false" customHeight="false" outlineLevel="0" collapsed="false">
      <c r="A71" s="12" t="n">
        <v>87</v>
      </c>
      <c r="B71" s="12" t="s">
        <v>393</v>
      </c>
      <c r="C71" s="6" t="s">
        <v>383</v>
      </c>
      <c r="E71" s="12" t="n">
        <v>1</v>
      </c>
      <c r="F71" s="12" t="s">
        <v>394</v>
      </c>
      <c r="G71" s="12" t="s">
        <v>395</v>
      </c>
      <c r="H71" s="12" t="s">
        <v>396</v>
      </c>
      <c r="I71" s="12" t="s">
        <v>397</v>
      </c>
      <c r="J71" s="12" t="s">
        <v>398</v>
      </c>
      <c r="K71" s="14" t="s">
        <v>387</v>
      </c>
      <c r="L71" s="12" t="n">
        <v>0.29</v>
      </c>
      <c r="AMJ71" s="11"/>
    </row>
    <row r="72" s="15" customFormat="true" ht="15" hidden="false" customHeight="false" outlineLevel="0" collapsed="false">
      <c r="A72" s="15" t="n">
        <v>89</v>
      </c>
      <c r="B72" s="15" t="s">
        <v>399</v>
      </c>
      <c r="C72" s="6" t="s">
        <v>383</v>
      </c>
      <c r="E72" s="15" t="n">
        <v>1</v>
      </c>
      <c r="F72" s="15" t="s">
        <v>400</v>
      </c>
      <c r="G72" s="15" t="s">
        <v>401</v>
      </c>
      <c r="H72" s="15" t="s">
        <v>349</v>
      </c>
      <c r="I72" s="15" t="s">
        <v>402</v>
      </c>
      <c r="J72" s="15" t="s">
        <v>403</v>
      </c>
      <c r="K72" s="17" t="s">
        <v>165</v>
      </c>
      <c r="L72" s="15" t="n">
        <v>0.28</v>
      </c>
      <c r="AMJ72" s="11"/>
    </row>
    <row r="73" s="118" customFormat="true" ht="15" hidden="false" customHeight="false" outlineLevel="0" collapsed="false">
      <c r="A73" s="118" t="n">
        <v>90</v>
      </c>
      <c r="B73" s="118" t="s">
        <v>404</v>
      </c>
      <c r="C73" s="119" t="s">
        <v>405</v>
      </c>
      <c r="D73" s="120"/>
      <c r="E73" s="118" t="n">
        <v>1</v>
      </c>
      <c r="F73" s="118" t="s">
        <v>268</v>
      </c>
      <c r="G73" s="118" t="s">
        <v>406</v>
      </c>
      <c r="H73" s="118" t="s">
        <v>25</v>
      </c>
      <c r="I73" s="118" t="s">
        <v>407</v>
      </c>
      <c r="J73" s="118" t="s">
        <v>408</v>
      </c>
      <c r="K73" s="121" t="s">
        <v>28</v>
      </c>
      <c r="L73" s="118" t="n">
        <v>0.28</v>
      </c>
      <c r="M73" s="122" t="n">
        <f aca="false">AVERAGE(L73:L75)</f>
        <v>0.283333333333333</v>
      </c>
      <c r="N73" s="122" t="n">
        <f aca="false">STDEV(L73:L75)</f>
        <v>0.00577350269189623</v>
      </c>
      <c r="AMJ73" s="11"/>
    </row>
    <row r="74" s="123" customFormat="true" ht="15" hidden="false" customHeight="false" outlineLevel="0" collapsed="false">
      <c r="A74" s="123" t="n">
        <v>91</v>
      </c>
      <c r="B74" s="123" t="s">
        <v>409</v>
      </c>
      <c r="C74" s="119" t="s">
        <v>410</v>
      </c>
      <c r="D74" s="124" t="s">
        <v>411</v>
      </c>
      <c r="E74" s="123" t="n">
        <v>1</v>
      </c>
      <c r="F74" s="123" t="s">
        <v>268</v>
      </c>
      <c r="G74" s="123" t="s">
        <v>412</v>
      </c>
      <c r="H74" s="123" t="s">
        <v>413</v>
      </c>
      <c r="I74" s="123" t="s">
        <v>414</v>
      </c>
      <c r="J74" s="123" t="s">
        <v>415</v>
      </c>
      <c r="K74" s="125" t="s">
        <v>21</v>
      </c>
      <c r="L74" s="123" t="n">
        <v>0.29</v>
      </c>
      <c r="AMJ74" s="11"/>
    </row>
    <row r="75" s="126" customFormat="true" ht="15" hidden="false" customHeight="false" outlineLevel="0" collapsed="false">
      <c r="A75" s="126" t="n">
        <v>92</v>
      </c>
      <c r="B75" s="126" t="s">
        <v>416</v>
      </c>
      <c r="C75" s="119" t="s">
        <v>410</v>
      </c>
      <c r="D75" s="127"/>
      <c r="E75" s="126" t="n">
        <v>1</v>
      </c>
      <c r="F75" s="126" t="s">
        <v>268</v>
      </c>
      <c r="G75" s="126" t="s">
        <v>417</v>
      </c>
      <c r="H75" s="126" t="s">
        <v>150</v>
      </c>
      <c r="I75" s="126" t="s">
        <v>418</v>
      </c>
      <c r="J75" s="126" t="s">
        <v>419</v>
      </c>
      <c r="K75" s="128" t="s">
        <v>28</v>
      </c>
      <c r="L75" s="126" t="n">
        <v>0.28</v>
      </c>
      <c r="AMJ75" s="11"/>
    </row>
    <row r="76" s="129" customFormat="true" ht="15" hidden="false" customHeight="false" outlineLevel="0" collapsed="false">
      <c r="A76" s="129" t="n">
        <v>94</v>
      </c>
      <c r="B76" s="129" t="s">
        <v>420</v>
      </c>
      <c r="C76" s="130" t="s">
        <v>421</v>
      </c>
      <c r="D76" s="131"/>
      <c r="E76" s="129" t="n">
        <v>1</v>
      </c>
      <c r="F76" s="129" t="s">
        <v>422</v>
      </c>
      <c r="G76" s="129" t="s">
        <v>329</v>
      </c>
      <c r="H76" s="129" t="s">
        <v>423</v>
      </c>
      <c r="I76" s="129" t="s">
        <v>146</v>
      </c>
      <c r="J76" s="129" t="s">
        <v>424</v>
      </c>
      <c r="K76" s="132" t="s">
        <v>141</v>
      </c>
      <c r="L76" s="129" t="n">
        <v>0.23</v>
      </c>
      <c r="M76" s="133" t="n">
        <f aca="false">AVERAGE(L76:L78)</f>
        <v>0.23</v>
      </c>
      <c r="N76" s="133" t="n">
        <f aca="false">STDEV(L76:L78)</f>
        <v>0</v>
      </c>
      <c r="O76" s="129" t="n">
        <v>0.03</v>
      </c>
      <c r="P76" s="129" t="n">
        <v>0.02</v>
      </c>
      <c r="AMJ76" s="11"/>
    </row>
    <row r="77" s="134" customFormat="true" ht="15" hidden="false" customHeight="false" outlineLevel="0" collapsed="false">
      <c r="A77" s="134" t="n">
        <v>95</v>
      </c>
      <c r="B77" s="134" t="s">
        <v>425</v>
      </c>
      <c r="C77" s="130" t="s">
        <v>421</v>
      </c>
      <c r="D77" s="135" t="s">
        <v>426</v>
      </c>
      <c r="E77" s="134" t="n">
        <v>1</v>
      </c>
      <c r="F77" s="134" t="s">
        <v>427</v>
      </c>
      <c r="G77" s="134" t="s">
        <v>428</v>
      </c>
      <c r="H77" s="134" t="s">
        <v>429</v>
      </c>
      <c r="I77" s="134" t="s">
        <v>430</v>
      </c>
      <c r="J77" s="134" t="s">
        <v>431</v>
      </c>
      <c r="K77" s="136" t="s">
        <v>141</v>
      </c>
      <c r="L77" s="134" t="n">
        <v>0.23</v>
      </c>
      <c r="AMJ77" s="11"/>
    </row>
    <row r="78" s="137" customFormat="true" ht="15" hidden="false" customHeight="false" outlineLevel="0" collapsed="false">
      <c r="A78" s="137" t="n">
        <v>96</v>
      </c>
      <c r="B78" s="137" t="s">
        <v>432</v>
      </c>
      <c r="C78" s="130" t="s">
        <v>421</v>
      </c>
      <c r="E78" s="137" t="n">
        <v>1</v>
      </c>
      <c r="F78" s="137" t="s">
        <v>433</v>
      </c>
      <c r="G78" s="137" t="s">
        <v>50</v>
      </c>
      <c r="H78" s="137" t="s">
        <v>207</v>
      </c>
      <c r="I78" s="137" t="s">
        <v>59</v>
      </c>
      <c r="J78" s="137" t="s">
        <v>434</v>
      </c>
      <c r="K78" s="138" t="s">
        <v>141</v>
      </c>
      <c r="L78" s="137" t="n">
        <v>0.23</v>
      </c>
      <c r="AMJ78" s="11"/>
    </row>
    <row r="79" s="18" customFormat="true" ht="15" hidden="false" customHeight="false" outlineLevel="0" collapsed="false">
      <c r="A79" s="18" t="n">
        <v>97</v>
      </c>
      <c r="B79" s="18" t="s">
        <v>435</v>
      </c>
      <c r="C79" s="19" t="s">
        <v>436</v>
      </c>
      <c r="D79" s="25"/>
      <c r="E79" s="18" t="n">
        <v>1</v>
      </c>
      <c r="F79" s="18" t="s">
        <v>268</v>
      </c>
      <c r="G79" s="18" t="s">
        <v>437</v>
      </c>
      <c r="H79" s="18" t="s">
        <v>339</v>
      </c>
      <c r="I79" s="18" t="s">
        <v>438</v>
      </c>
      <c r="J79" s="18" t="s">
        <v>439</v>
      </c>
      <c r="K79" s="21" t="s">
        <v>94</v>
      </c>
      <c r="L79" s="18" t="n">
        <v>0.3</v>
      </c>
      <c r="M79" s="94" t="n">
        <f aca="false">AVERAGE(L79:L81)</f>
        <v>0.306666666666667</v>
      </c>
      <c r="N79" s="94" t="n">
        <f aca="false">STDEV(L79:L81)</f>
        <v>0.00577350269189626</v>
      </c>
      <c r="AMJ79" s="11"/>
    </row>
    <row r="80" s="24" customFormat="true" ht="15" hidden="false" customHeight="false" outlineLevel="0" collapsed="false">
      <c r="A80" s="24" t="n">
        <v>98</v>
      </c>
      <c r="B80" s="24" t="s">
        <v>440</v>
      </c>
      <c r="C80" s="19" t="s">
        <v>441</v>
      </c>
      <c r="D80" s="139" t="s">
        <v>442</v>
      </c>
      <c r="E80" s="24" t="n">
        <v>1</v>
      </c>
      <c r="F80" s="24" t="s">
        <v>268</v>
      </c>
      <c r="G80" s="24" t="s">
        <v>443</v>
      </c>
      <c r="H80" s="24" t="s">
        <v>444</v>
      </c>
      <c r="I80" s="24" t="s">
        <v>445</v>
      </c>
      <c r="J80" s="24" t="s">
        <v>446</v>
      </c>
      <c r="K80" s="26" t="s">
        <v>94</v>
      </c>
      <c r="L80" s="24" t="n">
        <v>0.31</v>
      </c>
      <c r="AMJ80" s="11"/>
    </row>
    <row r="81" s="27" customFormat="true" ht="15" hidden="false" customHeight="false" outlineLevel="0" collapsed="false">
      <c r="A81" s="27" t="n">
        <v>99</v>
      </c>
      <c r="B81" s="27" t="s">
        <v>447</v>
      </c>
      <c r="C81" s="19" t="s">
        <v>441</v>
      </c>
      <c r="E81" s="27" t="n">
        <v>1</v>
      </c>
      <c r="F81" s="27" t="s">
        <v>268</v>
      </c>
      <c r="G81" s="27" t="s">
        <v>448</v>
      </c>
      <c r="H81" s="27" t="s">
        <v>252</v>
      </c>
      <c r="I81" s="27" t="s">
        <v>449</v>
      </c>
      <c r="J81" s="27" t="s">
        <v>450</v>
      </c>
      <c r="K81" s="29" t="s">
        <v>294</v>
      </c>
      <c r="L81" s="27" t="n">
        <v>0.31</v>
      </c>
      <c r="AMJ81" s="11"/>
    </row>
    <row r="82" s="12" customFormat="true" ht="15" hidden="false" customHeight="false" outlineLevel="0" collapsed="false">
      <c r="A82" s="12" t="n">
        <v>106</v>
      </c>
      <c r="B82" s="12" t="s">
        <v>451</v>
      </c>
      <c r="C82" s="12" t="s">
        <v>452</v>
      </c>
      <c r="D82" s="117" t="s">
        <v>453</v>
      </c>
      <c r="E82" s="12" t="n">
        <v>1</v>
      </c>
      <c r="F82" s="12" t="s">
        <v>268</v>
      </c>
      <c r="G82" s="12" t="s">
        <v>454</v>
      </c>
      <c r="H82" s="12" t="s">
        <v>455</v>
      </c>
      <c r="I82" s="12" t="s">
        <v>456</v>
      </c>
      <c r="J82" s="12" t="s">
        <v>457</v>
      </c>
      <c r="K82" s="14" t="s">
        <v>458</v>
      </c>
      <c r="L82" s="12" t="n">
        <v>0.51</v>
      </c>
      <c r="M82" s="12" t="n">
        <v>0.51</v>
      </c>
      <c r="N82" s="12" t="s">
        <v>459</v>
      </c>
      <c r="AMJ82" s="11"/>
    </row>
  </sheetData>
  <mergeCells count="16">
    <mergeCell ref="C2:C6"/>
    <mergeCell ref="C7:C11"/>
    <mergeCell ref="C12:C30"/>
    <mergeCell ref="C31:C34"/>
    <mergeCell ref="C35:C37"/>
    <mergeCell ref="C38:C41"/>
    <mergeCell ref="C42:C45"/>
    <mergeCell ref="C46:C48"/>
    <mergeCell ref="C49:C53"/>
    <mergeCell ref="C54:C57"/>
    <mergeCell ref="C58:C62"/>
    <mergeCell ref="C63:C67"/>
    <mergeCell ref="C68:C72"/>
    <mergeCell ref="C73:C75"/>
    <mergeCell ref="C76:C78"/>
    <mergeCell ref="C79:C8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0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O22" activeCellId="0" sqref="O2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1" width="4.41"/>
    <col collapsed="false" customWidth="true" hidden="false" outlineLevel="0" max="2" min="2" style="11" width="37.75"/>
    <col collapsed="false" customWidth="true" hidden="false" outlineLevel="0" max="3" min="3" style="11" width="4.82"/>
    <col collapsed="false" customWidth="true" hidden="false" outlineLevel="0" max="4" min="4" style="11" width="20.04"/>
    <col collapsed="false" customWidth="true" hidden="false" outlineLevel="0" max="6" min="5" style="11" width="5.02"/>
    <col collapsed="false" customWidth="true" hidden="false" outlineLevel="0" max="9" min="7" style="11" width="6.54"/>
    <col collapsed="false" customWidth="true" hidden="false" outlineLevel="0" max="10" min="10" style="11" width="5.12"/>
    <col collapsed="false" customWidth="true" hidden="false" outlineLevel="0" max="11" min="11" style="11" width="20.94"/>
    <col collapsed="false" customWidth="true" hidden="false" outlineLevel="0" max="12" min="12" style="11" width="19.91"/>
    <col collapsed="false" customWidth="true" hidden="false" outlineLevel="0" max="13" min="13" style="11" width="9.13"/>
    <col collapsed="false" customWidth="true" hidden="false" outlineLevel="0" max="14" min="14" style="11" width="20.94"/>
    <col collapsed="false" customWidth="true" hidden="false" outlineLevel="0" max="15" min="15" style="140" width="20.94"/>
    <col collapsed="false" customWidth="true" hidden="false" outlineLevel="0" max="16" min="16" style="11" width="21.17"/>
    <col collapsed="false" customWidth="false" hidden="false" outlineLevel="0" max="17" min="17" style="11" width="11.57"/>
  </cols>
  <sheetData>
    <row r="1" customFormat="false" ht="12.8" hidden="false" customHeight="false" outlineLevel="0" collapsed="false">
      <c r="B1" s="141" t="s">
        <v>0</v>
      </c>
      <c r="C1" s="141" t="s">
        <v>460</v>
      </c>
      <c r="D1" s="141" t="s">
        <v>1</v>
      </c>
      <c r="E1" s="141" t="s">
        <v>461</v>
      </c>
      <c r="F1" s="141" t="s">
        <v>462</v>
      </c>
      <c r="G1" s="141" t="s">
        <v>463</v>
      </c>
      <c r="H1" s="141" t="s">
        <v>464</v>
      </c>
      <c r="I1" s="141" t="s">
        <v>465</v>
      </c>
      <c r="J1" s="141" t="s">
        <v>466</v>
      </c>
      <c r="K1" s="141" t="s">
        <v>467</v>
      </c>
      <c r="L1" s="141" t="s">
        <v>468</v>
      </c>
      <c r="M1" s="141" t="s">
        <v>469</v>
      </c>
      <c r="N1" s="141" t="s">
        <v>470</v>
      </c>
      <c r="O1" s="141" t="s">
        <v>471</v>
      </c>
      <c r="P1" s="141" t="s">
        <v>472</v>
      </c>
      <c r="Q1" s="141" t="s">
        <v>473</v>
      </c>
      <c r="R1" s="11" t="s">
        <v>474</v>
      </c>
      <c r="U1" s="11" t="s">
        <v>475</v>
      </c>
      <c r="V1" s="11" t="s">
        <v>476</v>
      </c>
    </row>
    <row r="2" customFormat="false" ht="12.8" hidden="false" customHeight="false" outlineLevel="0" collapsed="false">
      <c r="A2" s="11" t="n">
        <v>0</v>
      </c>
      <c r="B2" s="141" t="s">
        <v>477</v>
      </c>
      <c r="C2" s="141" t="n">
        <v>0</v>
      </c>
      <c r="D2" s="141" t="s">
        <v>478</v>
      </c>
      <c r="E2" s="141" t="n">
        <v>-20</v>
      </c>
      <c r="F2" s="141" t="n">
        <v>-10</v>
      </c>
      <c r="G2" s="141" t="n">
        <v>42</v>
      </c>
      <c r="H2" s="141" t="n">
        <v>60</v>
      </c>
      <c r="I2" s="141" t="n">
        <v>0</v>
      </c>
      <c r="J2" s="141" t="n">
        <v>4</v>
      </c>
      <c r="K2" s="141"/>
      <c r="L2" s="141" t="n">
        <v>0.433866580251702</v>
      </c>
      <c r="M2" s="141" t="n">
        <v>0</v>
      </c>
      <c r="N2" s="141"/>
      <c r="O2" s="141" t="n">
        <v>0.0235205516809913</v>
      </c>
      <c r="P2" s="141" t="n">
        <v>0.0431740974723029</v>
      </c>
      <c r="Q2" s="141" t="n">
        <v>1</v>
      </c>
      <c r="R2" s="11" t="s">
        <v>479</v>
      </c>
      <c r="U2" s="11" t="n">
        <v>1</v>
      </c>
      <c r="V2" s="11" t="n">
        <v>0.074</v>
      </c>
    </row>
    <row r="3" customFormat="false" ht="12.8" hidden="false" customHeight="false" outlineLevel="0" collapsed="false">
      <c r="A3" s="11" t="n">
        <v>1</v>
      </c>
      <c r="B3" s="141" t="s">
        <v>480</v>
      </c>
      <c r="C3" s="141" t="n">
        <v>0</v>
      </c>
      <c r="D3" s="141" t="s">
        <v>478</v>
      </c>
      <c r="E3" s="141" t="n">
        <v>-20</v>
      </c>
      <c r="F3" s="141" t="n">
        <v>-10</v>
      </c>
      <c r="G3" s="141" t="n">
        <v>42</v>
      </c>
      <c r="H3" s="141" t="n">
        <v>60</v>
      </c>
      <c r="I3" s="141" t="n">
        <v>0</v>
      </c>
      <c r="J3" s="141" t="n">
        <v>4</v>
      </c>
      <c r="K3" s="141"/>
      <c r="L3" s="141" t="n">
        <v>0.453436137016438</v>
      </c>
      <c r="M3" s="141" t="n">
        <v>0</v>
      </c>
      <c r="N3" s="141"/>
      <c r="O3" s="141" t="n">
        <v>0.0353466692783068</v>
      </c>
      <c r="P3" s="141" t="n">
        <v>0.0764063195494801</v>
      </c>
      <c r="Q3" s="141" t="n">
        <v>0</v>
      </c>
      <c r="R3" s="11" t="s">
        <v>479</v>
      </c>
      <c r="U3" s="11" t="n">
        <v>2</v>
      </c>
      <c r="V3" s="11" t="n">
        <v>0.094</v>
      </c>
    </row>
    <row r="4" customFormat="false" ht="12.8" hidden="false" customHeight="false" outlineLevel="0" collapsed="false">
      <c r="A4" s="11" t="n">
        <v>2</v>
      </c>
      <c r="B4" s="141" t="s">
        <v>481</v>
      </c>
      <c r="C4" s="141" t="n">
        <v>0</v>
      </c>
      <c r="D4" s="141" t="s">
        <v>478</v>
      </c>
      <c r="E4" s="141" t="n">
        <v>-20</v>
      </c>
      <c r="F4" s="141" t="n">
        <v>-10</v>
      </c>
      <c r="G4" s="141" t="n">
        <v>42</v>
      </c>
      <c r="H4" s="141" t="n">
        <v>60</v>
      </c>
      <c r="I4" s="141" t="n">
        <v>0</v>
      </c>
      <c r="J4" s="141" t="n">
        <v>4</v>
      </c>
      <c r="K4" s="141"/>
      <c r="L4" s="141" t="n">
        <v>0.457342816039782</v>
      </c>
      <c r="M4" s="141" t="n">
        <v>0</v>
      </c>
      <c r="N4" s="141"/>
      <c r="O4" s="141" t="n">
        <v>0.037847440252347</v>
      </c>
      <c r="P4" s="141" t="n">
        <v>0.0830404823181507</v>
      </c>
      <c r="Q4" s="141" t="n">
        <v>0</v>
      </c>
      <c r="R4" s="11" t="s">
        <v>479</v>
      </c>
      <c r="U4" s="11" t="n">
        <v>3</v>
      </c>
      <c r="V4" s="11" t="n">
        <v>0.104</v>
      </c>
    </row>
    <row r="5" customFormat="false" ht="12.8" hidden="false" customHeight="false" outlineLevel="0" collapsed="false">
      <c r="A5" s="11" t="n">
        <v>3</v>
      </c>
      <c r="B5" s="141" t="s">
        <v>482</v>
      </c>
      <c r="C5" s="141" t="n">
        <v>1</v>
      </c>
      <c r="D5" s="141" t="s">
        <v>478</v>
      </c>
      <c r="E5" s="141" t="n">
        <v>-20</v>
      </c>
      <c r="F5" s="141" t="n">
        <v>-10</v>
      </c>
      <c r="G5" s="141" t="n">
        <v>42</v>
      </c>
      <c r="H5" s="141" t="n">
        <v>60</v>
      </c>
      <c r="I5" s="141" t="n">
        <v>0</v>
      </c>
      <c r="J5" s="141" t="n">
        <v>4</v>
      </c>
      <c r="K5" s="141" t="n">
        <v>0.0872272941813091</v>
      </c>
      <c r="L5" s="141" t="n">
        <v>0.485057753617909</v>
      </c>
      <c r="M5" s="141" t="n">
        <v>0</v>
      </c>
      <c r="N5" s="141" t="n">
        <v>0.0740923020628046</v>
      </c>
      <c r="O5" s="141" t="n">
        <v>0.0567627748881879</v>
      </c>
      <c r="P5" s="141" t="n">
        <v>0.130104857435276</v>
      </c>
      <c r="Q5" s="141" t="n">
        <v>0</v>
      </c>
      <c r="R5" s="11" t="s">
        <v>479</v>
      </c>
      <c r="U5" s="11" t="n">
        <v>4</v>
      </c>
      <c r="V5" s="11" t="n">
        <v>0.107</v>
      </c>
    </row>
    <row r="6" customFormat="false" ht="12.8" hidden="false" customHeight="false" outlineLevel="0" collapsed="false">
      <c r="A6" s="11" t="n">
        <v>4</v>
      </c>
      <c r="B6" s="141" t="s">
        <v>483</v>
      </c>
      <c r="C6" s="141" t="n">
        <v>0</v>
      </c>
      <c r="D6" s="141" t="s">
        <v>478</v>
      </c>
      <c r="E6" s="141" t="n">
        <v>-20</v>
      </c>
      <c r="F6" s="141" t="n">
        <v>-10</v>
      </c>
      <c r="G6" s="141" t="n">
        <v>42</v>
      </c>
      <c r="H6" s="141" t="n">
        <v>60</v>
      </c>
      <c r="I6" s="141" t="n">
        <v>0</v>
      </c>
      <c r="J6" s="141" t="n">
        <v>4</v>
      </c>
      <c r="K6" s="141"/>
      <c r="L6" s="141" t="n">
        <v>0.407639831441455</v>
      </c>
      <c r="M6" s="141" t="n">
        <v>0</v>
      </c>
      <c r="N6" s="141"/>
      <c r="O6" s="141" t="n">
        <v>0.00976299651166168</v>
      </c>
      <c r="P6" s="141" t="n">
        <v>-0.00136309625683639</v>
      </c>
      <c r="Q6" s="141" t="n">
        <v>1</v>
      </c>
      <c r="R6" s="11" t="s">
        <v>484</v>
      </c>
      <c r="U6" s="11" t="n">
        <v>5</v>
      </c>
      <c r="V6" s="11" t="n">
        <v>0.137</v>
      </c>
    </row>
    <row r="7" customFormat="false" ht="12.8" hidden="false" customHeight="false" outlineLevel="0" collapsed="false">
      <c r="A7" s="11" t="n">
        <v>5</v>
      </c>
      <c r="B7" s="141" t="s">
        <v>485</v>
      </c>
      <c r="C7" s="141" t="n">
        <v>0</v>
      </c>
      <c r="D7" s="141" t="s">
        <v>478</v>
      </c>
      <c r="E7" s="141" t="n">
        <v>-20</v>
      </c>
      <c r="F7" s="141" t="n">
        <v>-10</v>
      </c>
      <c r="G7" s="141" t="n">
        <v>42</v>
      </c>
      <c r="H7" s="141" t="n">
        <v>60</v>
      </c>
      <c r="I7" s="141" t="n">
        <v>0</v>
      </c>
      <c r="J7" s="141" t="n">
        <v>4</v>
      </c>
      <c r="K7" s="141"/>
      <c r="L7" s="141" t="n">
        <v>0.433258459112418</v>
      </c>
      <c r="M7" s="141" t="n">
        <v>0</v>
      </c>
      <c r="N7" s="141"/>
      <c r="O7" s="141" t="n">
        <v>0.0231729898579718</v>
      </c>
      <c r="P7" s="141" t="n">
        <v>0.0421414109892386</v>
      </c>
      <c r="Q7" s="141" t="n">
        <v>0</v>
      </c>
      <c r="R7" s="11" t="s">
        <v>484</v>
      </c>
      <c r="U7" s="11" t="n">
        <v>6</v>
      </c>
      <c r="V7" s="11" t="n">
        <v>0.141</v>
      </c>
    </row>
    <row r="8" customFormat="false" ht="12.8" hidden="false" customHeight="false" outlineLevel="0" collapsed="false">
      <c r="A8" s="11" t="n">
        <v>6</v>
      </c>
      <c r="B8" s="141" t="s">
        <v>486</v>
      </c>
      <c r="C8" s="141" t="n">
        <v>0</v>
      </c>
      <c r="D8" s="141" t="s">
        <v>478</v>
      </c>
      <c r="E8" s="141" t="n">
        <v>-20</v>
      </c>
      <c r="F8" s="141" t="n">
        <v>-10</v>
      </c>
      <c r="G8" s="141" t="n">
        <v>42</v>
      </c>
      <c r="H8" s="141" t="n">
        <v>60</v>
      </c>
      <c r="I8" s="141" t="n">
        <v>0</v>
      </c>
      <c r="J8" s="141" t="n">
        <v>4</v>
      </c>
      <c r="K8" s="141"/>
      <c r="L8" s="141" t="n">
        <v>0.449164369917921</v>
      </c>
      <c r="M8" s="141" t="n">
        <v>0</v>
      </c>
      <c r="N8" s="141"/>
      <c r="O8" s="141" t="n">
        <v>0.0326633782455479</v>
      </c>
      <c r="P8" s="141" t="n">
        <v>0.0691521791217461</v>
      </c>
      <c r="Q8" s="141" t="n">
        <v>0</v>
      </c>
      <c r="R8" s="11" t="s">
        <v>484</v>
      </c>
    </row>
    <row r="9" customFormat="false" ht="12.8" hidden="false" customHeight="false" outlineLevel="0" collapsed="false">
      <c r="A9" s="11" t="n">
        <v>7</v>
      </c>
      <c r="B9" s="141" t="s">
        <v>487</v>
      </c>
      <c r="C9" s="141" t="n">
        <v>1</v>
      </c>
      <c r="D9" s="141" t="s">
        <v>478</v>
      </c>
      <c r="E9" s="141" t="n">
        <v>-20</v>
      </c>
      <c r="F9" s="141" t="n">
        <v>-10</v>
      </c>
      <c r="G9" s="141" t="n">
        <v>42</v>
      </c>
      <c r="H9" s="141" t="n">
        <v>60</v>
      </c>
      <c r="I9" s="141" t="n">
        <v>0</v>
      </c>
      <c r="J9" s="141" t="n">
        <v>4</v>
      </c>
      <c r="K9" s="141" t="n">
        <v>0.0786438767239816</v>
      </c>
      <c r="L9" s="141" t="n">
        <v>0.48252240439638</v>
      </c>
      <c r="M9" s="141" t="n">
        <v>0</v>
      </c>
      <c r="N9" s="141" t="n">
        <v>0.0666844224755103</v>
      </c>
      <c r="O9" s="141" t="n">
        <v>0.0549527757491027</v>
      </c>
      <c r="P9" s="141" t="n">
        <v>0.125799430930936</v>
      </c>
      <c r="Q9" s="141" t="n">
        <v>0</v>
      </c>
      <c r="R9" s="11" t="s">
        <v>484</v>
      </c>
    </row>
    <row r="10" customFormat="false" ht="12.8" hidden="false" customHeight="false" outlineLevel="0" collapsed="false">
      <c r="A10" s="11" t="n">
        <v>8</v>
      </c>
      <c r="B10" s="141" t="s">
        <v>488</v>
      </c>
      <c r="C10" s="141" t="n">
        <v>0</v>
      </c>
      <c r="D10" s="141" t="s">
        <v>478</v>
      </c>
      <c r="E10" s="141" t="n">
        <v>-20</v>
      </c>
      <c r="F10" s="141" t="n">
        <v>-10</v>
      </c>
      <c r="G10" s="141" t="n">
        <v>42</v>
      </c>
      <c r="H10" s="141" t="n">
        <v>60</v>
      </c>
      <c r="I10" s="141" t="n">
        <v>0</v>
      </c>
      <c r="J10" s="141" t="n">
        <v>4</v>
      </c>
      <c r="K10" s="141"/>
      <c r="L10" s="141" t="n">
        <v>0.442229769905611</v>
      </c>
      <c r="M10" s="141" t="n">
        <v>0</v>
      </c>
      <c r="N10" s="141"/>
      <c r="O10" s="141" t="n">
        <v>0.028425849458968</v>
      </c>
      <c r="P10" s="141" t="n">
        <v>0.0573761245899052</v>
      </c>
      <c r="Q10" s="141" t="n">
        <v>1</v>
      </c>
      <c r="R10" s="11" t="s">
        <v>489</v>
      </c>
    </row>
    <row r="11" customFormat="false" ht="12.8" hidden="false" customHeight="false" outlineLevel="0" collapsed="false">
      <c r="A11" s="11" t="n">
        <v>9</v>
      </c>
      <c r="B11" s="141" t="s">
        <v>490</v>
      </c>
      <c r="C11" s="141" t="n">
        <v>0</v>
      </c>
      <c r="D11" s="141" t="s">
        <v>478</v>
      </c>
      <c r="E11" s="141" t="n">
        <v>-20</v>
      </c>
      <c r="F11" s="141" t="n">
        <v>-10</v>
      </c>
      <c r="G11" s="141" t="n">
        <v>42</v>
      </c>
      <c r="H11" s="141" t="n">
        <v>60</v>
      </c>
      <c r="I11" s="141" t="n">
        <v>0</v>
      </c>
      <c r="J11" s="141" t="n">
        <v>4</v>
      </c>
      <c r="K11" s="141"/>
      <c r="L11" s="141" t="n">
        <v>0.451340241864947</v>
      </c>
      <c r="M11" s="141" t="n">
        <v>0</v>
      </c>
      <c r="N11" s="141"/>
      <c r="O11" s="141" t="n">
        <v>0.034023357233558</v>
      </c>
      <c r="P11" s="141" t="n">
        <v>0.0728471559995746</v>
      </c>
      <c r="Q11" s="141" t="n">
        <v>0</v>
      </c>
      <c r="R11" s="11" t="s">
        <v>489</v>
      </c>
    </row>
    <row r="12" customFormat="false" ht="12.8" hidden="false" customHeight="false" outlineLevel="0" collapsed="false">
      <c r="A12" s="11" t="n">
        <v>10</v>
      </c>
      <c r="B12" s="141" t="s">
        <v>491</v>
      </c>
      <c r="C12" s="141" t="n">
        <v>0</v>
      </c>
      <c r="D12" s="141" t="s">
        <v>478</v>
      </c>
      <c r="E12" s="141" t="n">
        <v>-20</v>
      </c>
      <c r="F12" s="141" t="n">
        <v>-10</v>
      </c>
      <c r="G12" s="141" t="n">
        <v>42</v>
      </c>
      <c r="H12" s="141" t="n">
        <v>60</v>
      </c>
      <c r="I12" s="141" t="n">
        <v>0</v>
      </c>
      <c r="J12" s="141" t="n">
        <v>4</v>
      </c>
      <c r="K12" s="141"/>
      <c r="L12" s="141" t="n">
        <v>0.462808205841781</v>
      </c>
      <c r="M12" s="141" t="n">
        <v>0</v>
      </c>
      <c r="N12" s="141"/>
      <c r="O12" s="141" t="n">
        <v>0.0414184454441123</v>
      </c>
      <c r="P12" s="141" t="n">
        <v>0.0923215840733855</v>
      </c>
      <c r="Q12" s="141" t="n">
        <v>0</v>
      </c>
      <c r="R12" s="11" t="s">
        <v>489</v>
      </c>
    </row>
    <row r="13" customFormat="false" ht="12.8" hidden="false" customHeight="false" outlineLevel="0" collapsed="false">
      <c r="A13" s="11" t="n">
        <v>11</v>
      </c>
      <c r="B13" s="141" t="s">
        <v>492</v>
      </c>
      <c r="C13" s="141" t="n">
        <v>1</v>
      </c>
      <c r="D13" s="141" t="s">
        <v>478</v>
      </c>
      <c r="E13" s="141" t="n">
        <v>-20</v>
      </c>
      <c r="F13" s="141" t="n">
        <v>-10</v>
      </c>
      <c r="G13" s="141" t="n">
        <v>42</v>
      </c>
      <c r="H13" s="141" t="n">
        <v>60</v>
      </c>
      <c r="I13" s="141" t="n">
        <v>0</v>
      </c>
      <c r="J13" s="141" t="n">
        <v>4</v>
      </c>
      <c r="K13" s="141" t="n">
        <v>0.0911596317844759</v>
      </c>
      <c r="L13" s="141" t="n">
        <v>0.484626651877677</v>
      </c>
      <c r="M13" s="141" t="n">
        <v>0</v>
      </c>
      <c r="N13" s="141" t="n">
        <v>0.0774946173961334</v>
      </c>
      <c r="O13" s="141" t="n">
        <v>0.0564539490676123</v>
      </c>
      <c r="P13" s="141" t="n">
        <v>0.129372778066208</v>
      </c>
      <c r="Q13" s="141" t="n">
        <v>0</v>
      </c>
      <c r="R13" s="11" t="s">
        <v>489</v>
      </c>
    </row>
    <row r="14" customFormat="false" ht="12.8" hidden="false" customHeight="false" outlineLevel="0" collapsed="false">
      <c r="A14" s="11" t="n">
        <v>12</v>
      </c>
      <c r="B14" s="141" t="s">
        <v>493</v>
      </c>
      <c r="C14" s="141" t="n">
        <v>0</v>
      </c>
      <c r="D14" s="141" t="s">
        <v>478</v>
      </c>
      <c r="E14" s="141" t="n">
        <v>-20</v>
      </c>
      <c r="F14" s="141" t="n">
        <v>-10</v>
      </c>
      <c r="G14" s="141" t="n">
        <v>42</v>
      </c>
      <c r="H14" s="141" t="n">
        <v>60</v>
      </c>
      <c r="I14" s="141" t="n">
        <v>0</v>
      </c>
      <c r="J14" s="141" t="n">
        <v>4</v>
      </c>
      <c r="K14" s="141"/>
      <c r="L14" s="141" t="n">
        <v>0.439446133525744</v>
      </c>
      <c r="M14" s="141" t="n">
        <v>0</v>
      </c>
      <c r="N14" s="141"/>
      <c r="O14" s="141" t="n">
        <v>0.0267676022431853</v>
      </c>
      <c r="P14" s="141" t="n">
        <v>0.0526490669733252</v>
      </c>
      <c r="Q14" s="141" t="n">
        <v>1</v>
      </c>
      <c r="S14" s="11"/>
    </row>
    <row r="15" customFormat="false" ht="12.8" hidden="false" customHeight="false" outlineLevel="0" collapsed="false">
      <c r="A15" s="11" t="n">
        <v>13</v>
      </c>
      <c r="B15" s="141" t="s">
        <v>494</v>
      </c>
      <c r="C15" s="141" t="n">
        <v>0</v>
      </c>
      <c r="D15" s="141" t="s">
        <v>478</v>
      </c>
      <c r="E15" s="141" t="n">
        <v>-20</v>
      </c>
      <c r="F15" s="141" t="n">
        <v>-10</v>
      </c>
      <c r="G15" s="141" t="n">
        <v>42</v>
      </c>
      <c r="H15" s="141" t="n">
        <v>60</v>
      </c>
      <c r="I15" s="141" t="n">
        <v>0</v>
      </c>
      <c r="J15" s="141" t="n">
        <v>4</v>
      </c>
      <c r="K15" s="141"/>
      <c r="L15" s="141" t="n">
        <v>0.443693700171004</v>
      </c>
      <c r="M15" s="141" t="n">
        <v>0</v>
      </c>
      <c r="N15" s="141"/>
      <c r="O15" s="141" t="n">
        <v>0.0293078984477086</v>
      </c>
      <c r="P15" s="141" t="n">
        <v>0.0598621111796847</v>
      </c>
      <c r="Q15" s="141" t="n">
        <v>0</v>
      </c>
      <c r="S15" s="11"/>
    </row>
    <row r="16" customFormat="false" ht="12.8" hidden="false" customHeight="false" outlineLevel="0" collapsed="false">
      <c r="A16" s="11" t="n">
        <v>14</v>
      </c>
      <c r="B16" s="141" t="s">
        <v>495</v>
      </c>
      <c r="C16" s="141" t="n">
        <v>0</v>
      </c>
      <c r="D16" s="141" t="s">
        <v>478</v>
      </c>
      <c r="E16" s="141" t="n">
        <v>-20</v>
      </c>
      <c r="F16" s="141" t="n">
        <v>-10</v>
      </c>
      <c r="G16" s="141" t="n">
        <v>42</v>
      </c>
      <c r="H16" s="141" t="n">
        <v>60</v>
      </c>
      <c r="I16" s="141" t="n">
        <v>0</v>
      </c>
      <c r="J16" s="141" t="n">
        <v>4</v>
      </c>
      <c r="K16" s="141"/>
      <c r="L16" s="141" t="n">
        <v>0.454384710721745</v>
      </c>
      <c r="M16" s="141" t="n">
        <v>0</v>
      </c>
      <c r="N16" s="141"/>
      <c r="O16" s="141" t="n">
        <v>0.035949821369115</v>
      </c>
      <c r="P16" s="141" t="n">
        <v>0.0780171486760812</v>
      </c>
      <c r="Q16" s="141" t="n">
        <v>0</v>
      </c>
      <c r="S16" s="11"/>
    </row>
    <row r="17" customFormat="false" ht="12.8" hidden="false" customHeight="false" outlineLevel="0" collapsed="false">
      <c r="A17" s="11" t="n">
        <v>15</v>
      </c>
      <c r="B17" s="141" t="s">
        <v>496</v>
      </c>
      <c r="C17" s="141" t="n">
        <v>1</v>
      </c>
      <c r="D17" s="141" t="s">
        <v>478</v>
      </c>
      <c r="E17" s="141" t="n">
        <v>-20</v>
      </c>
      <c r="F17" s="141" t="n">
        <v>-10</v>
      </c>
      <c r="G17" s="141" t="n">
        <v>42</v>
      </c>
      <c r="H17" s="141" t="n">
        <v>60</v>
      </c>
      <c r="I17" s="141" t="n">
        <v>0</v>
      </c>
      <c r="J17" s="141" t="n">
        <v>4</v>
      </c>
      <c r="K17" s="141" t="n">
        <v>0.0851336927111024</v>
      </c>
      <c r="L17" s="141" t="n">
        <v>0.477565938939288</v>
      </c>
      <c r="M17" s="141" t="n">
        <v>0</v>
      </c>
      <c r="N17" s="141" t="n">
        <v>0.0722830741473539</v>
      </c>
      <c r="O17" s="141" t="n">
        <v>0.0514584288726716</v>
      </c>
      <c r="P17" s="141" t="n">
        <v>0.117382563713752</v>
      </c>
      <c r="Q17" s="141" t="n">
        <v>0</v>
      </c>
      <c r="S17" s="11"/>
    </row>
    <row r="18" customFormat="false" ht="12.8" hidden="false" customHeight="false" outlineLevel="0" collapsed="false">
      <c r="A18" s="11" t="n">
        <v>16</v>
      </c>
      <c r="B18" s="141" t="s">
        <v>497</v>
      </c>
      <c r="C18" s="141" t="n">
        <v>0</v>
      </c>
      <c r="D18" s="141" t="s">
        <v>478</v>
      </c>
      <c r="E18" s="141" t="n">
        <v>-20</v>
      </c>
      <c r="F18" s="141" t="n">
        <v>-10</v>
      </c>
      <c r="G18" s="141" t="n">
        <v>42</v>
      </c>
      <c r="H18" s="141" t="n">
        <v>60</v>
      </c>
      <c r="I18" s="141" t="n">
        <v>0</v>
      </c>
      <c r="J18" s="141" t="n">
        <v>4</v>
      </c>
      <c r="K18" s="141"/>
      <c r="L18" s="141" t="n">
        <v>0.442154842538401</v>
      </c>
      <c r="M18" s="141" t="n">
        <v>0</v>
      </c>
      <c r="N18" s="141"/>
      <c r="O18" s="141" t="n">
        <v>0.0283808876442603</v>
      </c>
      <c r="P18" s="141" t="n">
        <v>0.057248885994943</v>
      </c>
      <c r="Q18" s="141" t="n">
        <v>1</v>
      </c>
    </row>
    <row r="19" customFormat="false" ht="12.8" hidden="false" customHeight="false" outlineLevel="0" collapsed="false">
      <c r="A19" s="11" t="n">
        <v>17</v>
      </c>
      <c r="B19" s="141" t="s">
        <v>498</v>
      </c>
      <c r="C19" s="141" t="n">
        <v>0</v>
      </c>
      <c r="D19" s="141" t="s">
        <v>478</v>
      </c>
      <c r="E19" s="141" t="n">
        <v>-20</v>
      </c>
      <c r="F19" s="141" t="n">
        <v>-10</v>
      </c>
      <c r="G19" s="141" t="n">
        <v>42</v>
      </c>
      <c r="H19" s="141" t="n">
        <v>60</v>
      </c>
      <c r="I19" s="141" t="n">
        <v>0</v>
      </c>
      <c r="J19" s="141" t="n">
        <v>4</v>
      </c>
      <c r="K19" s="141"/>
      <c r="L19" s="141" t="n">
        <v>0.431659593020385</v>
      </c>
      <c r="M19" s="141" t="n">
        <v>0</v>
      </c>
      <c r="N19" s="141"/>
      <c r="O19" s="141" t="n">
        <v>0.0222652496987413</v>
      </c>
      <c r="P19" s="141" t="n">
        <v>0.0394262818894384</v>
      </c>
      <c r="Q19" s="141" t="n">
        <v>0</v>
      </c>
    </row>
    <row r="20" customFormat="false" ht="12.8" hidden="false" customHeight="false" outlineLevel="0" collapsed="false">
      <c r="A20" s="11" t="n">
        <v>18</v>
      </c>
      <c r="B20" s="141" t="s">
        <v>499</v>
      </c>
      <c r="C20" s="141" t="n">
        <v>0</v>
      </c>
      <c r="D20" s="141" t="s">
        <v>478</v>
      </c>
      <c r="E20" s="141" t="n">
        <v>-20</v>
      </c>
      <c r="F20" s="141" t="n">
        <v>-10</v>
      </c>
      <c r="G20" s="141" t="n">
        <v>42</v>
      </c>
      <c r="H20" s="141" t="n">
        <v>60</v>
      </c>
      <c r="I20" s="141" t="n">
        <v>0</v>
      </c>
      <c r="J20" s="141" t="n">
        <v>4</v>
      </c>
      <c r="K20" s="141"/>
      <c r="L20" s="141" t="n">
        <v>0.45010892841733</v>
      </c>
      <c r="M20" s="141" t="n">
        <v>0</v>
      </c>
      <c r="N20" s="141"/>
      <c r="O20" s="141" t="n">
        <v>0.0332520075677204</v>
      </c>
      <c r="P20" s="141" t="n">
        <v>0.0707561897896739</v>
      </c>
      <c r="Q20" s="141" t="n">
        <v>0</v>
      </c>
    </row>
    <row r="21" customFormat="false" ht="12.8" hidden="false" customHeight="false" outlineLevel="0" collapsed="false">
      <c r="A21" s="11" t="n">
        <v>19</v>
      </c>
      <c r="B21" s="141" t="s">
        <v>500</v>
      </c>
      <c r="C21" s="141" t="n">
        <v>1</v>
      </c>
      <c r="D21" s="141" t="s">
        <v>478</v>
      </c>
      <c r="E21" s="141" t="n">
        <v>-20</v>
      </c>
      <c r="F21" s="141" t="n">
        <v>-10</v>
      </c>
      <c r="G21" s="141" t="n">
        <v>42</v>
      </c>
      <c r="H21" s="141" t="n">
        <v>60</v>
      </c>
      <c r="I21" s="141" t="n">
        <v>0</v>
      </c>
      <c r="J21" s="141" t="n">
        <v>4</v>
      </c>
      <c r="K21" s="141" t="n">
        <v>0.0754497589129471</v>
      </c>
      <c r="L21" s="141" t="n">
        <v>0.475834891489602</v>
      </c>
      <c r="M21" s="141" t="n">
        <v>0</v>
      </c>
      <c r="N21" s="141" t="n">
        <v>0.0639342728996716</v>
      </c>
      <c r="O21" s="141" t="n">
        <v>0.050252072710772</v>
      </c>
      <c r="P21" s="141" t="n">
        <v>0.114442969630674</v>
      </c>
      <c r="Q21" s="141" t="n">
        <v>0</v>
      </c>
    </row>
    <row r="22" customFormat="false" ht="12.8" hidden="false" customHeight="false" outlineLevel="0" collapsed="false">
      <c r="A22" s="11" t="n">
        <v>20</v>
      </c>
      <c r="B22" s="141" t="s">
        <v>501</v>
      </c>
      <c r="C22" s="141" t="n">
        <v>0</v>
      </c>
      <c r="D22" s="141" t="s">
        <v>478</v>
      </c>
      <c r="E22" s="141" t="n">
        <v>-20</v>
      </c>
      <c r="F22" s="141" t="n">
        <v>-10</v>
      </c>
      <c r="G22" s="141" t="n">
        <v>42</v>
      </c>
      <c r="H22" s="141" t="n">
        <v>60</v>
      </c>
      <c r="I22" s="141" t="n">
        <v>0</v>
      </c>
      <c r="J22" s="141" t="n">
        <v>4</v>
      </c>
      <c r="K22" s="141"/>
      <c r="L22" s="141" t="n">
        <v>0.641578910045509</v>
      </c>
      <c r="M22" s="141" t="n">
        <v>0</v>
      </c>
      <c r="N22" s="141"/>
      <c r="O22" s="141" t="n">
        <v>0.19293993798315</v>
      </c>
      <c r="P22" s="141" t="n">
        <v>0.395902692956598</v>
      </c>
      <c r="Q22" s="141" t="n">
        <v>0</v>
      </c>
    </row>
    <row r="23" customFormat="false" ht="12.8" hidden="false" customHeight="false" outlineLevel="0" collapsed="false">
      <c r="A23" s="11" t="n">
        <v>21</v>
      </c>
      <c r="B23" s="141" t="s">
        <v>502</v>
      </c>
      <c r="C23" s="141" t="n">
        <v>0</v>
      </c>
      <c r="D23" s="141" t="s">
        <v>478</v>
      </c>
      <c r="E23" s="141" t="n">
        <v>-20</v>
      </c>
      <c r="F23" s="141" t="n">
        <v>-10</v>
      </c>
      <c r="G23" s="141" t="n">
        <v>42</v>
      </c>
      <c r="H23" s="141" t="n">
        <v>60</v>
      </c>
      <c r="I23" s="141" t="n">
        <v>0</v>
      </c>
      <c r="J23" s="141" t="n">
        <v>4</v>
      </c>
      <c r="K23" s="141"/>
      <c r="L23" s="141" t="n">
        <v>0.62528251009575</v>
      </c>
      <c r="M23" s="141" t="n">
        <v>0</v>
      </c>
      <c r="N23" s="141"/>
      <c r="O23" s="141" t="n">
        <v>0.176484048778787</v>
      </c>
      <c r="P23" s="141" t="n">
        <v>0.36822881210689</v>
      </c>
      <c r="Q23" s="141" t="n">
        <v>0</v>
      </c>
    </row>
    <row r="24" customFormat="false" ht="12.8" hidden="false" customHeight="false" outlineLevel="0" collapsed="false">
      <c r="A24" s="11" t="n">
        <v>22</v>
      </c>
      <c r="B24" s="141" t="s">
        <v>503</v>
      </c>
      <c r="C24" s="141" t="n">
        <v>0</v>
      </c>
      <c r="D24" s="141" t="s">
        <v>478</v>
      </c>
      <c r="E24" s="141" t="n">
        <v>-20</v>
      </c>
      <c r="F24" s="141" t="n">
        <v>-10</v>
      </c>
      <c r="G24" s="141" t="n">
        <v>42</v>
      </c>
      <c r="H24" s="141" t="n">
        <v>60</v>
      </c>
      <c r="I24" s="141" t="n">
        <v>0</v>
      </c>
      <c r="J24" s="141" t="n">
        <v>4</v>
      </c>
      <c r="K24" s="141"/>
      <c r="L24" s="141" t="n">
        <v>0.634750371416672</v>
      </c>
      <c r="M24" s="141" t="n">
        <v>0</v>
      </c>
      <c r="N24" s="141"/>
      <c r="O24" s="141" t="n">
        <v>0.18596551015731</v>
      </c>
      <c r="P24" s="141" t="n">
        <v>0.384306747534624</v>
      </c>
      <c r="Q24" s="141" t="n">
        <v>0</v>
      </c>
    </row>
    <row r="25" customFormat="false" ht="12.8" hidden="false" customHeight="false" outlineLevel="0" collapsed="false">
      <c r="A25" s="11" t="n">
        <v>23</v>
      </c>
      <c r="B25" s="141" t="s">
        <v>504</v>
      </c>
      <c r="C25" s="141" t="n">
        <v>1</v>
      </c>
      <c r="D25" s="141" t="s">
        <v>478</v>
      </c>
      <c r="E25" s="141" t="n">
        <v>-20</v>
      </c>
      <c r="F25" s="141" t="n">
        <v>-10</v>
      </c>
      <c r="G25" s="141" t="n">
        <v>42</v>
      </c>
      <c r="H25" s="141" t="n">
        <v>60</v>
      </c>
      <c r="I25" s="141" t="n">
        <v>0</v>
      </c>
      <c r="J25" s="141" t="n">
        <v>4</v>
      </c>
      <c r="K25" s="141" t="n">
        <v>0.412416038134323</v>
      </c>
      <c r="L25" s="141" t="n">
        <v>0.624314208185744</v>
      </c>
      <c r="M25" s="141" t="n">
        <v>0</v>
      </c>
      <c r="N25" s="141" t="n">
        <v>0.37355477572432</v>
      </c>
      <c r="O25" s="141" t="n">
        <v>0.175526225640017</v>
      </c>
      <c r="P25" s="141" t="n">
        <v>0.366584481348769</v>
      </c>
      <c r="Q25" s="141" t="n">
        <v>0</v>
      </c>
    </row>
    <row r="26" customFormat="false" ht="12.8" hidden="false" customHeight="false" outlineLevel="0" collapsed="false">
      <c r="A26" s="11" t="n">
        <v>24</v>
      </c>
      <c r="B26" s="141" t="s">
        <v>505</v>
      </c>
      <c r="C26" s="141" t="n">
        <v>0</v>
      </c>
      <c r="D26" s="141" t="s">
        <v>506</v>
      </c>
      <c r="E26" s="141" t="n">
        <v>-20</v>
      </c>
      <c r="F26" s="141" t="n">
        <v>-10</v>
      </c>
      <c r="G26" s="141" t="n">
        <v>42</v>
      </c>
      <c r="H26" s="141" t="n">
        <v>60</v>
      </c>
      <c r="I26" s="141" t="n">
        <v>0</v>
      </c>
      <c r="J26" s="141" t="n">
        <v>4</v>
      </c>
      <c r="K26" s="141"/>
      <c r="L26" s="141" t="n">
        <v>0.45110449011076</v>
      </c>
      <c r="M26" s="141" t="n">
        <v>0</v>
      </c>
      <c r="N26" s="141"/>
      <c r="O26" s="141" t="n">
        <v>0.0338753213711296</v>
      </c>
      <c r="P26" s="141" t="n">
        <v>0.0724468119987167</v>
      </c>
      <c r="Q26" s="141" t="n">
        <v>1</v>
      </c>
      <c r="R26" s="11" t="s">
        <v>507</v>
      </c>
    </row>
    <row r="27" customFormat="false" ht="12.8" hidden="false" customHeight="false" outlineLevel="0" collapsed="false">
      <c r="A27" s="11" t="n">
        <v>25</v>
      </c>
      <c r="B27" s="141" t="s">
        <v>508</v>
      </c>
      <c r="C27" s="141" t="n">
        <v>0</v>
      </c>
      <c r="D27" s="141" t="s">
        <v>506</v>
      </c>
      <c r="E27" s="141" t="n">
        <v>-20</v>
      </c>
      <c r="F27" s="141" t="n">
        <v>-10</v>
      </c>
      <c r="G27" s="141" t="n">
        <v>42</v>
      </c>
      <c r="H27" s="141" t="n">
        <v>60</v>
      </c>
      <c r="I27" s="141" t="n">
        <v>0</v>
      </c>
      <c r="J27" s="141" t="n">
        <v>4</v>
      </c>
      <c r="K27" s="141"/>
      <c r="L27" s="141" t="n">
        <v>0.456672894297724</v>
      </c>
      <c r="M27" s="141" t="n">
        <v>0</v>
      </c>
      <c r="N27" s="141"/>
      <c r="O27" s="141" t="n">
        <v>0.0374154895261886</v>
      </c>
      <c r="P27" s="141" t="n">
        <v>0.0819028485753913</v>
      </c>
      <c r="Q27" s="141" t="n">
        <v>0</v>
      </c>
      <c r="R27" s="11" t="s">
        <v>507</v>
      </c>
    </row>
    <row r="28" customFormat="false" ht="12.8" hidden="false" customHeight="false" outlineLevel="0" collapsed="false">
      <c r="A28" s="11" t="n">
        <v>26</v>
      </c>
      <c r="B28" s="141" t="s">
        <v>509</v>
      </c>
      <c r="C28" s="141" t="n">
        <v>1</v>
      </c>
      <c r="D28" s="141" t="s">
        <v>506</v>
      </c>
      <c r="E28" s="141" t="n">
        <v>-20</v>
      </c>
      <c r="F28" s="141" t="n">
        <v>-10</v>
      </c>
      <c r="G28" s="141" t="n">
        <v>42</v>
      </c>
      <c r="H28" s="141" t="n">
        <v>60</v>
      </c>
      <c r="I28" s="141" t="n">
        <v>0</v>
      </c>
      <c r="J28" s="141" t="n">
        <v>4</v>
      </c>
      <c r="K28" s="141" t="n">
        <v>0.091910812261292</v>
      </c>
      <c r="L28" s="141" t="n">
        <v>0.487030162689506</v>
      </c>
      <c r="M28" s="141" t="n">
        <v>0</v>
      </c>
      <c r="N28" s="141" t="n">
        <v>0.0781451593008409</v>
      </c>
      <c r="O28" s="141" t="n">
        <v>0.0581812216894277</v>
      </c>
      <c r="P28" s="141" t="n">
        <v>0.133454321967475</v>
      </c>
      <c r="Q28" s="141" t="n">
        <v>0</v>
      </c>
      <c r="R28" s="11" t="s">
        <v>507</v>
      </c>
    </row>
    <row r="29" customFormat="false" ht="12.8" hidden="false" customHeight="false" outlineLevel="0" collapsed="false">
      <c r="A29" s="11" t="n">
        <v>27</v>
      </c>
      <c r="B29" s="141" t="s">
        <v>510</v>
      </c>
      <c r="C29" s="141" t="n">
        <v>0</v>
      </c>
      <c r="D29" s="141" t="s">
        <v>506</v>
      </c>
      <c r="E29" s="141" t="n">
        <v>-20</v>
      </c>
      <c r="F29" s="141" t="n">
        <v>-10</v>
      </c>
      <c r="G29" s="141" t="n">
        <v>42</v>
      </c>
      <c r="H29" s="141" t="n">
        <v>60</v>
      </c>
      <c r="I29" s="141" t="n">
        <v>0</v>
      </c>
      <c r="J29" s="141" t="n">
        <v>4</v>
      </c>
      <c r="K29" s="141"/>
      <c r="L29" s="141" t="n">
        <v>0.429224831226878</v>
      </c>
      <c r="M29" s="141" t="n">
        <v>0</v>
      </c>
      <c r="N29" s="141"/>
      <c r="O29" s="141" t="n">
        <v>0.0209000289089032</v>
      </c>
      <c r="P29" s="141" t="n">
        <v>0.0352916688473768</v>
      </c>
      <c r="Q29" s="141" t="n">
        <v>1</v>
      </c>
    </row>
    <row r="30" customFormat="false" ht="12.8" hidden="false" customHeight="false" outlineLevel="0" collapsed="false">
      <c r="A30" s="11" t="n">
        <v>28</v>
      </c>
      <c r="B30" s="141" t="s">
        <v>511</v>
      </c>
      <c r="C30" s="141" t="n">
        <v>0</v>
      </c>
      <c r="D30" s="141" t="s">
        <v>506</v>
      </c>
      <c r="E30" s="141" t="n">
        <v>-20</v>
      </c>
      <c r="F30" s="141" t="n">
        <v>-10</v>
      </c>
      <c r="G30" s="141" t="n">
        <v>42</v>
      </c>
      <c r="H30" s="141" t="n">
        <v>60</v>
      </c>
      <c r="I30" s="141" t="n">
        <v>0</v>
      </c>
      <c r="J30" s="141" t="n">
        <v>4</v>
      </c>
      <c r="K30" s="141"/>
      <c r="L30" s="141" t="n">
        <v>0.456049985087844</v>
      </c>
      <c r="M30" s="141" t="n">
        <v>0</v>
      </c>
      <c r="N30" s="141"/>
      <c r="O30" s="141" t="n">
        <v>0.0370150008251799</v>
      </c>
      <c r="P30" s="141" t="n">
        <v>0.080845049594786</v>
      </c>
      <c r="Q30" s="141" t="n">
        <v>0</v>
      </c>
    </row>
    <row r="31" customFormat="false" ht="12.8" hidden="false" customHeight="false" outlineLevel="0" collapsed="false">
      <c r="A31" s="11" t="n">
        <v>29</v>
      </c>
      <c r="B31" s="141" t="s">
        <v>512</v>
      </c>
      <c r="C31" s="141" t="n">
        <v>1</v>
      </c>
      <c r="D31" s="141" t="s">
        <v>506</v>
      </c>
      <c r="E31" s="141" t="n">
        <v>-20</v>
      </c>
      <c r="F31" s="141" t="n">
        <v>-10</v>
      </c>
      <c r="G31" s="141" t="n">
        <v>42</v>
      </c>
      <c r="H31" s="141" t="n">
        <v>60</v>
      </c>
      <c r="I31" s="141" t="n">
        <v>0</v>
      </c>
      <c r="J31" s="141" t="n">
        <v>4</v>
      </c>
      <c r="K31" s="141" t="n">
        <v>0.0791088970220015</v>
      </c>
      <c r="L31" s="141" t="n">
        <v>0.484378830489501</v>
      </c>
      <c r="M31" s="141" t="n">
        <v>0</v>
      </c>
      <c r="N31" s="141" t="n">
        <v>0.0670851018934628</v>
      </c>
      <c r="O31" s="141" t="n">
        <v>0.0562766144971191</v>
      </c>
      <c r="P31" s="141" t="n">
        <v>0.128951937905833</v>
      </c>
      <c r="Q31" s="141" t="n">
        <v>0</v>
      </c>
    </row>
    <row r="32" customFormat="false" ht="12.8" hidden="false" customHeight="false" outlineLevel="0" collapsed="false">
      <c r="A32" s="11" t="n">
        <v>30</v>
      </c>
      <c r="B32" s="141" t="s">
        <v>513</v>
      </c>
      <c r="C32" s="141" t="n">
        <v>0</v>
      </c>
      <c r="D32" s="141" t="s">
        <v>506</v>
      </c>
      <c r="E32" s="141" t="n">
        <v>-20</v>
      </c>
      <c r="F32" s="141" t="n">
        <v>-10</v>
      </c>
      <c r="G32" s="141" t="n">
        <v>42</v>
      </c>
      <c r="H32" s="141" t="n">
        <v>60</v>
      </c>
      <c r="I32" s="141" t="n">
        <v>0</v>
      </c>
      <c r="J32" s="141" t="n">
        <v>4</v>
      </c>
      <c r="K32" s="141"/>
      <c r="L32" s="141" t="n">
        <v>0.431550317898251</v>
      </c>
      <c r="M32" s="141" t="n">
        <v>0</v>
      </c>
      <c r="N32" s="141"/>
      <c r="O32" s="141" t="n">
        <v>0.022203532683213</v>
      </c>
      <c r="P32" s="141" t="n">
        <v>0.0392407153398264</v>
      </c>
      <c r="Q32" s="141" t="n">
        <v>1</v>
      </c>
    </row>
    <row r="33" customFormat="false" ht="12.8" hidden="false" customHeight="false" outlineLevel="0" collapsed="false">
      <c r="A33" s="11" t="n">
        <v>31</v>
      </c>
      <c r="B33" s="141" t="s">
        <v>514</v>
      </c>
      <c r="C33" s="141" t="n">
        <v>0</v>
      </c>
      <c r="D33" s="141" t="s">
        <v>506</v>
      </c>
      <c r="E33" s="141" t="n">
        <v>-20</v>
      </c>
      <c r="F33" s="141" t="n">
        <v>-10</v>
      </c>
      <c r="G33" s="141" t="n">
        <v>42</v>
      </c>
      <c r="H33" s="141" t="n">
        <v>60</v>
      </c>
      <c r="I33" s="141" t="n">
        <v>0</v>
      </c>
      <c r="J33" s="141" t="n">
        <v>4</v>
      </c>
      <c r="K33" s="141"/>
      <c r="L33" s="141" t="n">
        <v>0.452577796485017</v>
      </c>
      <c r="M33" s="141" t="n">
        <v>0</v>
      </c>
      <c r="N33" s="141"/>
      <c r="O33" s="141" t="n">
        <v>0.0348031613750406</v>
      </c>
      <c r="P33" s="141" t="n">
        <v>0.0749487207136482</v>
      </c>
      <c r="Q33" s="141" t="n">
        <v>0</v>
      </c>
    </row>
    <row r="34" customFormat="false" ht="12.8" hidden="false" customHeight="false" outlineLevel="0" collapsed="false">
      <c r="A34" s="11" t="n">
        <v>32</v>
      </c>
      <c r="B34" s="141" t="s">
        <v>515</v>
      </c>
      <c r="C34" s="141" t="n">
        <v>0</v>
      </c>
      <c r="D34" s="141" t="s">
        <v>506</v>
      </c>
      <c r="E34" s="141" t="n">
        <v>-20</v>
      </c>
      <c r="F34" s="141" t="n">
        <v>-10</v>
      </c>
      <c r="G34" s="141" t="n">
        <v>42</v>
      </c>
      <c r="H34" s="141" t="n">
        <v>60</v>
      </c>
      <c r="I34" s="141" t="n">
        <v>0</v>
      </c>
      <c r="J34" s="141" t="n">
        <v>4</v>
      </c>
      <c r="K34" s="141"/>
      <c r="L34" s="141" t="n">
        <v>0.456175227190898</v>
      </c>
      <c r="M34" s="141" t="n">
        <v>0</v>
      </c>
      <c r="N34" s="141"/>
      <c r="O34" s="141" t="n">
        <v>0.0370954338438827</v>
      </c>
      <c r="P34" s="141" t="n">
        <v>0.0810577306193047</v>
      </c>
      <c r="Q34" s="141" t="n">
        <v>1</v>
      </c>
    </row>
    <row r="35" customFormat="false" ht="12.8" hidden="false" customHeight="false" outlineLevel="0" collapsed="false">
      <c r="A35" s="11" t="n">
        <v>33</v>
      </c>
      <c r="B35" s="141" t="s">
        <v>516</v>
      </c>
      <c r="C35" s="141" t="n">
        <v>0</v>
      </c>
      <c r="D35" s="141" t="s">
        <v>506</v>
      </c>
      <c r="E35" s="141" t="n">
        <v>-20</v>
      </c>
      <c r="F35" s="141" t="n">
        <v>-10</v>
      </c>
      <c r="G35" s="141" t="n">
        <v>42</v>
      </c>
      <c r="H35" s="141" t="n">
        <v>60</v>
      </c>
      <c r="I35" s="141" t="n">
        <v>0</v>
      </c>
      <c r="J35" s="141" t="n">
        <v>4</v>
      </c>
      <c r="K35" s="141"/>
      <c r="L35" s="141" t="n">
        <v>0.456747402892579</v>
      </c>
      <c r="M35" s="141" t="n">
        <v>0</v>
      </c>
      <c r="N35" s="141"/>
      <c r="O35" s="141" t="n">
        <v>0.0374634678162583</v>
      </c>
      <c r="P35" s="141" t="n">
        <v>0.0820293760282431</v>
      </c>
      <c r="Q35" s="141" t="n">
        <v>1</v>
      </c>
    </row>
    <row r="36" customFormat="false" ht="12.8" hidden="false" customHeight="false" outlineLevel="0" collapsed="false">
      <c r="A36" s="11" t="n">
        <v>34</v>
      </c>
      <c r="B36" s="141" t="s">
        <v>517</v>
      </c>
      <c r="C36" s="141" t="n">
        <v>1</v>
      </c>
      <c r="D36" s="141" t="s">
        <v>506</v>
      </c>
      <c r="E36" s="141" t="n">
        <v>-20</v>
      </c>
      <c r="F36" s="141" t="n">
        <v>-10</v>
      </c>
      <c r="G36" s="141" t="n">
        <v>42</v>
      </c>
      <c r="H36" s="141" t="n">
        <v>60</v>
      </c>
      <c r="I36" s="141" t="n">
        <v>0</v>
      </c>
      <c r="J36" s="141" t="n">
        <v>4</v>
      </c>
      <c r="K36" s="141" t="n">
        <v>0.090553408284027</v>
      </c>
      <c r="L36" s="141" t="n">
        <v>0.487130339975416</v>
      </c>
      <c r="M36" s="141" t="n">
        <v>0</v>
      </c>
      <c r="N36" s="141" t="n">
        <v>0.07696975462436</v>
      </c>
      <c r="O36" s="141" t="n">
        <v>0.058253502444903</v>
      </c>
      <c r="P36" s="141" t="n">
        <v>0.133624438943166</v>
      </c>
      <c r="Q36" s="141" t="n">
        <v>0</v>
      </c>
    </row>
    <row r="37" customFormat="false" ht="12.8" hidden="false" customHeight="false" outlineLevel="0" collapsed="false">
      <c r="A37" s="11" t="n">
        <v>35</v>
      </c>
      <c r="B37" s="141" t="s">
        <v>518</v>
      </c>
      <c r="C37" s="141" t="n">
        <v>0</v>
      </c>
      <c r="D37" s="141" t="s">
        <v>506</v>
      </c>
      <c r="E37" s="141" t="n">
        <v>-20</v>
      </c>
      <c r="F37" s="141" t="n">
        <v>-10</v>
      </c>
      <c r="G37" s="141" t="n">
        <v>42</v>
      </c>
      <c r="H37" s="141" t="n">
        <v>60</v>
      </c>
      <c r="I37" s="141" t="n">
        <v>0</v>
      </c>
      <c r="J37" s="141" t="n">
        <v>4</v>
      </c>
      <c r="K37" s="141"/>
      <c r="L37" s="141" t="n">
        <v>0.442862849368613</v>
      </c>
      <c r="M37" s="141" t="n">
        <v>0</v>
      </c>
      <c r="N37" s="141"/>
      <c r="O37" s="141" t="n">
        <v>0.0288064576443112</v>
      </c>
      <c r="P37" s="141" t="n">
        <v>0.0584511942790106</v>
      </c>
      <c r="Q37" s="141" t="n">
        <v>1</v>
      </c>
    </row>
    <row r="38" customFormat="false" ht="12.8" hidden="false" customHeight="false" outlineLevel="0" collapsed="false">
      <c r="A38" s="11" t="n">
        <v>36</v>
      </c>
      <c r="B38" s="141" t="s">
        <v>519</v>
      </c>
      <c r="C38" s="141" t="n">
        <v>0</v>
      </c>
      <c r="D38" s="141" t="s">
        <v>506</v>
      </c>
      <c r="E38" s="141" t="n">
        <v>-20</v>
      </c>
      <c r="F38" s="141" t="n">
        <v>-10</v>
      </c>
      <c r="G38" s="141" t="n">
        <v>42</v>
      </c>
      <c r="H38" s="141" t="n">
        <v>60</v>
      </c>
      <c r="I38" s="141" t="n">
        <v>0</v>
      </c>
      <c r="J38" s="141" t="n">
        <v>4</v>
      </c>
      <c r="K38" s="141"/>
      <c r="L38" s="141" t="n">
        <v>0.456818482609355</v>
      </c>
      <c r="M38" s="141" t="n">
        <v>0</v>
      </c>
      <c r="N38" s="141"/>
      <c r="O38" s="141" t="n">
        <v>0.0375092529133076</v>
      </c>
      <c r="P38" s="141" t="n">
        <v>0.0821500807003769</v>
      </c>
      <c r="Q38" s="141" t="n">
        <v>0</v>
      </c>
    </row>
    <row r="39" customFormat="false" ht="12.8" hidden="false" customHeight="false" outlineLevel="0" collapsed="false">
      <c r="A39" s="11" t="n">
        <v>37</v>
      </c>
      <c r="B39" s="141" t="s">
        <v>520</v>
      </c>
      <c r="C39" s="141" t="n">
        <v>0</v>
      </c>
      <c r="D39" s="141" t="s">
        <v>521</v>
      </c>
      <c r="E39" s="141" t="n">
        <v>-20</v>
      </c>
      <c r="F39" s="141" t="n">
        <v>-10</v>
      </c>
      <c r="G39" s="141" t="n">
        <v>42</v>
      </c>
      <c r="H39" s="141" t="n">
        <v>60</v>
      </c>
      <c r="I39" s="141" t="n">
        <v>0</v>
      </c>
      <c r="J39" s="141" t="n">
        <v>4</v>
      </c>
      <c r="K39" s="141"/>
      <c r="L39" s="141" t="n">
        <v>0.629042641779785</v>
      </c>
      <c r="M39" s="141" t="n">
        <v>0</v>
      </c>
      <c r="N39" s="141"/>
      <c r="O39" s="141" t="n">
        <v>0.180224100821136</v>
      </c>
      <c r="P39" s="141" t="n">
        <v>0.374614114168941</v>
      </c>
      <c r="Q39" s="141" t="n">
        <v>1</v>
      </c>
    </row>
    <row r="40" customFormat="false" ht="12.8" hidden="false" customHeight="false" outlineLevel="0" collapsed="false">
      <c r="A40" s="11" t="n">
        <v>38</v>
      </c>
      <c r="B40" s="141" t="s">
        <v>522</v>
      </c>
      <c r="C40" s="141" t="n">
        <v>0</v>
      </c>
      <c r="D40" s="141" t="s">
        <v>521</v>
      </c>
      <c r="E40" s="141" t="n">
        <v>-20</v>
      </c>
      <c r="F40" s="141" t="n">
        <v>-10</v>
      </c>
      <c r="G40" s="141" t="n">
        <v>42</v>
      </c>
      <c r="H40" s="141" t="n">
        <v>60</v>
      </c>
      <c r="I40" s="141" t="n">
        <v>0</v>
      </c>
      <c r="J40" s="141" t="n">
        <v>4</v>
      </c>
      <c r="K40" s="141"/>
      <c r="L40" s="141" t="n">
        <v>0.614940659369254</v>
      </c>
      <c r="M40" s="141" t="n">
        <v>0</v>
      </c>
      <c r="N40" s="141"/>
      <c r="O40" s="141" t="n">
        <v>0.166363083850084</v>
      </c>
      <c r="P40" s="141" t="n">
        <v>0.350666703564338</v>
      </c>
      <c r="Q40" s="141" t="n">
        <v>1</v>
      </c>
    </row>
    <row r="41" customFormat="false" ht="12.8" hidden="false" customHeight="false" outlineLevel="0" collapsed="false">
      <c r="A41" s="11" t="n">
        <v>39</v>
      </c>
      <c r="B41" s="141" t="s">
        <v>523</v>
      </c>
      <c r="C41" s="141" t="n">
        <v>1</v>
      </c>
      <c r="D41" s="141" t="s">
        <v>521</v>
      </c>
      <c r="E41" s="141" t="n">
        <v>-20</v>
      </c>
      <c r="F41" s="141" t="n">
        <v>-10</v>
      </c>
      <c r="G41" s="141" t="n">
        <v>42</v>
      </c>
      <c r="H41" s="141" t="n">
        <v>60</v>
      </c>
      <c r="I41" s="141" t="n">
        <v>0</v>
      </c>
      <c r="J41" s="141" t="n">
        <v>4</v>
      </c>
      <c r="K41" s="141" t="n">
        <v>0.250421746168818</v>
      </c>
      <c r="L41" s="141" t="n">
        <v>0.638071074630369</v>
      </c>
      <c r="M41" s="141" t="n">
        <v>0</v>
      </c>
      <c r="N41" s="141" t="n">
        <v>0.219794687959015</v>
      </c>
      <c r="O41" s="141" t="n">
        <v>0.189342479167654</v>
      </c>
      <c r="P41" s="141" t="n">
        <v>0.389945830114605</v>
      </c>
      <c r="Q41" s="141" t="n">
        <v>1</v>
      </c>
    </row>
    <row r="42" customFormat="false" ht="12.8" hidden="false" customHeight="false" outlineLevel="0" collapsed="false">
      <c r="A42" s="11" t="n">
        <v>40</v>
      </c>
      <c r="B42" s="141" t="s">
        <v>524</v>
      </c>
      <c r="C42" s="141" t="n">
        <v>1</v>
      </c>
      <c r="D42" s="141" t="s">
        <v>521</v>
      </c>
      <c r="E42" s="141" t="n">
        <v>-20</v>
      </c>
      <c r="F42" s="141" t="n">
        <v>-10</v>
      </c>
      <c r="G42" s="141" t="n">
        <v>42</v>
      </c>
      <c r="H42" s="141" t="n">
        <v>60</v>
      </c>
      <c r="I42" s="141" t="n">
        <v>0</v>
      </c>
      <c r="J42" s="141" t="n">
        <v>4</v>
      </c>
      <c r="K42" s="141" t="n">
        <v>0.339056147547831</v>
      </c>
      <c r="L42" s="141" t="n">
        <v>0.647299656281198</v>
      </c>
      <c r="M42" s="141" t="n">
        <v>0</v>
      </c>
      <c r="N42" s="141" t="n">
        <v>0.302796950936379</v>
      </c>
      <c r="O42" s="141" t="n">
        <v>0.198875450395271</v>
      </c>
      <c r="P42" s="141" t="n">
        <v>0.405617430578767</v>
      </c>
      <c r="Q42" s="141" t="n">
        <v>0</v>
      </c>
    </row>
    <row r="43" customFormat="false" ht="12.8" hidden="false" customHeight="false" outlineLevel="0" collapsed="false">
      <c r="A43" s="11" t="n">
        <v>41</v>
      </c>
      <c r="B43" s="141" t="s">
        <v>525</v>
      </c>
      <c r="C43" s="141" t="n">
        <v>1</v>
      </c>
      <c r="D43" s="141" t="s">
        <v>521</v>
      </c>
      <c r="E43" s="141" t="n">
        <v>-20</v>
      </c>
      <c r="F43" s="141" t="n">
        <v>-10</v>
      </c>
      <c r="G43" s="141" t="n">
        <v>42</v>
      </c>
      <c r="H43" s="141" t="n">
        <v>60</v>
      </c>
      <c r="I43" s="141" t="n">
        <v>0</v>
      </c>
      <c r="J43" s="141" t="n">
        <v>4</v>
      </c>
      <c r="K43" s="141" t="n">
        <v>0.336170017707738</v>
      </c>
      <c r="L43" s="141" t="n">
        <v>0.655391717835386</v>
      </c>
      <c r="M43" s="141" t="n">
        <v>0</v>
      </c>
      <c r="N43" s="141" t="n">
        <v>0.30005132743718</v>
      </c>
      <c r="O43" s="141" t="n">
        <v>0.207422966778479</v>
      </c>
      <c r="P43" s="141" t="n">
        <v>0.419359039030297</v>
      </c>
      <c r="Q43" s="141" t="n">
        <v>0</v>
      </c>
    </row>
    <row r="44" customFormat="false" ht="12.8" hidden="false" customHeight="false" outlineLevel="0" collapsed="false">
      <c r="A44" s="11" t="n">
        <v>42</v>
      </c>
      <c r="B44" s="141" t="s">
        <v>526</v>
      </c>
      <c r="C44" s="141" t="n">
        <v>0</v>
      </c>
      <c r="D44" s="141" t="s">
        <v>521</v>
      </c>
      <c r="E44" s="141" t="n">
        <v>-20</v>
      </c>
      <c r="F44" s="141" t="n">
        <v>-10</v>
      </c>
      <c r="G44" s="141" t="n">
        <v>42</v>
      </c>
      <c r="H44" s="141" t="n">
        <v>60</v>
      </c>
      <c r="I44" s="141" t="n">
        <v>0</v>
      </c>
      <c r="J44" s="141" t="n">
        <v>4</v>
      </c>
      <c r="K44" s="141"/>
      <c r="L44" s="141" t="n">
        <v>0.635657429835224</v>
      </c>
      <c r="M44" s="141" t="n">
        <v>0</v>
      </c>
      <c r="N44" s="141"/>
      <c r="O44" s="141" t="n">
        <v>0.186885217798911</v>
      </c>
      <c r="P44" s="141" t="n">
        <v>0.385847077096743</v>
      </c>
      <c r="Q44" s="141" t="n">
        <v>1</v>
      </c>
      <c r="R44" s="11" t="s">
        <v>527</v>
      </c>
    </row>
    <row r="45" customFormat="false" ht="12.8" hidden="false" customHeight="false" outlineLevel="0" collapsed="false">
      <c r="A45" s="11" t="n">
        <v>43</v>
      </c>
      <c r="B45" s="141" t="s">
        <v>528</v>
      </c>
      <c r="C45" s="141" t="n">
        <v>0</v>
      </c>
      <c r="D45" s="141" t="s">
        <v>521</v>
      </c>
      <c r="E45" s="141" t="n">
        <v>-20</v>
      </c>
      <c r="F45" s="141" t="n">
        <v>-10</v>
      </c>
      <c r="G45" s="141" t="n">
        <v>42</v>
      </c>
      <c r="H45" s="141" t="n">
        <v>60</v>
      </c>
      <c r="I45" s="141" t="n">
        <v>0</v>
      </c>
      <c r="J45" s="141" t="n">
        <v>4</v>
      </c>
      <c r="K45" s="141"/>
      <c r="L45" s="141" t="n">
        <v>0.622000190830077</v>
      </c>
      <c r="M45" s="141" t="n">
        <v>0</v>
      </c>
      <c r="N45" s="141"/>
      <c r="O45" s="141" t="n">
        <v>0.173245918323504</v>
      </c>
      <c r="P45" s="141" t="n">
        <v>0.362654911579843</v>
      </c>
      <c r="Q45" s="141" t="n">
        <v>1</v>
      </c>
      <c r="R45" s="11" t="s">
        <v>527</v>
      </c>
    </row>
    <row r="46" customFormat="false" ht="12.8" hidden="false" customHeight="false" outlineLevel="0" collapsed="false">
      <c r="A46" s="11" t="n">
        <v>44</v>
      </c>
      <c r="B46" s="141" t="s">
        <v>529</v>
      </c>
      <c r="C46" s="141" t="n">
        <v>1</v>
      </c>
      <c r="D46" s="141" t="s">
        <v>521</v>
      </c>
      <c r="E46" s="141" t="n">
        <v>-20</v>
      </c>
      <c r="F46" s="141" t="n">
        <v>-10</v>
      </c>
      <c r="G46" s="141" t="n">
        <v>42</v>
      </c>
      <c r="H46" s="141" t="n">
        <v>60</v>
      </c>
      <c r="I46" s="141" t="n">
        <v>0</v>
      </c>
      <c r="J46" s="141" t="n">
        <v>4</v>
      </c>
      <c r="K46" s="141" t="n">
        <v>0.352587494616458</v>
      </c>
      <c r="L46" s="141" t="n">
        <v>0.658637740948888</v>
      </c>
      <c r="M46" s="141" t="n">
        <v>0</v>
      </c>
      <c r="N46" s="141" t="n">
        <v>0.315708045996184</v>
      </c>
      <c r="O46" s="141" t="n">
        <v>0.21090382931224</v>
      </c>
      <c r="P46" s="141" t="n">
        <v>0.424871302914061</v>
      </c>
      <c r="Q46" s="141" t="n">
        <v>0</v>
      </c>
      <c r="R46" s="11" t="s">
        <v>527</v>
      </c>
    </row>
    <row r="47" customFormat="false" ht="12.8" hidden="false" customHeight="false" outlineLevel="0" collapsed="false">
      <c r="A47" s="11" t="n">
        <v>45</v>
      </c>
      <c r="B47" s="141" t="s">
        <v>530</v>
      </c>
      <c r="C47" s="141" t="n">
        <v>1</v>
      </c>
      <c r="D47" s="141" t="s">
        <v>521</v>
      </c>
      <c r="E47" s="141" t="n">
        <v>-20</v>
      </c>
      <c r="F47" s="141" t="n">
        <v>-10</v>
      </c>
      <c r="G47" s="141" t="n">
        <v>42</v>
      </c>
      <c r="H47" s="141" t="n">
        <v>60</v>
      </c>
      <c r="I47" s="141" t="n">
        <v>0</v>
      </c>
      <c r="J47" s="141" t="n">
        <v>4</v>
      </c>
      <c r="K47" s="141" t="n">
        <v>0.311258049247962</v>
      </c>
      <c r="L47" s="141" t="n">
        <v>0.660384277452294</v>
      </c>
      <c r="M47" s="141" t="n">
        <v>0</v>
      </c>
      <c r="N47" s="141" t="n">
        <v>0.276472167126886</v>
      </c>
      <c r="O47" s="141" t="n">
        <v>0.2127894951275</v>
      </c>
      <c r="P47" s="141" t="n">
        <v>0.427837199875594</v>
      </c>
      <c r="Q47" s="141" t="n">
        <v>0</v>
      </c>
      <c r="R47" s="11" t="s">
        <v>527</v>
      </c>
    </row>
    <row r="48" customFormat="false" ht="12.8" hidden="false" customHeight="false" outlineLevel="0" collapsed="false">
      <c r="A48" s="11" t="n">
        <v>46</v>
      </c>
      <c r="B48" s="141" t="s">
        <v>531</v>
      </c>
      <c r="C48" s="141" t="n">
        <v>1</v>
      </c>
      <c r="D48" s="141" t="s">
        <v>521</v>
      </c>
      <c r="E48" s="141" t="n">
        <v>-20</v>
      </c>
      <c r="F48" s="141" t="n">
        <v>-10</v>
      </c>
      <c r="G48" s="141" t="n">
        <v>42</v>
      </c>
      <c r="H48" s="141" t="n">
        <v>60</v>
      </c>
      <c r="I48" s="141" t="n">
        <v>0</v>
      </c>
      <c r="J48" s="141" t="n">
        <v>4</v>
      </c>
      <c r="K48" s="141" t="n">
        <v>0.336812977694267</v>
      </c>
      <c r="L48" s="141" t="n">
        <v>0.676169788377354</v>
      </c>
      <c r="M48" s="141" t="n">
        <v>0</v>
      </c>
      <c r="N48" s="141" t="n">
        <v>0.300662736061097</v>
      </c>
      <c r="O48" s="141" t="n">
        <v>0.230260569499241</v>
      </c>
      <c r="P48" s="141" t="n">
        <v>0.454643509848266</v>
      </c>
      <c r="Q48" s="141" t="n">
        <v>0</v>
      </c>
      <c r="R48" s="11" t="s">
        <v>527</v>
      </c>
    </row>
    <row r="49" customFormat="false" ht="12.8" hidden="false" customHeight="false" outlineLevel="0" collapsed="false">
      <c r="A49" s="11" t="n">
        <v>47</v>
      </c>
      <c r="B49" s="141" t="s">
        <v>532</v>
      </c>
      <c r="C49" s="141" t="n">
        <v>0</v>
      </c>
      <c r="D49" s="141" t="s">
        <v>521</v>
      </c>
      <c r="E49" s="141" t="n">
        <v>-20</v>
      </c>
      <c r="F49" s="141" t="n">
        <v>-10</v>
      </c>
      <c r="G49" s="141" t="n">
        <v>42</v>
      </c>
      <c r="H49" s="141" t="n">
        <v>60</v>
      </c>
      <c r="I49" s="141" t="n">
        <v>0</v>
      </c>
      <c r="J49" s="141" t="n">
        <v>4</v>
      </c>
      <c r="K49" s="141"/>
      <c r="L49" s="141" t="n">
        <v>0.654408233194082</v>
      </c>
      <c r="M49" s="141" t="n">
        <v>0</v>
      </c>
      <c r="N49" s="141"/>
      <c r="O49" s="141" t="n">
        <v>0.20637433030678</v>
      </c>
      <c r="P49" s="141" t="n">
        <v>0.417688925577947</v>
      </c>
      <c r="Q49" s="141" t="n">
        <v>1</v>
      </c>
    </row>
    <row r="50" customFormat="false" ht="12.8" hidden="false" customHeight="false" outlineLevel="0" collapsed="false">
      <c r="A50" s="11" t="n">
        <v>48</v>
      </c>
      <c r="B50" s="141" t="s">
        <v>533</v>
      </c>
      <c r="C50" s="141" t="n">
        <v>0</v>
      </c>
      <c r="D50" s="141" t="s">
        <v>521</v>
      </c>
      <c r="E50" s="141" t="n">
        <v>-20</v>
      </c>
      <c r="F50" s="141" t="n">
        <v>-10</v>
      </c>
      <c r="G50" s="141" t="n">
        <v>42</v>
      </c>
      <c r="H50" s="141" t="n">
        <v>60</v>
      </c>
      <c r="I50" s="141" t="n">
        <v>0</v>
      </c>
      <c r="J50" s="141" t="n">
        <v>4</v>
      </c>
      <c r="K50" s="141"/>
      <c r="L50" s="141" t="n">
        <v>0.619064554056569</v>
      </c>
      <c r="M50" s="141" t="n">
        <v>0</v>
      </c>
      <c r="N50" s="141"/>
      <c r="O50" s="141" t="n">
        <v>0.17037039840362</v>
      </c>
      <c r="P50" s="141" t="n">
        <v>0.357669733102478</v>
      </c>
      <c r="Q50" s="141" t="n">
        <v>1</v>
      </c>
    </row>
    <row r="51" customFormat="false" ht="12.8" hidden="false" customHeight="false" outlineLevel="0" collapsed="false">
      <c r="A51" s="11" t="n">
        <v>49</v>
      </c>
      <c r="B51" s="141" t="s">
        <v>534</v>
      </c>
      <c r="C51" s="141" t="n">
        <v>1</v>
      </c>
      <c r="D51" s="141" t="s">
        <v>521</v>
      </c>
      <c r="E51" s="141" t="n">
        <v>-20</v>
      </c>
      <c r="F51" s="141" t="n">
        <v>-10</v>
      </c>
      <c r="G51" s="141" t="n">
        <v>42</v>
      </c>
      <c r="H51" s="141" t="n">
        <v>60</v>
      </c>
      <c r="I51" s="141" t="n">
        <v>0</v>
      </c>
      <c r="J51" s="141" t="n">
        <v>4</v>
      </c>
      <c r="K51" s="141" t="n">
        <v>0.36127511977155</v>
      </c>
      <c r="L51" s="141" t="n">
        <v>0.644652915791578</v>
      </c>
      <c r="M51" s="141" t="n">
        <v>0</v>
      </c>
      <c r="N51" s="141" t="n">
        <v>0.324030898543763</v>
      </c>
      <c r="O51" s="141" t="n">
        <v>0.196118602154805</v>
      </c>
      <c r="P51" s="141" t="n">
        <v>0.401122843972176</v>
      </c>
      <c r="Q51" s="141" t="n">
        <v>0</v>
      </c>
    </row>
    <row r="52" customFormat="false" ht="12.8" hidden="false" customHeight="false" outlineLevel="0" collapsed="false">
      <c r="A52" s="11" t="n">
        <v>50</v>
      </c>
      <c r="B52" s="141" t="s">
        <v>535</v>
      </c>
      <c r="C52" s="141" t="n">
        <v>1</v>
      </c>
      <c r="D52" s="141" t="s">
        <v>521</v>
      </c>
      <c r="E52" s="141" t="n">
        <v>-20</v>
      </c>
      <c r="F52" s="141" t="n">
        <v>-10</v>
      </c>
      <c r="G52" s="141" t="n">
        <v>42</v>
      </c>
      <c r="H52" s="141" t="n">
        <v>60</v>
      </c>
      <c r="I52" s="141" t="n">
        <v>0</v>
      </c>
      <c r="J52" s="141" t="n">
        <v>4</v>
      </c>
      <c r="K52" s="141" t="n">
        <v>0.272637216930566</v>
      </c>
      <c r="L52" s="141" t="n">
        <v>0.657351963244614</v>
      </c>
      <c r="M52" s="141" t="n">
        <v>0</v>
      </c>
      <c r="N52" s="141" t="n">
        <v>0.240342801406414</v>
      </c>
      <c r="O52" s="141" t="n">
        <v>0.209521366474231</v>
      </c>
      <c r="P52" s="141" t="n">
        <v>0.422687847727824</v>
      </c>
      <c r="Q52" s="141" t="n">
        <v>0</v>
      </c>
    </row>
    <row r="53" customFormat="false" ht="12.8" hidden="false" customHeight="false" outlineLevel="0" collapsed="false">
      <c r="A53" s="11" t="n">
        <v>51</v>
      </c>
      <c r="B53" s="141" t="s">
        <v>536</v>
      </c>
      <c r="C53" s="141" t="n">
        <v>1</v>
      </c>
      <c r="D53" s="141" t="s">
        <v>521</v>
      </c>
      <c r="E53" s="141" t="n">
        <v>-20</v>
      </c>
      <c r="F53" s="141" t="n">
        <v>-10</v>
      </c>
      <c r="G53" s="141" t="n">
        <v>42</v>
      </c>
      <c r="H53" s="141" t="n">
        <v>60</v>
      </c>
      <c r="I53" s="141" t="n">
        <v>0</v>
      </c>
      <c r="J53" s="141" t="n">
        <v>4</v>
      </c>
      <c r="K53" s="141" t="n">
        <v>0.287039459441192</v>
      </c>
      <c r="L53" s="141" t="n">
        <v>0.66250743575564</v>
      </c>
      <c r="M53" s="141" t="n">
        <v>0</v>
      </c>
      <c r="N53" s="141" t="n">
        <v>0.253755494177968</v>
      </c>
      <c r="O53" s="141" t="n">
        <v>0.215094042893416</v>
      </c>
      <c r="P53" s="141" t="n">
        <v>0.431442660596552</v>
      </c>
      <c r="Q53" s="141" t="n">
        <v>0</v>
      </c>
    </row>
    <row r="54" customFormat="false" ht="12.8" hidden="false" customHeight="false" outlineLevel="0" collapsed="false">
      <c r="A54" s="11" t="n">
        <v>52</v>
      </c>
      <c r="B54" s="141" t="s">
        <v>537</v>
      </c>
      <c r="C54" s="141" t="n">
        <v>0</v>
      </c>
      <c r="D54" s="141" t="s">
        <v>521</v>
      </c>
      <c r="E54" s="141" t="n">
        <v>-20</v>
      </c>
      <c r="F54" s="141" t="n">
        <v>-10</v>
      </c>
      <c r="G54" s="141" t="n">
        <v>42</v>
      </c>
      <c r="H54" s="141" t="n">
        <v>60</v>
      </c>
      <c r="I54" s="141" t="n">
        <v>0</v>
      </c>
      <c r="J54" s="141" t="n">
        <v>4</v>
      </c>
      <c r="K54" s="141"/>
      <c r="L54" s="141" t="n">
        <v>0.603279760689738</v>
      </c>
      <c r="M54" s="141" t="n">
        <v>0</v>
      </c>
      <c r="N54" s="141"/>
      <c r="O54" s="141" t="n">
        <v>0.15522745760412</v>
      </c>
      <c r="P54" s="141" t="n">
        <v>0.330864641657886</v>
      </c>
      <c r="Q54" s="141" t="n">
        <v>1</v>
      </c>
    </row>
    <row r="55" customFormat="false" ht="12.8" hidden="false" customHeight="false" outlineLevel="0" collapsed="false">
      <c r="A55" s="11" t="n">
        <v>53</v>
      </c>
      <c r="B55" s="141" t="s">
        <v>538</v>
      </c>
      <c r="C55" s="141" t="n">
        <v>0</v>
      </c>
      <c r="D55" s="141" t="s">
        <v>521</v>
      </c>
      <c r="E55" s="141" t="n">
        <v>-20</v>
      </c>
      <c r="F55" s="141" t="n">
        <v>-10</v>
      </c>
      <c r="G55" s="141" t="n">
        <v>42</v>
      </c>
      <c r="H55" s="141" t="n">
        <v>60</v>
      </c>
      <c r="I55" s="141" t="n">
        <v>0</v>
      </c>
      <c r="J55" s="141" t="n">
        <v>4</v>
      </c>
      <c r="K55" s="141"/>
      <c r="L55" s="141" t="n">
        <v>0.630448981852745</v>
      </c>
      <c r="M55" s="141" t="n">
        <v>0</v>
      </c>
      <c r="N55" s="141"/>
      <c r="O55" s="141" t="n">
        <v>0.181631471761361</v>
      </c>
      <c r="P55" s="141" t="n">
        <v>0.377002303445912</v>
      </c>
      <c r="Q55" s="141" t="n">
        <v>0</v>
      </c>
    </row>
    <row r="56" customFormat="false" ht="12.8" hidden="false" customHeight="false" outlineLevel="0" collapsed="false">
      <c r="A56" s="11" t="n">
        <v>54</v>
      </c>
      <c r="B56" s="141" t="s">
        <v>539</v>
      </c>
      <c r="C56" s="141" t="n">
        <v>1</v>
      </c>
      <c r="D56" s="141" t="s">
        <v>521</v>
      </c>
      <c r="E56" s="141" t="n">
        <v>-20</v>
      </c>
      <c r="F56" s="141" t="n">
        <v>-10</v>
      </c>
      <c r="G56" s="141" t="n">
        <v>42</v>
      </c>
      <c r="H56" s="141" t="n">
        <v>60</v>
      </c>
      <c r="I56" s="141" t="n">
        <v>0</v>
      </c>
      <c r="J56" s="141" t="n">
        <v>4</v>
      </c>
      <c r="K56" s="141" t="n">
        <v>0.257766866922089</v>
      </c>
      <c r="L56" s="141" t="n">
        <v>0.654446548252366</v>
      </c>
      <c r="M56" s="141" t="n">
        <v>0</v>
      </c>
      <c r="N56" s="141" t="n">
        <v>0.226569600279533</v>
      </c>
      <c r="O56" s="141" t="n">
        <v>0.206415131903218</v>
      </c>
      <c r="P56" s="141" t="n">
        <v>0.417753990645138</v>
      </c>
      <c r="Q56" s="141" t="n">
        <v>0</v>
      </c>
    </row>
    <row r="57" customFormat="false" ht="12.8" hidden="false" customHeight="false" outlineLevel="0" collapsed="false">
      <c r="A57" s="11" t="n">
        <v>55</v>
      </c>
      <c r="B57" s="141" t="s">
        <v>540</v>
      </c>
      <c r="C57" s="141" t="n">
        <v>1</v>
      </c>
      <c r="D57" s="141" t="s">
        <v>521</v>
      </c>
      <c r="E57" s="141" t="n">
        <v>-20</v>
      </c>
      <c r="F57" s="141" t="n">
        <v>-10</v>
      </c>
      <c r="G57" s="141" t="n">
        <v>42</v>
      </c>
      <c r="H57" s="141" t="n">
        <v>60</v>
      </c>
      <c r="I57" s="141" t="n">
        <v>0</v>
      </c>
      <c r="J57" s="141" t="n">
        <v>4</v>
      </c>
      <c r="K57" s="141" t="n">
        <v>0.380890191548462</v>
      </c>
      <c r="L57" s="141" t="n">
        <v>0.647519215589159</v>
      </c>
      <c r="M57" s="141" t="n">
        <v>0</v>
      </c>
      <c r="N57" s="141" t="n">
        <v>0.342918589487371</v>
      </c>
      <c r="O57" s="141" t="n">
        <v>0.199104987103566</v>
      </c>
      <c r="P57" s="141" t="n">
        <v>0.405990277228745</v>
      </c>
      <c r="Q57" s="141" t="n">
        <v>0</v>
      </c>
    </row>
    <row r="58" customFormat="false" ht="12.8" hidden="false" customHeight="false" outlineLevel="0" collapsed="false">
      <c r="A58" s="11" t="n">
        <v>56</v>
      </c>
      <c r="B58" s="141" t="s">
        <v>541</v>
      </c>
      <c r="C58" s="141" t="n">
        <v>1</v>
      </c>
      <c r="D58" s="141" t="s">
        <v>521</v>
      </c>
      <c r="E58" s="141" t="n">
        <v>-20</v>
      </c>
      <c r="F58" s="141" t="n">
        <v>-10</v>
      </c>
      <c r="G58" s="141" t="n">
        <v>42</v>
      </c>
      <c r="H58" s="141" t="n">
        <v>60</v>
      </c>
      <c r="I58" s="141" t="n">
        <v>0</v>
      </c>
      <c r="J58" s="141" t="n">
        <v>4</v>
      </c>
      <c r="K58" s="141" t="n">
        <v>0.32858044417501</v>
      </c>
      <c r="L58" s="141" t="n">
        <v>0.661419260133036</v>
      </c>
      <c r="M58" s="141" t="n">
        <v>0</v>
      </c>
      <c r="N58" s="141" t="n">
        <v>0.292845017842604</v>
      </c>
      <c r="O58" s="141" t="n">
        <v>0.213911207783494</v>
      </c>
      <c r="P58" s="141" t="n">
        <v>0.429594765195337</v>
      </c>
      <c r="Q58" s="141" t="n">
        <v>0</v>
      </c>
    </row>
    <row r="59" customFormat="false" ht="12.8" hidden="false" customHeight="false" outlineLevel="0" collapsed="false">
      <c r="A59" s="11" t="n">
        <v>57</v>
      </c>
      <c r="B59" s="141" t="s">
        <v>542</v>
      </c>
      <c r="C59" s="141" t="n">
        <v>0</v>
      </c>
      <c r="D59" s="141" t="s">
        <v>521</v>
      </c>
      <c r="E59" s="141" t="n">
        <v>-20</v>
      </c>
      <c r="F59" s="141" t="n">
        <v>-10</v>
      </c>
      <c r="G59" s="141" t="n">
        <v>42</v>
      </c>
      <c r="H59" s="141" t="n">
        <v>60</v>
      </c>
      <c r="I59" s="141" t="n">
        <v>0</v>
      </c>
      <c r="J59" s="141" t="n">
        <v>4</v>
      </c>
      <c r="K59" s="141"/>
      <c r="L59" s="141" t="n">
        <v>0.630509543535545</v>
      </c>
      <c r="M59" s="141" t="n">
        <v>0</v>
      </c>
      <c r="N59" s="141"/>
      <c r="O59" s="141" t="n">
        <v>0.181692183517893</v>
      </c>
      <c r="P59" s="141" t="n">
        <v>0.377105146822305</v>
      </c>
      <c r="Q59" s="141" t="n">
        <v>1</v>
      </c>
    </row>
    <row r="60" customFormat="false" ht="12.8" hidden="false" customHeight="false" outlineLevel="0" collapsed="false">
      <c r="A60" s="11" t="n">
        <v>58</v>
      </c>
      <c r="B60" s="141" t="s">
        <v>543</v>
      </c>
      <c r="C60" s="141" t="n">
        <v>0</v>
      </c>
      <c r="D60" s="141" t="s">
        <v>521</v>
      </c>
      <c r="E60" s="141" t="n">
        <v>-20</v>
      </c>
      <c r="F60" s="141" t="n">
        <v>-10</v>
      </c>
      <c r="G60" s="141" t="n">
        <v>42</v>
      </c>
      <c r="H60" s="141" t="n">
        <v>60</v>
      </c>
      <c r="I60" s="141" t="n">
        <v>0</v>
      </c>
      <c r="J60" s="141" t="n">
        <v>4</v>
      </c>
      <c r="K60" s="141"/>
      <c r="L60" s="141" t="n">
        <v>0.615136113020424</v>
      </c>
      <c r="M60" s="141" t="n">
        <v>0</v>
      </c>
      <c r="N60" s="141"/>
      <c r="O60" s="141" t="n">
        <v>0.166552176809135</v>
      </c>
      <c r="P60" s="141" t="n">
        <v>0.350998614972429</v>
      </c>
      <c r="Q60" s="141" t="n">
        <v>1</v>
      </c>
    </row>
    <row r="61" customFormat="false" ht="12.8" hidden="false" customHeight="false" outlineLevel="0" collapsed="false">
      <c r="A61" s="11" t="n">
        <v>59</v>
      </c>
      <c r="B61" s="141" t="s">
        <v>544</v>
      </c>
      <c r="C61" s="141" t="n">
        <v>1</v>
      </c>
      <c r="D61" s="141" t="s">
        <v>521</v>
      </c>
      <c r="E61" s="141" t="n">
        <v>-20</v>
      </c>
      <c r="F61" s="141" t="n">
        <v>-10</v>
      </c>
      <c r="G61" s="141" t="n">
        <v>42</v>
      </c>
      <c r="H61" s="141" t="n">
        <v>60</v>
      </c>
      <c r="I61" s="141" t="n">
        <v>0</v>
      </c>
      <c r="J61" s="141" t="n">
        <v>4</v>
      </c>
      <c r="K61" s="141" t="n">
        <v>0.357432942311278</v>
      </c>
      <c r="L61" s="141" t="n">
        <v>0.655520204398365</v>
      </c>
      <c r="M61" s="141" t="n">
        <v>0</v>
      </c>
      <c r="N61" s="141" t="n">
        <v>0.320346818589902</v>
      </c>
      <c r="O61" s="141" t="n">
        <v>0.207560169491528</v>
      </c>
      <c r="P61" s="141" t="n">
        <v>0.419577229664155</v>
      </c>
      <c r="Q61" s="141" t="n">
        <v>0</v>
      </c>
    </row>
    <row r="62" customFormat="false" ht="12.8" hidden="false" customHeight="false" outlineLevel="0" collapsed="false">
      <c r="A62" s="11" t="n">
        <v>60</v>
      </c>
      <c r="B62" s="141" t="s">
        <v>545</v>
      </c>
      <c r="C62" s="141" t="n">
        <v>1</v>
      </c>
      <c r="D62" s="141" t="s">
        <v>521</v>
      </c>
      <c r="E62" s="141" t="n">
        <v>-20</v>
      </c>
      <c r="F62" s="141" t="n">
        <v>-10</v>
      </c>
      <c r="G62" s="141" t="n">
        <v>42</v>
      </c>
      <c r="H62" s="141" t="n">
        <v>60</v>
      </c>
      <c r="I62" s="141" t="n">
        <v>0</v>
      </c>
      <c r="J62" s="141" t="n">
        <v>4</v>
      </c>
      <c r="K62" s="141" t="n">
        <v>0.332889653091457</v>
      </c>
      <c r="L62" s="141" t="n">
        <v>0.655429416823785</v>
      </c>
      <c r="M62" s="141" t="n">
        <v>0</v>
      </c>
      <c r="N62" s="141" t="n">
        <v>0.296934167386959</v>
      </c>
      <c r="O62" s="141" t="n">
        <v>0.207463218244915</v>
      </c>
      <c r="P62" s="141" t="n">
        <v>0.419423057912768</v>
      </c>
      <c r="Q62" s="141" t="n">
        <v>0</v>
      </c>
    </row>
    <row r="63" customFormat="false" ht="12.8" hidden="false" customHeight="false" outlineLevel="0" collapsed="false">
      <c r="A63" s="11" t="n">
        <v>61</v>
      </c>
      <c r="B63" s="141" t="s">
        <v>546</v>
      </c>
      <c r="C63" s="141" t="n">
        <v>1</v>
      </c>
      <c r="D63" s="141" t="s">
        <v>521</v>
      </c>
      <c r="E63" s="141" t="n">
        <v>-20</v>
      </c>
      <c r="F63" s="141" t="n">
        <v>-10</v>
      </c>
      <c r="G63" s="141" t="n">
        <v>42</v>
      </c>
      <c r="H63" s="141" t="n">
        <v>60</v>
      </c>
      <c r="I63" s="141" t="n">
        <v>0</v>
      </c>
      <c r="J63" s="141" t="n">
        <v>4</v>
      </c>
      <c r="K63" s="141" t="n">
        <v>0.294818233220867</v>
      </c>
      <c r="L63" s="141" t="n">
        <v>0.64616203130585</v>
      </c>
      <c r="M63" s="141" t="n">
        <v>0</v>
      </c>
      <c r="N63" s="141" t="n">
        <v>0.26102970509399</v>
      </c>
      <c r="O63" s="141" t="n">
        <v>0.197688205613269</v>
      </c>
      <c r="P63" s="141" t="n">
        <v>0.403685562306236</v>
      </c>
      <c r="Q63" s="141" t="n">
        <v>0</v>
      </c>
    </row>
    <row r="64" customFormat="false" ht="12.8" hidden="false" customHeight="false" outlineLevel="0" collapsed="false">
      <c r="A64" s="11" t="n">
        <v>62</v>
      </c>
      <c r="B64" s="141" t="s">
        <v>547</v>
      </c>
      <c r="C64" s="141" t="n">
        <v>0</v>
      </c>
      <c r="D64" s="141" t="s">
        <v>521</v>
      </c>
      <c r="E64" s="141" t="n">
        <v>-20</v>
      </c>
      <c r="F64" s="141" t="n">
        <v>-10</v>
      </c>
      <c r="G64" s="141" t="n">
        <v>42</v>
      </c>
      <c r="H64" s="141" t="n">
        <v>60</v>
      </c>
      <c r="I64" s="141" t="n">
        <v>0</v>
      </c>
      <c r="J64" s="141" t="n">
        <v>4</v>
      </c>
      <c r="K64" s="141"/>
      <c r="L64" s="141" t="n">
        <v>0.614416940988931</v>
      </c>
      <c r="M64" s="141" t="n">
        <v>0</v>
      </c>
      <c r="N64" s="141"/>
      <c r="O64" s="141" t="n">
        <v>0.165856814823599</v>
      </c>
      <c r="P64" s="141" t="n">
        <v>0.349777346399533</v>
      </c>
      <c r="Q64" s="141" t="n">
        <v>1</v>
      </c>
    </row>
    <row r="65" customFormat="false" ht="12.8" hidden="false" customHeight="false" outlineLevel="0" collapsed="false">
      <c r="A65" s="11" t="n">
        <v>63</v>
      </c>
      <c r="B65" s="141" t="s">
        <v>548</v>
      </c>
      <c r="C65" s="141" t="n">
        <v>0</v>
      </c>
      <c r="D65" s="141" t="s">
        <v>521</v>
      </c>
      <c r="E65" s="141" t="n">
        <v>-20</v>
      </c>
      <c r="F65" s="141" t="n">
        <v>-10</v>
      </c>
      <c r="G65" s="141" t="n">
        <v>42</v>
      </c>
      <c r="H65" s="141" t="n">
        <v>60</v>
      </c>
      <c r="I65" s="141" t="n">
        <v>0</v>
      </c>
      <c r="J65" s="141" t="n">
        <v>4</v>
      </c>
      <c r="K65" s="141"/>
      <c r="L65" s="141" t="n">
        <v>0.620533554318466</v>
      </c>
      <c r="M65" s="141" t="n">
        <v>0</v>
      </c>
      <c r="N65" s="141"/>
      <c r="O65" s="141" t="n">
        <v>0.171806910076771</v>
      </c>
      <c r="P65" s="141" t="n">
        <v>0.360164329353261</v>
      </c>
      <c r="Q65" s="141" t="n">
        <v>1</v>
      </c>
    </row>
    <row r="66" customFormat="false" ht="12.8" hidden="false" customHeight="false" outlineLevel="0" collapsed="false">
      <c r="A66" s="11" t="n">
        <v>64</v>
      </c>
      <c r="B66" s="141" t="s">
        <v>549</v>
      </c>
      <c r="C66" s="141" t="n">
        <v>1</v>
      </c>
      <c r="D66" s="141" t="s">
        <v>521</v>
      </c>
      <c r="E66" s="141" t="n">
        <v>-20</v>
      </c>
      <c r="F66" s="141" t="n">
        <v>-10</v>
      </c>
      <c r="G66" s="141" t="n">
        <v>42</v>
      </c>
      <c r="H66" s="141" t="n">
        <v>60</v>
      </c>
      <c r="I66" s="141" t="n">
        <v>0</v>
      </c>
      <c r="J66" s="141" t="n">
        <v>4</v>
      </c>
      <c r="K66" s="141" t="n">
        <v>0.284241522883457</v>
      </c>
      <c r="L66" s="141" t="n">
        <v>0.637033216323092</v>
      </c>
      <c r="M66" s="141" t="n">
        <v>0</v>
      </c>
      <c r="N66" s="141" t="n">
        <v>0.251144171610949</v>
      </c>
      <c r="O66" s="141" t="n">
        <v>0.188284082263075</v>
      </c>
      <c r="P66" s="141" t="n">
        <v>0.38818338152332</v>
      </c>
      <c r="Q66" s="141" t="n">
        <v>0</v>
      </c>
    </row>
    <row r="67" customFormat="false" ht="12.8" hidden="false" customHeight="false" outlineLevel="0" collapsed="false">
      <c r="A67" s="11" t="n">
        <v>65</v>
      </c>
      <c r="B67" s="141" t="s">
        <v>550</v>
      </c>
      <c r="C67" s="141" t="n">
        <v>1</v>
      </c>
      <c r="D67" s="141" t="s">
        <v>521</v>
      </c>
      <c r="E67" s="141" t="n">
        <v>-20</v>
      </c>
      <c r="F67" s="141" t="n">
        <v>-10</v>
      </c>
      <c r="G67" s="141" t="n">
        <v>42</v>
      </c>
      <c r="H67" s="141" t="n">
        <v>60</v>
      </c>
      <c r="I67" s="141" t="n">
        <v>0</v>
      </c>
      <c r="J67" s="141" t="n">
        <v>4</v>
      </c>
      <c r="K67" s="141" t="n">
        <v>0.337255904464299</v>
      </c>
      <c r="L67" s="141" t="n">
        <v>0.645129697742456</v>
      </c>
      <c r="M67" s="141" t="n">
        <v>0</v>
      </c>
      <c r="N67" s="141" t="n">
        <v>0.301084010859707</v>
      </c>
      <c r="O67" s="141" t="n">
        <v>0.19661384045922</v>
      </c>
      <c r="P67" s="141" t="n">
        <v>0.401932495609382</v>
      </c>
      <c r="Q67" s="141" t="n">
        <v>0</v>
      </c>
    </row>
    <row r="68" customFormat="false" ht="12.8" hidden="false" customHeight="false" outlineLevel="0" collapsed="false">
      <c r="A68" s="11" t="n">
        <v>66</v>
      </c>
      <c r="B68" s="141" t="s">
        <v>551</v>
      </c>
      <c r="C68" s="141" t="n">
        <v>1</v>
      </c>
      <c r="D68" s="141" t="s">
        <v>521</v>
      </c>
      <c r="E68" s="141" t="n">
        <v>-20</v>
      </c>
      <c r="F68" s="141" t="n">
        <v>-10</v>
      </c>
      <c r="G68" s="141" t="n">
        <v>42</v>
      </c>
      <c r="H68" s="141" t="n">
        <v>60</v>
      </c>
      <c r="I68" s="141" t="n">
        <v>0</v>
      </c>
      <c r="J68" s="141" t="n">
        <v>4</v>
      </c>
      <c r="K68" s="141" t="n">
        <v>0.287831957859405</v>
      </c>
      <c r="L68" s="141" t="n">
        <v>0.665886615880442</v>
      </c>
      <c r="M68" s="141" t="n">
        <v>0</v>
      </c>
      <c r="N68" s="141" t="n">
        <v>0.254495628434867</v>
      </c>
      <c r="O68" s="141" t="n">
        <v>0.218790188797376</v>
      </c>
      <c r="P68" s="141" t="n">
        <v>0.437181046278775</v>
      </c>
      <c r="Q68" s="141" t="n">
        <v>0</v>
      </c>
    </row>
    <row r="69" customFormat="false" ht="12.8" hidden="false" customHeight="false" outlineLevel="0" collapsed="false">
      <c r="A69" s="11" t="n">
        <v>67</v>
      </c>
      <c r="B69" s="141" t="s">
        <v>552</v>
      </c>
      <c r="C69" s="141" t="n">
        <v>0</v>
      </c>
      <c r="D69" s="141" t="s">
        <v>521</v>
      </c>
      <c r="E69" s="141" t="n">
        <v>-20</v>
      </c>
      <c r="F69" s="141" t="n">
        <v>-10</v>
      </c>
      <c r="G69" s="141" t="n">
        <v>42</v>
      </c>
      <c r="H69" s="141" t="n">
        <v>60</v>
      </c>
      <c r="I69" s="141" t="n">
        <v>0</v>
      </c>
      <c r="J69" s="141" t="n">
        <v>4</v>
      </c>
      <c r="K69" s="141"/>
      <c r="L69" s="141" t="n">
        <v>0.610047803326348</v>
      </c>
      <c r="M69" s="141" t="n">
        <v>0</v>
      </c>
      <c r="N69" s="141"/>
      <c r="O69" s="141" t="n">
        <v>0.161656052841194</v>
      </c>
      <c r="P69" s="141" t="n">
        <v>0.342357855256516</v>
      </c>
      <c r="Q69" s="141" t="n">
        <v>1</v>
      </c>
    </row>
    <row r="70" customFormat="false" ht="12.8" hidden="false" customHeight="false" outlineLevel="0" collapsed="false">
      <c r="A70" s="11" t="n">
        <v>68</v>
      </c>
      <c r="B70" s="141" t="s">
        <v>553</v>
      </c>
      <c r="C70" s="141" t="n">
        <v>0</v>
      </c>
      <c r="D70" s="141" t="s">
        <v>521</v>
      </c>
      <c r="E70" s="141" t="n">
        <v>-20</v>
      </c>
      <c r="F70" s="141" t="n">
        <v>-10</v>
      </c>
      <c r="G70" s="141" t="n">
        <v>42</v>
      </c>
      <c r="H70" s="141" t="n">
        <v>60</v>
      </c>
      <c r="I70" s="141" t="n">
        <v>0</v>
      </c>
      <c r="J70" s="141" t="n">
        <v>4</v>
      </c>
      <c r="K70" s="141"/>
      <c r="L70" s="141" t="n">
        <v>0.634418092266758</v>
      </c>
      <c r="M70" s="141" t="n">
        <v>0</v>
      </c>
      <c r="N70" s="141"/>
      <c r="O70" s="141" t="n">
        <v>0.185629104437684</v>
      </c>
      <c r="P70" s="141" t="n">
        <v>0.38374248465252</v>
      </c>
      <c r="Q70" s="141" t="n">
        <v>1</v>
      </c>
    </row>
    <row r="71" customFormat="false" ht="12.8" hidden="false" customHeight="false" outlineLevel="0" collapsed="false">
      <c r="A71" s="11" t="n">
        <v>69</v>
      </c>
      <c r="B71" s="141" t="s">
        <v>554</v>
      </c>
      <c r="C71" s="141" t="n">
        <v>1</v>
      </c>
      <c r="D71" s="141" t="s">
        <v>521</v>
      </c>
      <c r="E71" s="141" t="n">
        <v>-20</v>
      </c>
      <c r="F71" s="141" t="n">
        <v>-10</v>
      </c>
      <c r="G71" s="141" t="n">
        <v>42</v>
      </c>
      <c r="H71" s="141" t="n">
        <v>60</v>
      </c>
      <c r="I71" s="141" t="n">
        <v>0</v>
      </c>
      <c r="J71" s="141" t="n">
        <v>4</v>
      </c>
      <c r="K71" s="141" t="n">
        <v>0.356030291982647</v>
      </c>
      <c r="L71" s="141" t="n">
        <v>0.648614922901731</v>
      </c>
      <c r="M71" s="141" t="n">
        <v>0</v>
      </c>
      <c r="N71" s="141" t="n">
        <v>0.319003159275765</v>
      </c>
      <c r="O71" s="141" t="n">
        <v>0.20025243722483</v>
      </c>
      <c r="P71" s="141" t="n">
        <v>0.407850962638269</v>
      </c>
      <c r="Q71" s="141" t="n">
        <v>0</v>
      </c>
    </row>
    <row r="72" customFormat="false" ht="12.8" hidden="false" customHeight="false" outlineLevel="0" collapsed="false">
      <c r="A72" s="11" t="n">
        <v>70</v>
      </c>
      <c r="B72" s="141" t="s">
        <v>555</v>
      </c>
      <c r="C72" s="141" t="n">
        <v>1</v>
      </c>
      <c r="D72" s="141" t="s">
        <v>521</v>
      </c>
      <c r="E72" s="141" t="n">
        <v>-20</v>
      </c>
      <c r="F72" s="141" t="n">
        <v>-10</v>
      </c>
      <c r="G72" s="141" t="n">
        <v>42</v>
      </c>
      <c r="H72" s="141" t="n">
        <v>60</v>
      </c>
      <c r="I72" s="141" t="n">
        <v>0</v>
      </c>
      <c r="J72" s="141" t="n">
        <v>4</v>
      </c>
      <c r="K72" s="141" t="n">
        <v>0.31682592274013</v>
      </c>
      <c r="L72" s="141" t="n">
        <v>0.663630443858922</v>
      </c>
      <c r="M72" s="141" t="n">
        <v>0</v>
      </c>
      <c r="N72" s="141" t="n">
        <v>0.28172349004207</v>
      </c>
      <c r="O72" s="141" t="n">
        <v>0.216318503861958</v>
      </c>
      <c r="P72" s="141" t="n">
        <v>0.433349707093894</v>
      </c>
      <c r="Q72" s="141" t="n">
        <v>0</v>
      </c>
    </row>
    <row r="73" customFormat="false" ht="12.8" hidden="false" customHeight="false" outlineLevel="0" collapsed="false">
      <c r="A73" s="11" t="n">
        <v>71</v>
      </c>
      <c r="B73" s="141" t="s">
        <v>556</v>
      </c>
      <c r="C73" s="141" t="n">
        <v>1</v>
      </c>
      <c r="D73" s="141" t="s">
        <v>521</v>
      </c>
      <c r="E73" s="141" t="n">
        <v>-20</v>
      </c>
      <c r="F73" s="141" t="n">
        <v>-10</v>
      </c>
      <c r="G73" s="141" t="n">
        <v>42</v>
      </c>
      <c r="H73" s="141" t="n">
        <v>60</v>
      </c>
      <c r="I73" s="141" t="n">
        <v>0</v>
      </c>
      <c r="J73" s="141" t="n">
        <v>4</v>
      </c>
      <c r="K73" s="141" t="n">
        <v>0.325726108477153</v>
      </c>
      <c r="L73" s="141" t="n">
        <v>0.647358337089603</v>
      </c>
      <c r="M73" s="141" t="n">
        <v>0</v>
      </c>
      <c r="N73" s="141" t="n">
        <v>0.290139988661467</v>
      </c>
      <c r="O73" s="141" t="n">
        <v>0.198936785088313</v>
      </c>
      <c r="P73" s="141" t="n">
        <v>0.405717079931077</v>
      </c>
      <c r="Q73" s="141" t="n">
        <v>0</v>
      </c>
    </row>
    <row r="74" customFormat="false" ht="12.8" hidden="false" customHeight="false" outlineLevel="0" collapsed="false">
      <c r="A74" s="11" t="n">
        <v>72</v>
      </c>
      <c r="B74" s="141" t="s">
        <v>557</v>
      </c>
      <c r="C74" s="141" t="n">
        <v>0</v>
      </c>
      <c r="D74" s="141" t="s">
        <v>558</v>
      </c>
      <c r="E74" s="141" t="n">
        <v>-20</v>
      </c>
      <c r="F74" s="141" t="n">
        <v>-10</v>
      </c>
      <c r="G74" s="141" t="n">
        <v>42</v>
      </c>
      <c r="H74" s="141" t="n">
        <v>60</v>
      </c>
      <c r="I74" s="141" t="n">
        <v>0</v>
      </c>
      <c r="J74" s="141" t="n">
        <v>4</v>
      </c>
      <c r="K74" s="141"/>
      <c r="L74" s="141" t="n">
        <v>0.620967575639118</v>
      </c>
      <c r="M74" s="141" t="n">
        <v>0</v>
      </c>
      <c r="N74" s="141"/>
      <c r="O74" s="141" t="n">
        <v>0.172232252842068</v>
      </c>
      <c r="P74" s="141" t="n">
        <v>0.360901366634561</v>
      </c>
      <c r="Q74" s="141" t="n">
        <v>0</v>
      </c>
    </row>
    <row r="75" customFormat="false" ht="12.8" hidden="false" customHeight="false" outlineLevel="0" collapsed="false">
      <c r="A75" s="11" t="n">
        <v>73</v>
      </c>
      <c r="B75" s="141" t="s">
        <v>559</v>
      </c>
      <c r="C75" s="141" t="n">
        <v>0</v>
      </c>
      <c r="D75" s="141" t="s">
        <v>558</v>
      </c>
      <c r="E75" s="141" t="n">
        <v>-20</v>
      </c>
      <c r="F75" s="141" t="n">
        <v>-10</v>
      </c>
      <c r="G75" s="141" t="n">
        <v>42</v>
      </c>
      <c r="H75" s="141" t="n">
        <v>60</v>
      </c>
      <c r="I75" s="141" t="n">
        <v>0</v>
      </c>
      <c r="J75" s="141" t="n">
        <v>4</v>
      </c>
      <c r="K75" s="141"/>
      <c r="L75" s="141" t="n">
        <v>0.652113843465354</v>
      </c>
      <c r="M75" s="141" t="n">
        <v>0</v>
      </c>
      <c r="N75" s="141"/>
      <c r="O75" s="141" t="n">
        <v>0.203938615012038</v>
      </c>
      <c r="P75" s="141" t="n">
        <v>0.413792686643497</v>
      </c>
      <c r="Q75" s="141" t="n">
        <v>0</v>
      </c>
    </row>
    <row r="76" customFormat="false" ht="12.8" hidden="false" customHeight="false" outlineLevel="0" collapsed="false">
      <c r="A76" s="11" t="n">
        <v>74</v>
      </c>
      <c r="B76" s="141" t="s">
        <v>560</v>
      </c>
      <c r="C76" s="141" t="n">
        <v>1</v>
      </c>
      <c r="D76" s="141" t="s">
        <v>558</v>
      </c>
      <c r="E76" s="141" t="n">
        <v>-20</v>
      </c>
      <c r="F76" s="141" t="n">
        <v>-10</v>
      </c>
      <c r="G76" s="141" t="n">
        <v>42</v>
      </c>
      <c r="H76" s="141" t="n">
        <v>60</v>
      </c>
      <c r="I76" s="141" t="n">
        <v>0</v>
      </c>
      <c r="J76" s="141" t="n">
        <v>4</v>
      </c>
      <c r="K76" s="141" t="n">
        <v>0.337362046089931</v>
      </c>
      <c r="L76" s="141" t="n">
        <v>0.627458107884768</v>
      </c>
      <c r="M76" s="141" t="n">
        <v>0</v>
      </c>
      <c r="N76" s="141" t="n">
        <v>0.301184973972435</v>
      </c>
      <c r="O76" s="141" t="n">
        <v>0.17864400379421</v>
      </c>
      <c r="P76" s="141" t="n">
        <v>0.371923323420787</v>
      </c>
      <c r="Q76" s="141" t="n">
        <v>0</v>
      </c>
    </row>
    <row r="77" customFormat="false" ht="12.8" hidden="false" customHeight="false" outlineLevel="0" collapsed="false">
      <c r="A77" s="11" t="n">
        <v>75</v>
      </c>
      <c r="B77" s="141" t="s">
        <v>561</v>
      </c>
      <c r="C77" s="141" t="n">
        <v>1</v>
      </c>
      <c r="D77" s="141" t="s">
        <v>558</v>
      </c>
      <c r="E77" s="141" t="n">
        <v>-20</v>
      </c>
      <c r="F77" s="141" t="n">
        <v>-10</v>
      </c>
      <c r="G77" s="141" t="n">
        <v>42</v>
      </c>
      <c r="H77" s="141" t="n">
        <v>60</v>
      </c>
      <c r="I77" s="141" t="n">
        <v>0</v>
      </c>
      <c r="J77" s="141" t="n">
        <v>4</v>
      </c>
      <c r="K77" s="141" t="n">
        <v>0.322551614200109</v>
      </c>
      <c r="L77" s="141" t="n">
        <v>0.617100529170292</v>
      </c>
      <c r="M77" s="141" t="n">
        <v>0</v>
      </c>
      <c r="N77" s="141" t="n">
        <v>0.287134864671693</v>
      </c>
      <c r="O77" s="141" t="n">
        <v>0.168457261699984</v>
      </c>
      <c r="P77" s="141" t="n">
        <v>0.354334506251378</v>
      </c>
      <c r="Q77" s="141" t="n">
        <v>0</v>
      </c>
    </row>
    <row r="78" customFormat="false" ht="12.8" hidden="false" customHeight="false" outlineLevel="0" collapsed="false">
      <c r="A78" s="11" t="n">
        <v>76</v>
      </c>
      <c r="B78" s="141" t="s">
        <v>562</v>
      </c>
      <c r="C78" s="141" t="n">
        <v>1</v>
      </c>
      <c r="D78" s="141" t="s">
        <v>558</v>
      </c>
      <c r="E78" s="141" t="n">
        <v>-20</v>
      </c>
      <c r="F78" s="141" t="n">
        <v>-10</v>
      </c>
      <c r="G78" s="141" t="n">
        <v>42</v>
      </c>
      <c r="H78" s="141" t="n">
        <v>60</v>
      </c>
      <c r="I78" s="141" t="n">
        <v>0</v>
      </c>
      <c r="J78" s="141" t="n">
        <v>4</v>
      </c>
      <c r="K78" s="141" t="n">
        <v>0.272025412211991</v>
      </c>
      <c r="L78" s="141" t="n">
        <v>0.631291291818708</v>
      </c>
      <c r="M78" s="141" t="n">
        <v>0</v>
      </c>
      <c r="N78" s="141" t="n">
        <v>0.239774624461746</v>
      </c>
      <c r="O78" s="141" t="n">
        <v>0.182476656390524</v>
      </c>
      <c r="P78" s="141" t="n">
        <v>0.378432679830172</v>
      </c>
      <c r="Q78" s="141" t="n">
        <v>0</v>
      </c>
    </row>
    <row r="79" customFormat="false" ht="12.8" hidden="false" customHeight="false" outlineLevel="0" collapsed="false">
      <c r="A79" s="11" t="n">
        <v>77</v>
      </c>
      <c r="B79" s="141" t="s">
        <v>563</v>
      </c>
      <c r="C79" s="141" t="n">
        <v>0</v>
      </c>
      <c r="D79" s="141" t="s">
        <v>558</v>
      </c>
      <c r="E79" s="141" t="n">
        <v>-20</v>
      </c>
      <c r="F79" s="141" t="n">
        <v>-10</v>
      </c>
      <c r="G79" s="141" t="n">
        <v>42</v>
      </c>
      <c r="H79" s="141" t="n">
        <v>60</v>
      </c>
      <c r="I79" s="141" t="n">
        <v>0</v>
      </c>
      <c r="J79" s="141" t="n">
        <v>4</v>
      </c>
      <c r="K79" s="141"/>
      <c r="L79" s="141" t="n">
        <v>0.563589785187833</v>
      </c>
      <c r="M79" s="141" t="n">
        <v>0</v>
      </c>
      <c r="N79" s="141"/>
      <c r="O79" s="141" t="n">
        <v>0.119305832583164</v>
      </c>
      <c r="P79" s="141" t="n">
        <v>0.263464746199151</v>
      </c>
      <c r="Q79" s="141" t="n">
        <v>1</v>
      </c>
    </row>
    <row r="80" customFormat="false" ht="12.8" hidden="false" customHeight="false" outlineLevel="0" collapsed="false">
      <c r="A80" s="11" t="n">
        <v>78</v>
      </c>
      <c r="B80" s="141" t="s">
        <v>564</v>
      </c>
      <c r="C80" s="141" t="n">
        <v>0</v>
      </c>
      <c r="D80" s="141" t="s">
        <v>558</v>
      </c>
      <c r="E80" s="141" t="n">
        <v>-20</v>
      </c>
      <c r="F80" s="141" t="n">
        <v>-10</v>
      </c>
      <c r="G80" s="141" t="n">
        <v>42</v>
      </c>
      <c r="H80" s="141" t="n">
        <v>60</v>
      </c>
      <c r="I80" s="141" t="n">
        <v>0</v>
      </c>
      <c r="J80" s="141" t="n">
        <v>4</v>
      </c>
      <c r="K80" s="141"/>
      <c r="L80" s="141" t="n">
        <v>0.570693066115319</v>
      </c>
      <c r="M80" s="141" t="n">
        <v>0</v>
      </c>
      <c r="N80" s="141"/>
      <c r="O80" s="141" t="n">
        <v>0.125522012088835</v>
      </c>
      <c r="P80" s="141" t="n">
        <v>0.275527247772215</v>
      </c>
      <c r="Q80" s="141" t="n">
        <v>1</v>
      </c>
    </row>
    <row r="81" customFormat="false" ht="12.8" hidden="false" customHeight="false" outlineLevel="0" collapsed="false">
      <c r="A81" s="11" t="n">
        <v>79</v>
      </c>
      <c r="B81" s="141" t="s">
        <v>565</v>
      </c>
      <c r="C81" s="141" t="n">
        <v>1</v>
      </c>
      <c r="D81" s="141" t="s">
        <v>558</v>
      </c>
      <c r="E81" s="141" t="n">
        <v>-20</v>
      </c>
      <c r="F81" s="141" t="n">
        <v>-10</v>
      </c>
      <c r="G81" s="141" t="n">
        <v>42</v>
      </c>
      <c r="H81" s="141" t="n">
        <v>60</v>
      </c>
      <c r="I81" s="141" t="n">
        <v>0</v>
      </c>
      <c r="J81" s="141" t="n">
        <v>4</v>
      </c>
      <c r="K81" s="141" t="n">
        <v>0.237155182380891</v>
      </c>
      <c r="L81" s="141" t="n">
        <v>0.588586692087804</v>
      </c>
      <c r="M81" s="141" t="n">
        <v>0</v>
      </c>
      <c r="N81" s="141" t="n">
        <v>0.207605407866246</v>
      </c>
      <c r="O81" s="141" t="n">
        <v>0.141585690216042</v>
      </c>
      <c r="P81" s="141" t="n">
        <v>0.305913472623003</v>
      </c>
      <c r="Q81" s="141" t="n">
        <v>0</v>
      </c>
    </row>
    <row r="82" customFormat="false" ht="12.8" hidden="false" customHeight="false" outlineLevel="0" collapsed="false">
      <c r="A82" s="11" t="n">
        <v>80</v>
      </c>
      <c r="B82" s="141" t="s">
        <v>566</v>
      </c>
      <c r="C82" s="141" t="n">
        <v>1</v>
      </c>
      <c r="D82" s="141" t="s">
        <v>558</v>
      </c>
      <c r="E82" s="141" t="n">
        <v>-20</v>
      </c>
      <c r="F82" s="141" t="n">
        <v>-10</v>
      </c>
      <c r="G82" s="141" t="n">
        <v>42</v>
      </c>
      <c r="H82" s="141" t="n">
        <v>60</v>
      </c>
      <c r="I82" s="141" t="n">
        <v>0</v>
      </c>
      <c r="J82" s="141" t="n">
        <v>4</v>
      </c>
      <c r="K82" s="141" t="n">
        <v>0.232932057359512</v>
      </c>
      <c r="L82" s="141" t="n">
        <v>0.601956692046957</v>
      </c>
      <c r="M82" s="141" t="n">
        <v>0</v>
      </c>
      <c r="N82" s="141" t="n">
        <v>0.203738013056856</v>
      </c>
      <c r="O82" s="141" t="n">
        <v>0.153981658488376</v>
      </c>
      <c r="P82" s="141" t="n">
        <v>0.328617860522839</v>
      </c>
      <c r="Q82" s="141" t="n">
        <v>0</v>
      </c>
    </row>
    <row r="83" customFormat="false" ht="12.8" hidden="false" customHeight="false" outlineLevel="0" collapsed="false">
      <c r="A83" s="11" t="n">
        <v>81</v>
      </c>
      <c r="B83" s="141" t="s">
        <v>567</v>
      </c>
      <c r="C83" s="141" t="n">
        <v>1</v>
      </c>
      <c r="D83" s="141" t="s">
        <v>558</v>
      </c>
      <c r="E83" s="141" t="n">
        <v>-20</v>
      </c>
      <c r="F83" s="141" t="n">
        <v>-10</v>
      </c>
      <c r="G83" s="141" t="n">
        <v>42</v>
      </c>
      <c r="H83" s="141" t="n">
        <v>60</v>
      </c>
      <c r="I83" s="141" t="n">
        <v>0</v>
      </c>
      <c r="J83" s="141" t="n">
        <v>4</v>
      </c>
      <c r="K83" s="141" t="n">
        <v>0.243850285744502</v>
      </c>
      <c r="L83" s="141" t="n">
        <v>0.596429270249452</v>
      </c>
      <c r="M83" s="141" t="n">
        <v>0</v>
      </c>
      <c r="N83" s="141" t="n">
        <v>0.213749224686574</v>
      </c>
      <c r="O83" s="141" t="n">
        <v>0.148814746134909</v>
      </c>
      <c r="P83" s="141" t="n">
        <v>0.319231418566222</v>
      </c>
      <c r="Q83" s="141" t="n">
        <v>0</v>
      </c>
    </row>
    <row r="84" customFormat="false" ht="12.8" hidden="false" customHeight="false" outlineLevel="0" collapsed="false">
      <c r="A84" s="11" t="n">
        <v>82</v>
      </c>
      <c r="B84" s="141" t="s">
        <v>568</v>
      </c>
      <c r="C84" s="141" t="n">
        <v>0</v>
      </c>
      <c r="D84" s="141" t="s">
        <v>558</v>
      </c>
      <c r="E84" s="141" t="n">
        <v>-20</v>
      </c>
      <c r="F84" s="141" t="n">
        <v>-10</v>
      </c>
      <c r="G84" s="141" t="n">
        <v>42</v>
      </c>
      <c r="H84" s="141" t="n">
        <v>60</v>
      </c>
      <c r="I84" s="141" t="n">
        <v>0</v>
      </c>
      <c r="J84" s="141" t="n">
        <v>4</v>
      </c>
      <c r="K84" s="141"/>
      <c r="L84" s="141" t="n">
        <v>0.563649221012564</v>
      </c>
      <c r="M84" s="141" t="n">
        <v>0</v>
      </c>
      <c r="N84" s="141"/>
      <c r="O84" s="141" t="n">
        <v>0.119357473008298</v>
      </c>
      <c r="P84" s="141" t="n">
        <v>0.26356567768935</v>
      </c>
      <c r="Q84" s="141" t="n">
        <v>1</v>
      </c>
    </row>
    <row r="85" customFormat="false" ht="12.8" hidden="false" customHeight="false" outlineLevel="0" collapsed="false">
      <c r="A85" s="11" t="n">
        <v>83</v>
      </c>
      <c r="B85" s="141" t="s">
        <v>569</v>
      </c>
      <c r="C85" s="141" t="n">
        <v>0</v>
      </c>
      <c r="D85" s="141" t="s">
        <v>558</v>
      </c>
      <c r="E85" s="141" t="n">
        <v>-20</v>
      </c>
      <c r="F85" s="141" t="n">
        <v>-10</v>
      </c>
      <c r="G85" s="141" t="n">
        <v>42</v>
      </c>
      <c r="H85" s="141" t="n">
        <v>60</v>
      </c>
      <c r="I85" s="141" t="n">
        <v>0</v>
      </c>
      <c r="J85" s="141" t="n">
        <v>4</v>
      </c>
      <c r="K85" s="141"/>
      <c r="L85" s="141" t="n">
        <v>0.556286064654753</v>
      </c>
      <c r="M85" s="141" t="n">
        <v>0</v>
      </c>
      <c r="N85" s="141"/>
      <c r="O85" s="141" t="n">
        <v>0.113007692893671</v>
      </c>
      <c r="P85" s="141" t="n">
        <v>0.25106186627382</v>
      </c>
      <c r="Q85" s="141" t="n">
        <v>1</v>
      </c>
    </row>
    <row r="86" customFormat="false" ht="12.8" hidden="false" customHeight="false" outlineLevel="0" collapsed="false">
      <c r="A86" s="11" t="n">
        <v>84</v>
      </c>
      <c r="B86" s="141" t="s">
        <v>570</v>
      </c>
      <c r="C86" s="141" t="n">
        <v>1</v>
      </c>
      <c r="D86" s="141" t="s">
        <v>558</v>
      </c>
      <c r="E86" s="141" t="n">
        <v>-20</v>
      </c>
      <c r="F86" s="141" t="n">
        <v>-10</v>
      </c>
      <c r="G86" s="141" t="n">
        <v>42</v>
      </c>
      <c r="H86" s="141" t="n">
        <v>60</v>
      </c>
      <c r="I86" s="141" t="n">
        <v>0</v>
      </c>
      <c r="J86" s="141" t="n">
        <v>4</v>
      </c>
      <c r="K86" s="141" t="n">
        <v>0.266619847336792</v>
      </c>
      <c r="L86" s="141" t="n">
        <v>0.596292675213423</v>
      </c>
      <c r="M86" s="141" t="n">
        <v>0</v>
      </c>
      <c r="N86" s="141" t="n">
        <v>0.234760167213928</v>
      </c>
      <c r="O86" s="141" t="n">
        <v>0.148687821628731</v>
      </c>
      <c r="P86" s="141" t="n">
        <v>0.318999458454579</v>
      </c>
      <c r="Q86" s="141" t="n">
        <v>0</v>
      </c>
    </row>
    <row r="87" customFormat="false" ht="12.8" hidden="false" customHeight="false" outlineLevel="0" collapsed="false">
      <c r="A87" s="11" t="n">
        <v>85</v>
      </c>
      <c r="B87" s="141" t="s">
        <v>571</v>
      </c>
      <c r="C87" s="141" t="n">
        <v>1</v>
      </c>
      <c r="D87" s="141" t="s">
        <v>558</v>
      </c>
      <c r="E87" s="141" t="n">
        <v>-20</v>
      </c>
      <c r="F87" s="141" t="n">
        <v>-10</v>
      </c>
      <c r="G87" s="141" t="n">
        <v>42</v>
      </c>
      <c r="H87" s="141" t="n">
        <v>60</v>
      </c>
      <c r="I87" s="141" t="n">
        <v>0</v>
      </c>
      <c r="J87" s="141" t="n">
        <v>4</v>
      </c>
      <c r="K87" s="141" t="n">
        <v>0.308061371077996</v>
      </c>
      <c r="L87" s="141" t="n">
        <v>0.606127392973135</v>
      </c>
      <c r="M87" s="141" t="n">
        <v>0</v>
      </c>
      <c r="N87" s="141" t="n">
        <v>0.273462085277506</v>
      </c>
      <c r="O87" s="141" t="n">
        <v>0.15792080380548</v>
      </c>
      <c r="P87" s="141" t="n">
        <v>0.335700374504248</v>
      </c>
      <c r="Q87" s="141" t="n">
        <v>0</v>
      </c>
    </row>
    <row r="88" customFormat="false" ht="12.8" hidden="false" customHeight="false" outlineLevel="0" collapsed="false">
      <c r="A88" s="11" t="n">
        <v>86</v>
      </c>
      <c r="B88" s="141" t="s">
        <v>572</v>
      </c>
      <c r="C88" s="141" t="n">
        <v>1</v>
      </c>
      <c r="D88" s="141" t="s">
        <v>558</v>
      </c>
      <c r="E88" s="141" t="n">
        <v>-20</v>
      </c>
      <c r="F88" s="141" t="n">
        <v>-10</v>
      </c>
      <c r="G88" s="141" t="n">
        <v>42</v>
      </c>
      <c r="H88" s="141" t="n">
        <v>60</v>
      </c>
      <c r="I88" s="141" t="n">
        <v>0</v>
      </c>
      <c r="J88" s="141" t="n">
        <v>4</v>
      </c>
      <c r="K88" s="141" t="n">
        <v>0.257728279841333</v>
      </c>
      <c r="L88" s="141" t="n">
        <v>0.605883041725278</v>
      </c>
      <c r="M88" s="141" t="n">
        <v>0</v>
      </c>
      <c r="N88" s="141" t="n">
        <v>0.226533959889278</v>
      </c>
      <c r="O88" s="141" t="n">
        <v>0.157689043319207</v>
      </c>
      <c r="P88" s="141" t="n">
        <v>0.335285427194443</v>
      </c>
      <c r="Q88" s="141" t="n">
        <v>0</v>
      </c>
    </row>
    <row r="89" customFormat="false" ht="12.8" hidden="false" customHeight="false" outlineLevel="0" collapsed="false">
      <c r="A89" s="11" t="n">
        <v>87</v>
      </c>
      <c r="B89" s="141" t="s">
        <v>573</v>
      </c>
      <c r="C89" s="141" t="n">
        <v>0</v>
      </c>
      <c r="D89" s="141" t="s">
        <v>558</v>
      </c>
      <c r="E89" s="141" t="n">
        <v>-20</v>
      </c>
      <c r="F89" s="141" t="n">
        <v>-10</v>
      </c>
      <c r="G89" s="141" t="n">
        <v>42</v>
      </c>
      <c r="H89" s="141" t="n">
        <v>60</v>
      </c>
      <c r="I89" s="141" t="n">
        <v>0</v>
      </c>
      <c r="J89" s="141" t="n">
        <v>4</v>
      </c>
      <c r="K89" s="141"/>
      <c r="L89" s="141" t="n">
        <v>0.536044747649745</v>
      </c>
      <c r="M89" s="141" t="n">
        <v>0</v>
      </c>
      <c r="N89" s="141"/>
      <c r="O89" s="141" t="n">
        <v>0.0960476983665111</v>
      </c>
      <c r="P89" s="141" t="n">
        <v>0.216688888391303</v>
      </c>
      <c r="Q89" s="141" t="n">
        <v>1</v>
      </c>
    </row>
    <row r="90" customFormat="false" ht="12.8" hidden="false" customHeight="false" outlineLevel="0" collapsed="false">
      <c r="A90" s="11" t="n">
        <v>88</v>
      </c>
      <c r="B90" s="141" t="s">
        <v>574</v>
      </c>
      <c r="C90" s="141" t="n">
        <v>0</v>
      </c>
      <c r="D90" s="141" t="s">
        <v>558</v>
      </c>
      <c r="E90" s="141" t="n">
        <v>-20</v>
      </c>
      <c r="F90" s="141" t="n">
        <v>-10</v>
      </c>
      <c r="G90" s="141" t="n">
        <v>42</v>
      </c>
      <c r="H90" s="141" t="n">
        <v>60</v>
      </c>
      <c r="I90" s="141" t="n">
        <v>0</v>
      </c>
      <c r="J90" s="141" t="n">
        <v>4</v>
      </c>
      <c r="K90" s="141"/>
      <c r="L90" s="141" t="n">
        <v>0.583159552241248</v>
      </c>
      <c r="M90" s="141" t="n">
        <v>0</v>
      </c>
      <c r="N90" s="141"/>
      <c r="O90" s="141" t="n">
        <v>0.136651340046019</v>
      </c>
      <c r="P90" s="141" t="n">
        <v>0.296697325379973</v>
      </c>
      <c r="Q90" s="141" t="n">
        <v>1</v>
      </c>
    </row>
    <row r="91" customFormat="false" ht="12.8" hidden="false" customHeight="false" outlineLevel="0" collapsed="false">
      <c r="A91" s="11" t="n">
        <v>89</v>
      </c>
      <c r="B91" s="141" t="s">
        <v>575</v>
      </c>
      <c r="C91" s="141" t="n">
        <v>1</v>
      </c>
      <c r="D91" s="141" t="s">
        <v>558</v>
      </c>
      <c r="E91" s="141" t="n">
        <v>-20</v>
      </c>
      <c r="F91" s="141" t="n">
        <v>-10</v>
      </c>
      <c r="G91" s="141" t="n">
        <v>42</v>
      </c>
      <c r="H91" s="141" t="n">
        <v>60</v>
      </c>
      <c r="I91" s="141" t="n">
        <v>0</v>
      </c>
      <c r="J91" s="141" t="n">
        <v>4</v>
      </c>
      <c r="K91" s="141" t="n">
        <v>0.293863664329588</v>
      </c>
      <c r="L91" s="141" t="n">
        <v>0.6185544443344</v>
      </c>
      <c r="M91" s="141" t="n">
        <v>0</v>
      </c>
      <c r="N91" s="141" t="n">
        <v>0.260135924512025</v>
      </c>
      <c r="O91" s="141" t="n">
        <v>0.169872689472704</v>
      </c>
      <c r="P91" s="141" t="n">
        <v>0.356803485605171</v>
      </c>
      <c r="Q91" s="141" t="n">
        <v>0</v>
      </c>
    </row>
    <row r="92" customFormat="false" ht="12.8" hidden="false" customHeight="false" outlineLevel="0" collapsed="false">
      <c r="A92" s="11" t="n">
        <v>90</v>
      </c>
      <c r="B92" s="141" t="s">
        <v>576</v>
      </c>
      <c r="C92" s="141" t="n">
        <v>1</v>
      </c>
      <c r="D92" s="141" t="s">
        <v>558</v>
      </c>
      <c r="E92" s="141" t="n">
        <v>-20</v>
      </c>
      <c r="F92" s="141" t="n">
        <v>-10</v>
      </c>
      <c r="G92" s="141" t="n">
        <v>42</v>
      </c>
      <c r="H92" s="141" t="n">
        <v>60</v>
      </c>
      <c r="I92" s="141" t="n">
        <v>0</v>
      </c>
      <c r="J92" s="141" t="n">
        <v>4</v>
      </c>
      <c r="K92" s="141" t="n">
        <v>0.381771454356048</v>
      </c>
      <c r="L92" s="141" t="n">
        <v>0.633235095671283</v>
      </c>
      <c r="M92" s="141" t="n">
        <v>0</v>
      </c>
      <c r="N92" s="141" t="n">
        <v>0.343770302903735</v>
      </c>
      <c r="O92" s="141" t="n">
        <v>0.184433611282063</v>
      </c>
      <c r="P92" s="141" t="n">
        <v>0.381733568147665</v>
      </c>
      <c r="Q92" s="141" t="n">
        <v>0</v>
      </c>
    </row>
    <row r="93" customFormat="false" ht="12.8" hidden="false" customHeight="false" outlineLevel="0" collapsed="false">
      <c r="A93" s="11" t="n">
        <v>91</v>
      </c>
      <c r="B93" s="141" t="s">
        <v>577</v>
      </c>
      <c r="C93" s="141" t="n">
        <v>1</v>
      </c>
      <c r="D93" s="141" t="s">
        <v>558</v>
      </c>
      <c r="E93" s="141" t="n">
        <v>-20</v>
      </c>
      <c r="F93" s="141" t="n">
        <v>-10</v>
      </c>
      <c r="G93" s="141" t="n">
        <v>42</v>
      </c>
      <c r="H93" s="141" t="n">
        <v>60</v>
      </c>
      <c r="I93" s="141" t="n">
        <v>0</v>
      </c>
      <c r="J93" s="141" t="n">
        <v>4</v>
      </c>
      <c r="K93" s="141" t="n">
        <v>0.386536782197386</v>
      </c>
      <c r="L93" s="141" t="n">
        <v>0.638399397316681</v>
      </c>
      <c r="M93" s="141" t="n">
        <v>0</v>
      </c>
      <c r="N93" s="141" t="n">
        <v>0.348380508923008</v>
      </c>
      <c r="O93" s="141" t="n">
        <v>0.189677863172353</v>
      </c>
      <c r="P93" s="141" t="n">
        <v>0.3905033742918</v>
      </c>
      <c r="Q93" s="141" t="n">
        <v>0</v>
      </c>
    </row>
    <row r="94" customFormat="false" ht="12.8" hidden="false" customHeight="false" outlineLevel="0" collapsed="false">
      <c r="A94" s="11" t="n">
        <v>92</v>
      </c>
      <c r="B94" s="141" t="s">
        <v>578</v>
      </c>
      <c r="C94" s="141" t="n">
        <v>0</v>
      </c>
      <c r="D94" s="141" t="s">
        <v>558</v>
      </c>
      <c r="E94" s="141" t="n">
        <v>-20</v>
      </c>
      <c r="F94" s="141" t="n">
        <v>-10</v>
      </c>
      <c r="G94" s="141" t="n">
        <v>42</v>
      </c>
      <c r="H94" s="141" t="n">
        <v>60</v>
      </c>
      <c r="I94" s="141" t="n">
        <v>0</v>
      </c>
      <c r="J94" s="141" t="n">
        <v>4</v>
      </c>
      <c r="K94" s="141"/>
      <c r="L94" s="141" t="n">
        <v>0.56535603743372</v>
      </c>
      <c r="M94" s="141" t="n">
        <v>0</v>
      </c>
      <c r="N94" s="141"/>
      <c r="O94" s="141" t="n">
        <v>0.120843106887044</v>
      </c>
      <c r="P94" s="141" t="n">
        <v>0.266464123629375</v>
      </c>
      <c r="Q94" s="141" t="n">
        <v>1</v>
      </c>
    </row>
    <row r="95" customFormat="false" ht="12.8" hidden="false" customHeight="false" outlineLevel="0" collapsed="false">
      <c r="A95" s="11" t="n">
        <v>93</v>
      </c>
      <c r="B95" s="141" t="s">
        <v>579</v>
      </c>
      <c r="C95" s="141" t="n">
        <v>0</v>
      </c>
      <c r="D95" s="141" t="s">
        <v>558</v>
      </c>
      <c r="E95" s="141" t="n">
        <v>-20</v>
      </c>
      <c r="F95" s="141" t="n">
        <v>-10</v>
      </c>
      <c r="G95" s="141" t="n">
        <v>42</v>
      </c>
      <c r="H95" s="141" t="n">
        <v>60</v>
      </c>
      <c r="I95" s="141" t="n">
        <v>0</v>
      </c>
      <c r="J95" s="141" t="n">
        <v>4</v>
      </c>
      <c r="K95" s="141"/>
      <c r="L95" s="141" t="n">
        <v>0.563881165433875</v>
      </c>
      <c r="M95" s="141" t="n">
        <v>0</v>
      </c>
      <c r="N95" s="141"/>
      <c r="O95" s="141" t="n">
        <v>0.119559056390273</v>
      </c>
      <c r="P95" s="141" t="n">
        <v>0.26395955623301</v>
      </c>
      <c r="Q95" s="141" t="n">
        <v>1</v>
      </c>
    </row>
    <row r="96" customFormat="false" ht="12.8" hidden="false" customHeight="false" outlineLevel="0" collapsed="false">
      <c r="A96" s="11" t="n">
        <v>94</v>
      </c>
      <c r="B96" s="141" t="s">
        <v>580</v>
      </c>
      <c r="C96" s="141" t="n">
        <v>1</v>
      </c>
      <c r="D96" s="141" t="s">
        <v>558</v>
      </c>
      <c r="E96" s="141" t="n">
        <v>-20</v>
      </c>
      <c r="F96" s="141" t="n">
        <v>-10</v>
      </c>
      <c r="G96" s="141" t="n">
        <v>42</v>
      </c>
      <c r="H96" s="141" t="n">
        <v>60</v>
      </c>
      <c r="I96" s="141" t="n">
        <v>0</v>
      </c>
      <c r="J96" s="141" t="n">
        <v>4</v>
      </c>
      <c r="K96" s="141" t="n">
        <v>0.302840932388886</v>
      </c>
      <c r="L96" s="141" t="n">
        <v>0.584518956166664</v>
      </c>
      <c r="M96" s="141" t="n">
        <v>0</v>
      </c>
      <c r="N96" s="141" t="n">
        <v>0.268553988728266</v>
      </c>
      <c r="O96" s="141" t="n">
        <v>0.137882148937331</v>
      </c>
      <c r="P96" s="141" t="n">
        <v>0.299005809608058</v>
      </c>
      <c r="Q96" s="141" t="n">
        <v>0</v>
      </c>
    </row>
    <row r="97" customFormat="false" ht="12.8" hidden="false" customHeight="false" outlineLevel="0" collapsed="false">
      <c r="A97" s="11" t="n">
        <v>95</v>
      </c>
      <c r="B97" s="141" t="s">
        <v>581</v>
      </c>
      <c r="C97" s="141" t="n">
        <v>1</v>
      </c>
      <c r="D97" s="141" t="s">
        <v>558</v>
      </c>
      <c r="E97" s="141" t="n">
        <v>-20</v>
      </c>
      <c r="F97" s="141" t="n">
        <v>-10</v>
      </c>
      <c r="G97" s="141" t="n">
        <v>42</v>
      </c>
      <c r="H97" s="141" t="n">
        <v>60</v>
      </c>
      <c r="I97" s="141" t="n">
        <v>0</v>
      </c>
      <c r="J97" s="141" t="n">
        <v>4</v>
      </c>
      <c r="K97" s="141" t="n">
        <v>0.230843955990637</v>
      </c>
      <c r="L97" s="141" t="n">
        <v>0.613407888717277</v>
      </c>
      <c r="M97" s="141" t="n">
        <v>0</v>
      </c>
      <c r="N97" s="141" t="n">
        <v>0.201828084401605</v>
      </c>
      <c r="O97" s="141" t="n">
        <v>0.164883043218477</v>
      </c>
      <c r="P97" s="141" t="n">
        <v>0.348063815041505</v>
      </c>
      <c r="Q97" s="141" t="n">
        <v>0</v>
      </c>
    </row>
    <row r="98" customFormat="false" ht="12.8" hidden="false" customHeight="false" outlineLevel="0" collapsed="false">
      <c r="A98" s="11" t="n">
        <v>96</v>
      </c>
      <c r="B98" s="141" t="s">
        <v>582</v>
      </c>
      <c r="C98" s="141" t="n">
        <v>1</v>
      </c>
      <c r="D98" s="141" t="s">
        <v>558</v>
      </c>
      <c r="E98" s="141" t="n">
        <v>-20</v>
      </c>
      <c r="F98" s="141" t="n">
        <v>-10</v>
      </c>
      <c r="G98" s="141" t="n">
        <v>42</v>
      </c>
      <c r="H98" s="141" t="n">
        <v>60</v>
      </c>
      <c r="I98" s="141" t="n">
        <v>0</v>
      </c>
      <c r="J98" s="141" t="n">
        <v>4</v>
      </c>
      <c r="K98" s="141" t="n">
        <v>0.249808640278862</v>
      </c>
      <c r="L98" s="141" t="n">
        <v>0.626708940050029</v>
      </c>
      <c r="M98" s="141" t="n">
        <v>0</v>
      </c>
      <c r="N98" s="141" t="n">
        <v>0.219230023610811</v>
      </c>
      <c r="O98" s="141" t="n">
        <v>0.177898981481143</v>
      </c>
      <c r="P98" s="141" t="n">
        <v>0.370651117199848</v>
      </c>
      <c r="Q98" s="141" t="n">
        <v>0</v>
      </c>
    </row>
    <row r="99" customFormat="false" ht="12.8" hidden="false" customHeight="false" outlineLevel="0" collapsed="false">
      <c r="A99" s="11" t="n">
        <v>97</v>
      </c>
      <c r="B99" s="141" t="s">
        <v>583</v>
      </c>
      <c r="C99" s="141" t="n">
        <v>0</v>
      </c>
      <c r="D99" s="141" t="s">
        <v>558</v>
      </c>
      <c r="E99" s="141" t="n">
        <v>-20</v>
      </c>
      <c r="F99" s="141" t="n">
        <v>-10</v>
      </c>
      <c r="G99" s="141" t="n">
        <v>42</v>
      </c>
      <c r="H99" s="141" t="n">
        <v>60</v>
      </c>
      <c r="I99" s="141" t="n">
        <v>0</v>
      </c>
      <c r="J99" s="141" t="n">
        <v>4</v>
      </c>
      <c r="K99" s="141"/>
      <c r="L99" s="141" t="n">
        <v>0.56000657743784</v>
      </c>
      <c r="M99" s="141" t="n">
        <v>0</v>
      </c>
      <c r="N99" s="141"/>
      <c r="O99" s="141" t="n">
        <v>0.116204160245704</v>
      </c>
      <c r="P99" s="141" t="n">
        <v>0.257379889136317</v>
      </c>
      <c r="Q99" s="141" t="n">
        <v>1</v>
      </c>
    </row>
    <row r="100" customFormat="false" ht="12.8" hidden="false" customHeight="false" outlineLevel="0" collapsed="false">
      <c r="A100" s="11" t="n">
        <v>98</v>
      </c>
      <c r="B100" s="141" t="s">
        <v>584</v>
      </c>
      <c r="C100" s="141" t="n">
        <v>0</v>
      </c>
      <c r="D100" s="141" t="s">
        <v>558</v>
      </c>
      <c r="E100" s="141" t="n">
        <v>-20</v>
      </c>
      <c r="F100" s="141" t="n">
        <v>-10</v>
      </c>
      <c r="G100" s="141" t="n">
        <v>42</v>
      </c>
      <c r="H100" s="141" t="n">
        <v>60</v>
      </c>
      <c r="I100" s="141" t="n">
        <v>0</v>
      </c>
      <c r="J100" s="141" t="n">
        <v>4</v>
      </c>
      <c r="K100" s="141"/>
      <c r="L100" s="141" t="n">
        <v>0.566173349214859</v>
      </c>
      <c r="M100" s="141" t="n">
        <v>0</v>
      </c>
      <c r="N100" s="141"/>
      <c r="O100" s="141" t="n">
        <v>0.121556339197036</v>
      </c>
      <c r="P100" s="141" t="n">
        <v>0.267852049117091</v>
      </c>
      <c r="Q100" s="141" t="n">
        <v>1</v>
      </c>
    </row>
    <row r="101" customFormat="false" ht="12.8" hidden="false" customHeight="false" outlineLevel="0" collapsed="false">
      <c r="A101" s="11" t="n">
        <v>99</v>
      </c>
      <c r="B101" s="141" t="s">
        <v>585</v>
      </c>
      <c r="C101" s="141" t="n">
        <v>1</v>
      </c>
      <c r="D101" s="141" t="s">
        <v>558</v>
      </c>
      <c r="E101" s="141" t="n">
        <v>-20</v>
      </c>
      <c r="F101" s="141" t="n">
        <v>-10</v>
      </c>
      <c r="G101" s="141" t="n">
        <v>42</v>
      </c>
      <c r="H101" s="141" t="n">
        <v>60</v>
      </c>
      <c r="I101" s="141" t="n">
        <v>0</v>
      </c>
      <c r="J101" s="141" t="n">
        <v>4</v>
      </c>
      <c r="K101" s="141" t="n">
        <v>0.339222488161598</v>
      </c>
      <c r="L101" s="141" t="n">
        <v>0.593762572845931</v>
      </c>
      <c r="M101" s="141" t="n">
        <v>0</v>
      </c>
      <c r="N101" s="141" t="n">
        <v>0.30295528153226</v>
      </c>
      <c r="O101" s="141" t="n">
        <v>0.146343399785014</v>
      </c>
      <c r="P101" s="141" t="n">
        <v>0.314702941943485</v>
      </c>
      <c r="Q101" s="141" t="n">
        <v>0</v>
      </c>
    </row>
    <row r="102" customFormat="false" ht="12.8" hidden="false" customHeight="false" outlineLevel="0" collapsed="false">
      <c r="A102" s="11" t="n">
        <v>100</v>
      </c>
      <c r="B102" s="141" t="s">
        <v>586</v>
      </c>
      <c r="C102" s="141" t="n">
        <v>1</v>
      </c>
      <c r="D102" s="141" t="s">
        <v>558</v>
      </c>
      <c r="E102" s="141" t="n">
        <v>-20</v>
      </c>
      <c r="F102" s="141" t="n">
        <v>-10</v>
      </c>
      <c r="G102" s="141" t="n">
        <v>42</v>
      </c>
      <c r="H102" s="141" t="n">
        <v>60</v>
      </c>
      <c r="I102" s="141" t="n">
        <v>0</v>
      </c>
      <c r="J102" s="141" t="n">
        <v>4</v>
      </c>
      <c r="K102" s="141" t="n">
        <v>0.298256261210136</v>
      </c>
      <c r="L102" s="141" t="n">
        <v>0.589178231472691</v>
      </c>
      <c r="M102" s="141" t="n">
        <v>0</v>
      </c>
      <c r="N102" s="141" t="n">
        <v>0.264251411708553</v>
      </c>
      <c r="O102" s="141" t="n">
        <v>0.142126858125875</v>
      </c>
      <c r="P102" s="141" t="n">
        <v>0.306918000647951</v>
      </c>
      <c r="Q102" s="141" t="n">
        <v>0</v>
      </c>
    </row>
    <row r="103" customFormat="false" ht="12.8" hidden="false" customHeight="false" outlineLevel="0" collapsed="false">
      <c r="A103" s="11" t="n">
        <v>101</v>
      </c>
      <c r="B103" s="141" t="s">
        <v>587</v>
      </c>
      <c r="C103" s="141" t="n">
        <v>1</v>
      </c>
      <c r="D103" s="141" t="s">
        <v>558</v>
      </c>
      <c r="E103" s="141" t="n">
        <v>-20</v>
      </c>
      <c r="F103" s="141" t="n">
        <v>-10</v>
      </c>
      <c r="G103" s="141" t="n">
        <v>42</v>
      </c>
      <c r="H103" s="141" t="n">
        <v>60</v>
      </c>
      <c r="I103" s="141" t="n">
        <v>0</v>
      </c>
      <c r="J103" s="141" t="n">
        <v>4</v>
      </c>
      <c r="K103" s="141" t="n">
        <v>0.233247226382391</v>
      </c>
      <c r="L103" s="141" t="n">
        <v>0.619795819589681</v>
      </c>
      <c r="M103" s="141" t="n">
        <v>0</v>
      </c>
      <c r="N103" s="141" t="n">
        <v>0.204026420721822</v>
      </c>
      <c r="O103" s="141" t="n">
        <v>0.171084891567558</v>
      </c>
      <c r="P103" s="141" t="n">
        <v>0.358911538365924</v>
      </c>
      <c r="Q103" s="141" t="n">
        <v>0</v>
      </c>
    </row>
    <row r="104" customFormat="false" ht="12.8" hidden="false" customHeight="false" outlineLevel="0" collapsed="false">
      <c r="A104" s="11" t="n">
        <v>102</v>
      </c>
      <c r="B104" s="141" t="s">
        <v>588</v>
      </c>
      <c r="C104" s="141" t="n">
        <v>0</v>
      </c>
      <c r="D104" s="141" t="s">
        <v>558</v>
      </c>
      <c r="E104" s="141" t="n">
        <v>-20</v>
      </c>
      <c r="F104" s="141" t="n">
        <v>-10</v>
      </c>
      <c r="G104" s="141" t="n">
        <v>42</v>
      </c>
      <c r="H104" s="141" t="n">
        <v>60</v>
      </c>
      <c r="I104" s="141" t="n">
        <v>0</v>
      </c>
      <c r="J104" s="141" t="n">
        <v>4</v>
      </c>
      <c r="K104" s="141"/>
      <c r="L104" s="141" t="n">
        <v>0.5754344962443</v>
      </c>
      <c r="M104" s="141" t="n">
        <v>0</v>
      </c>
      <c r="N104" s="141"/>
      <c r="O104" s="141" t="n">
        <v>0.129721605703124</v>
      </c>
      <c r="P104" s="141" t="n">
        <v>0.283578950777243</v>
      </c>
      <c r="Q104" s="141" t="n">
        <v>1</v>
      </c>
    </row>
    <row r="105" customFormat="false" ht="12.8" hidden="false" customHeight="false" outlineLevel="0" collapsed="false">
      <c r="A105" s="11" t="n">
        <v>103</v>
      </c>
      <c r="B105" s="141" t="s">
        <v>589</v>
      </c>
      <c r="C105" s="141" t="n">
        <v>0</v>
      </c>
      <c r="D105" s="141" t="s">
        <v>558</v>
      </c>
      <c r="E105" s="141" t="n">
        <v>-20</v>
      </c>
      <c r="F105" s="141" t="n">
        <v>-10</v>
      </c>
      <c r="G105" s="141" t="n">
        <v>42</v>
      </c>
      <c r="H105" s="141" t="n">
        <v>60</v>
      </c>
      <c r="I105" s="141" t="n">
        <v>0</v>
      </c>
      <c r="J105" s="141" t="n">
        <v>4</v>
      </c>
      <c r="K105" s="141"/>
      <c r="L105" s="141" t="n">
        <v>0.582410789460734</v>
      </c>
      <c r="M105" s="141" t="n">
        <v>0</v>
      </c>
      <c r="N105" s="141"/>
      <c r="O105" s="141" t="n">
        <v>0.135974870220403</v>
      </c>
      <c r="P105" s="141" t="n">
        <v>0.295425807005577</v>
      </c>
      <c r="Q105" s="141" t="n">
        <v>1</v>
      </c>
    </row>
    <row r="106" customFormat="false" ht="12.8" hidden="false" customHeight="false" outlineLevel="0" collapsed="false">
      <c r="A106" s="11" t="n">
        <v>104</v>
      </c>
      <c r="B106" s="141" t="s">
        <v>590</v>
      </c>
      <c r="C106" s="141" t="n">
        <v>1</v>
      </c>
      <c r="D106" s="141" t="s">
        <v>558</v>
      </c>
      <c r="E106" s="141" t="n">
        <v>-20</v>
      </c>
      <c r="F106" s="141" t="n">
        <v>-10</v>
      </c>
      <c r="G106" s="141" t="n">
        <v>42</v>
      </c>
      <c r="H106" s="141" t="n">
        <v>60</v>
      </c>
      <c r="I106" s="141" t="n">
        <v>0</v>
      </c>
      <c r="J106" s="141" t="n">
        <v>4</v>
      </c>
      <c r="K106" s="141" t="n">
        <v>0.252858895720851</v>
      </c>
      <c r="L106" s="141" t="n">
        <v>0.61792803159433</v>
      </c>
      <c r="M106" s="141" t="n">
        <v>0</v>
      </c>
      <c r="N106" s="141" t="n">
        <v>0.222040566444364</v>
      </c>
      <c r="O106" s="141" t="n">
        <v>0.169262289729231</v>
      </c>
      <c r="P106" s="141" t="n">
        <v>0.35573973707268</v>
      </c>
      <c r="Q106" s="141" t="n">
        <v>0</v>
      </c>
    </row>
    <row r="107" customFormat="false" ht="12.8" hidden="false" customHeight="false" outlineLevel="0" collapsed="false">
      <c r="A107" s="11" t="n">
        <v>105</v>
      </c>
      <c r="B107" s="141" t="s">
        <v>591</v>
      </c>
      <c r="C107" s="141" t="n">
        <v>1</v>
      </c>
      <c r="D107" s="141" t="s">
        <v>558</v>
      </c>
      <c r="E107" s="141" t="n">
        <v>-20</v>
      </c>
      <c r="F107" s="141" t="n">
        <v>-10</v>
      </c>
      <c r="G107" s="141" t="n">
        <v>42</v>
      </c>
      <c r="H107" s="141" t="n">
        <v>60</v>
      </c>
      <c r="I107" s="141" t="n">
        <v>0</v>
      </c>
      <c r="J107" s="141" t="n">
        <v>4</v>
      </c>
      <c r="K107" s="141" t="n">
        <v>0.342887263375415</v>
      </c>
      <c r="L107" s="141" t="n">
        <v>0.633229911294774</v>
      </c>
      <c r="M107" s="141" t="n">
        <v>0</v>
      </c>
      <c r="N107" s="141" t="n">
        <v>0.306446015178344</v>
      </c>
      <c r="O107" s="141" t="n">
        <v>0.184428379656575</v>
      </c>
      <c r="P107" s="141" t="n">
        <v>0.381724764251208</v>
      </c>
      <c r="Q107" s="141" t="n">
        <v>0</v>
      </c>
    </row>
    <row r="108" customFormat="false" ht="12.8" hidden="false" customHeight="false" outlineLevel="0" collapsed="false">
      <c r="A108" s="11" t="n">
        <v>106</v>
      </c>
      <c r="B108" s="141" t="s">
        <v>592</v>
      </c>
      <c r="C108" s="141" t="n">
        <v>1</v>
      </c>
      <c r="D108" s="141" t="s">
        <v>558</v>
      </c>
      <c r="E108" s="141" t="n">
        <v>-20</v>
      </c>
      <c r="F108" s="141" t="n">
        <v>-10</v>
      </c>
      <c r="G108" s="141" t="n">
        <v>42</v>
      </c>
      <c r="H108" s="141" t="n">
        <v>60</v>
      </c>
      <c r="I108" s="141" t="n">
        <v>0</v>
      </c>
      <c r="J108" s="141" t="n">
        <v>4</v>
      </c>
      <c r="K108" s="141" t="n">
        <v>0.271238327853345</v>
      </c>
      <c r="L108" s="141" t="n">
        <v>0.626879926690455</v>
      </c>
      <c r="M108" s="141" t="n">
        <v>0</v>
      </c>
      <c r="N108" s="141" t="n">
        <v>0.239043857873121</v>
      </c>
      <c r="O108" s="141" t="n">
        <v>0.178068906740006</v>
      </c>
      <c r="P108" s="141" t="n">
        <v>0.370941479729524</v>
      </c>
      <c r="Q108" s="141" t="n">
        <v>0</v>
      </c>
    </row>
    <row r="109" customFormat="false" ht="12.8" hidden="false" customHeight="false" outlineLevel="0" collapsed="false">
      <c r="A109" s="11" t="n">
        <v>107</v>
      </c>
      <c r="B109" s="141" t="s">
        <v>593</v>
      </c>
      <c r="C109" s="141" t="n">
        <v>0</v>
      </c>
      <c r="D109" s="141" t="s">
        <v>558</v>
      </c>
      <c r="E109" s="141" t="n">
        <v>-20</v>
      </c>
      <c r="F109" s="141" t="n">
        <v>-10</v>
      </c>
      <c r="G109" s="141" t="n">
        <v>42</v>
      </c>
      <c r="H109" s="141" t="n">
        <v>60</v>
      </c>
      <c r="I109" s="141" t="n">
        <v>0</v>
      </c>
      <c r="J109" s="141" t="n">
        <v>4</v>
      </c>
      <c r="K109" s="141"/>
      <c r="L109" s="141" t="n">
        <v>0.531394662620948</v>
      </c>
      <c r="M109" s="141" t="n">
        <v>0</v>
      </c>
      <c r="N109" s="141"/>
      <c r="O109" s="141" t="n">
        <v>0.0922553186613138</v>
      </c>
      <c r="P109" s="141" t="n">
        <v>0.208792303904873</v>
      </c>
      <c r="Q109" s="141" t="n">
        <v>1</v>
      </c>
    </row>
    <row r="110" customFormat="false" ht="12.8" hidden="false" customHeight="false" outlineLevel="0" collapsed="false">
      <c r="A110" s="11" t="n">
        <v>108</v>
      </c>
      <c r="B110" s="141" t="s">
        <v>594</v>
      </c>
      <c r="C110" s="141" t="n">
        <v>0</v>
      </c>
      <c r="D110" s="141" t="s">
        <v>558</v>
      </c>
      <c r="E110" s="141" t="n">
        <v>-20</v>
      </c>
      <c r="F110" s="141" t="n">
        <v>-10</v>
      </c>
      <c r="G110" s="141" t="n">
        <v>42</v>
      </c>
      <c r="H110" s="141" t="n">
        <v>60</v>
      </c>
      <c r="I110" s="141" t="n">
        <v>0</v>
      </c>
      <c r="J110" s="141" t="n">
        <v>4</v>
      </c>
      <c r="K110" s="141"/>
      <c r="L110" s="141" t="n">
        <v>0.585563933262448</v>
      </c>
      <c r="M110" s="141" t="n">
        <v>0</v>
      </c>
      <c r="N110" s="141"/>
      <c r="O110" s="141" t="n">
        <v>0.138830610844832</v>
      </c>
      <c r="P110" s="141" t="n">
        <v>0.300780347035254</v>
      </c>
      <c r="Q110" s="141" t="n">
        <v>1</v>
      </c>
    </row>
    <row r="111" customFormat="false" ht="12.8" hidden="false" customHeight="false" outlineLevel="0" collapsed="false">
      <c r="A111" s="11" t="n">
        <v>109</v>
      </c>
      <c r="B111" s="141" t="s">
        <v>595</v>
      </c>
      <c r="C111" s="141" t="n">
        <v>1</v>
      </c>
      <c r="D111" s="141" t="s">
        <v>558</v>
      </c>
      <c r="E111" s="141" t="n">
        <v>-20</v>
      </c>
      <c r="F111" s="141" t="n">
        <v>-10</v>
      </c>
      <c r="G111" s="141" t="n">
        <v>42</v>
      </c>
      <c r="H111" s="141" t="n">
        <v>60</v>
      </c>
      <c r="I111" s="141" t="n">
        <v>0</v>
      </c>
      <c r="J111" s="141" t="n">
        <v>4</v>
      </c>
      <c r="K111" s="141" t="n">
        <v>0.323045614129455</v>
      </c>
      <c r="L111" s="141" t="n">
        <v>0.586360760699175</v>
      </c>
      <c r="M111" s="141" t="n">
        <v>0</v>
      </c>
      <c r="N111" s="141" t="n">
        <v>0.287602278512679</v>
      </c>
      <c r="O111" s="141" t="n">
        <v>0.139555212080161</v>
      </c>
      <c r="P111" s="141" t="n">
        <v>0.302133486845872</v>
      </c>
      <c r="Q111" s="141" t="n">
        <v>0</v>
      </c>
    </row>
    <row r="112" customFormat="false" ht="12.8" hidden="false" customHeight="false" outlineLevel="0" collapsed="false">
      <c r="A112" s="11" t="n">
        <v>110</v>
      </c>
      <c r="B112" s="141" t="s">
        <v>596</v>
      </c>
      <c r="C112" s="141" t="n">
        <v>1</v>
      </c>
      <c r="D112" s="141" t="s">
        <v>558</v>
      </c>
      <c r="E112" s="141" t="n">
        <v>-20</v>
      </c>
      <c r="F112" s="141" t="n">
        <v>-10</v>
      </c>
      <c r="G112" s="141" t="n">
        <v>42</v>
      </c>
      <c r="H112" s="141" t="n">
        <v>60</v>
      </c>
      <c r="I112" s="141" t="n">
        <v>0</v>
      </c>
      <c r="J112" s="141" t="n">
        <v>4</v>
      </c>
      <c r="K112" s="141" t="n">
        <v>0.285351404254159</v>
      </c>
      <c r="L112" s="141" t="n">
        <v>0.598462083483576</v>
      </c>
      <c r="M112" s="141" t="n">
        <v>0</v>
      </c>
      <c r="N112" s="141" t="n">
        <v>0.252179702532817</v>
      </c>
      <c r="O112" s="141" t="n">
        <v>0.150707958687485</v>
      </c>
      <c r="P112" s="141" t="n">
        <v>0.32268345898032</v>
      </c>
      <c r="Q112" s="141" t="n">
        <v>0</v>
      </c>
    </row>
    <row r="113" customFormat="false" ht="12.8" hidden="false" customHeight="false" outlineLevel="0" collapsed="false">
      <c r="A113" s="11" t="n">
        <v>111</v>
      </c>
      <c r="B113" s="141" t="s">
        <v>597</v>
      </c>
      <c r="C113" s="141" t="n">
        <v>1</v>
      </c>
      <c r="D113" s="141" t="s">
        <v>558</v>
      </c>
      <c r="E113" s="141" t="n">
        <v>-20</v>
      </c>
      <c r="F113" s="141" t="n">
        <v>-10</v>
      </c>
      <c r="G113" s="141" t="n">
        <v>42</v>
      </c>
      <c r="H113" s="141" t="n">
        <v>60</v>
      </c>
      <c r="I113" s="141" t="n">
        <v>0</v>
      </c>
      <c r="J113" s="141" t="n">
        <v>4</v>
      </c>
      <c r="K113" s="141" t="n">
        <v>0.232839708939909</v>
      </c>
      <c r="L113" s="141" t="n">
        <v>0.603859039332251</v>
      </c>
      <c r="M113" s="141" t="n">
        <v>0</v>
      </c>
      <c r="N113" s="141" t="n">
        <v>0.203653512567829</v>
      </c>
      <c r="O113" s="141" t="n">
        <v>0.155774016275233</v>
      </c>
      <c r="P113" s="141" t="n">
        <v>0.331848348990862</v>
      </c>
      <c r="Q113" s="141" t="n">
        <v>0</v>
      </c>
    </row>
    <row r="114" customFormat="false" ht="12.8" hidden="false" customHeight="false" outlineLevel="0" collapsed="false">
      <c r="A114" s="11" t="n">
        <v>112</v>
      </c>
      <c r="B114" s="141" t="s">
        <v>598</v>
      </c>
      <c r="C114" s="141" t="n">
        <v>0</v>
      </c>
      <c r="D114" s="141" t="s">
        <v>558</v>
      </c>
      <c r="E114" s="141" t="n">
        <v>-20</v>
      </c>
      <c r="F114" s="141" t="n">
        <v>-10</v>
      </c>
      <c r="G114" s="141" t="n">
        <v>42</v>
      </c>
      <c r="H114" s="141" t="n">
        <v>60</v>
      </c>
      <c r="I114" s="141" t="n">
        <v>0</v>
      </c>
      <c r="J114" s="141" t="n">
        <v>4</v>
      </c>
      <c r="K114" s="141"/>
      <c r="L114" s="141" t="n">
        <v>0.565854365399728</v>
      </c>
      <c r="M114" s="141" t="n">
        <v>0</v>
      </c>
      <c r="N114" s="141"/>
      <c r="O114" s="141" t="n">
        <v>0.121277834499462</v>
      </c>
      <c r="P114" s="141" t="n">
        <v>0.267310363829535</v>
      </c>
      <c r="Q114" s="141" t="n">
        <v>1</v>
      </c>
    </row>
    <row r="115" customFormat="false" ht="12.8" hidden="false" customHeight="false" outlineLevel="0" collapsed="false">
      <c r="A115" s="11" t="n">
        <v>113</v>
      </c>
      <c r="B115" s="141" t="s">
        <v>599</v>
      </c>
      <c r="C115" s="141" t="n">
        <v>0</v>
      </c>
      <c r="D115" s="141" t="s">
        <v>558</v>
      </c>
      <c r="E115" s="141" t="n">
        <v>-20</v>
      </c>
      <c r="F115" s="141" t="n">
        <v>-10</v>
      </c>
      <c r="G115" s="141" t="n">
        <v>42</v>
      </c>
      <c r="H115" s="141" t="n">
        <v>60</v>
      </c>
      <c r="I115" s="141" t="n">
        <v>0</v>
      </c>
      <c r="J115" s="141" t="n">
        <v>4</v>
      </c>
      <c r="K115" s="141"/>
      <c r="L115" s="141" t="n">
        <v>0.561438859177162</v>
      </c>
      <c r="M115" s="141" t="n">
        <v>0</v>
      </c>
      <c r="N115" s="141"/>
      <c r="O115" s="141" t="n">
        <v>0.117441232177895</v>
      </c>
      <c r="P115" s="141" t="n">
        <v>0.259812131491647</v>
      </c>
      <c r="Q115" s="141" t="n">
        <v>1</v>
      </c>
    </row>
    <row r="116" customFormat="false" ht="12.8" hidden="false" customHeight="false" outlineLevel="0" collapsed="false">
      <c r="A116" s="11" t="n">
        <v>114</v>
      </c>
      <c r="B116" s="141" t="s">
        <v>600</v>
      </c>
      <c r="C116" s="141" t="n">
        <v>1</v>
      </c>
      <c r="D116" s="141" t="s">
        <v>558</v>
      </c>
      <c r="E116" s="141" t="n">
        <v>-20</v>
      </c>
      <c r="F116" s="141" t="n">
        <v>-10</v>
      </c>
      <c r="G116" s="141" t="n">
        <v>42</v>
      </c>
      <c r="H116" s="141" t="n">
        <v>60</v>
      </c>
      <c r="I116" s="141" t="n">
        <v>0</v>
      </c>
      <c r="J116" s="141" t="n">
        <v>4</v>
      </c>
      <c r="K116" s="141" t="n">
        <v>0.287485691773596</v>
      </c>
      <c r="L116" s="141" t="n">
        <v>0.591094711981313</v>
      </c>
      <c r="M116" s="141" t="n">
        <v>0</v>
      </c>
      <c r="N116" s="141" t="n">
        <v>0.2541722150282</v>
      </c>
      <c r="O116" s="141" t="n">
        <v>0.143884699976236</v>
      </c>
      <c r="P116" s="141" t="n">
        <v>0.310172489578628</v>
      </c>
      <c r="Q116" s="141" t="n">
        <v>0</v>
      </c>
    </row>
    <row r="117" customFormat="false" ht="12.8" hidden="false" customHeight="false" outlineLevel="0" collapsed="false">
      <c r="A117" s="11" t="n">
        <v>115</v>
      </c>
      <c r="B117" s="141" t="s">
        <v>601</v>
      </c>
      <c r="C117" s="141" t="n">
        <v>1</v>
      </c>
      <c r="D117" s="141" t="s">
        <v>558</v>
      </c>
      <c r="E117" s="141" t="n">
        <v>-20</v>
      </c>
      <c r="F117" s="141" t="n">
        <v>-10</v>
      </c>
      <c r="G117" s="141" t="n">
        <v>42</v>
      </c>
      <c r="H117" s="141" t="n">
        <v>60</v>
      </c>
      <c r="I117" s="141" t="n">
        <v>0</v>
      </c>
      <c r="J117" s="141" t="n">
        <v>4</v>
      </c>
      <c r="K117" s="141" t="n">
        <v>0.317909345850473</v>
      </c>
      <c r="L117" s="141" t="n">
        <v>0.601890938763362</v>
      </c>
      <c r="M117" s="141" t="n">
        <v>0</v>
      </c>
      <c r="N117" s="141" t="n">
        <v>0.282746566075683</v>
      </c>
      <c r="O117" s="141" t="n">
        <v>0.153919837059288</v>
      </c>
      <c r="P117" s="141" t="n">
        <v>0.328506200982002</v>
      </c>
      <c r="Q117" s="141" t="n">
        <v>0</v>
      </c>
    </row>
    <row r="118" customFormat="false" ht="12.8" hidden="false" customHeight="false" outlineLevel="0" collapsed="false">
      <c r="A118" s="11" t="n">
        <v>116</v>
      </c>
      <c r="B118" s="141" t="s">
        <v>602</v>
      </c>
      <c r="C118" s="141" t="n">
        <v>1</v>
      </c>
      <c r="D118" s="141" t="s">
        <v>558</v>
      </c>
      <c r="E118" s="141" t="n">
        <v>-20</v>
      </c>
      <c r="F118" s="141" t="n">
        <v>-10</v>
      </c>
      <c r="G118" s="141" t="n">
        <v>42</v>
      </c>
      <c r="H118" s="141" t="n">
        <v>60</v>
      </c>
      <c r="I118" s="141" t="n">
        <v>0</v>
      </c>
      <c r="J118" s="141" t="n">
        <v>4</v>
      </c>
      <c r="K118" s="141" t="n">
        <v>0.206554507122774</v>
      </c>
      <c r="L118" s="141" t="n">
        <v>0.614398872280032</v>
      </c>
      <c r="M118" s="141" t="n">
        <v>0</v>
      </c>
      <c r="N118" s="141" t="n">
        <v>0.179722228965257</v>
      </c>
      <c r="O118" s="141" t="n">
        <v>0.165839358664837</v>
      </c>
      <c r="P118" s="141" t="n">
        <v>0.349746662856006</v>
      </c>
      <c r="Q118" s="141" t="n">
        <v>0</v>
      </c>
    </row>
    <row r="119" customFormat="false" ht="12.8" hidden="false" customHeight="false" outlineLevel="0" collapsed="false">
      <c r="A119" s="11" t="n">
        <v>117</v>
      </c>
      <c r="B119" s="141" t="s">
        <v>603</v>
      </c>
      <c r="C119" s="141" t="n">
        <v>0</v>
      </c>
      <c r="D119" s="141" t="s">
        <v>558</v>
      </c>
      <c r="E119" s="141" t="n">
        <v>-20</v>
      </c>
      <c r="F119" s="141" t="n">
        <v>-10</v>
      </c>
      <c r="G119" s="141" t="n">
        <v>42</v>
      </c>
      <c r="H119" s="141" t="n">
        <v>60</v>
      </c>
      <c r="I119" s="141" t="n">
        <v>0</v>
      </c>
      <c r="J119" s="141" t="n">
        <v>4</v>
      </c>
      <c r="K119" s="141"/>
      <c r="L119" s="141" t="n">
        <v>0.583174430541927</v>
      </c>
      <c r="M119" s="141" t="n">
        <v>0</v>
      </c>
      <c r="N119" s="141"/>
      <c r="O119" s="141" t="n">
        <v>0.136664792359786</v>
      </c>
      <c r="P119" s="141" t="n">
        <v>0.296722591102557</v>
      </c>
      <c r="Q119" s="141" t="n">
        <v>1</v>
      </c>
    </row>
    <row r="120" customFormat="false" ht="12.8" hidden="false" customHeight="false" outlineLevel="0" collapsed="false">
      <c r="A120" s="11" t="n">
        <v>118</v>
      </c>
      <c r="B120" s="141" t="s">
        <v>604</v>
      </c>
      <c r="C120" s="141" t="n">
        <v>0</v>
      </c>
      <c r="D120" s="141" t="s">
        <v>558</v>
      </c>
      <c r="E120" s="141" t="n">
        <v>-20</v>
      </c>
      <c r="F120" s="141" t="n">
        <v>-10</v>
      </c>
      <c r="G120" s="141" t="n">
        <v>42</v>
      </c>
      <c r="H120" s="141" t="n">
        <v>60</v>
      </c>
      <c r="I120" s="141" t="n">
        <v>0</v>
      </c>
      <c r="J120" s="141" t="n">
        <v>4</v>
      </c>
      <c r="K120" s="141"/>
      <c r="L120" s="141" t="n">
        <v>0.565166772369332</v>
      </c>
      <c r="M120" s="141" t="n">
        <v>0</v>
      </c>
      <c r="N120" s="141"/>
      <c r="O120" s="141" t="n">
        <v>0.120678113003853</v>
      </c>
      <c r="P120" s="141" t="n">
        <v>0.266142721426617</v>
      </c>
      <c r="Q120" s="141" t="n">
        <v>1</v>
      </c>
    </row>
    <row r="121" customFormat="false" ht="12.8" hidden="false" customHeight="false" outlineLevel="0" collapsed="false">
      <c r="A121" s="11" t="n">
        <v>119</v>
      </c>
      <c r="B121" s="141" t="s">
        <v>605</v>
      </c>
      <c r="C121" s="141" t="n">
        <v>1</v>
      </c>
      <c r="D121" s="141" t="s">
        <v>558</v>
      </c>
      <c r="E121" s="141" t="n">
        <v>-20</v>
      </c>
      <c r="F121" s="141" t="n">
        <v>-10</v>
      </c>
      <c r="G121" s="141" t="n">
        <v>42</v>
      </c>
      <c r="H121" s="141" t="n">
        <v>60</v>
      </c>
      <c r="I121" s="141" t="n">
        <v>0</v>
      </c>
      <c r="J121" s="141" t="n">
        <v>4</v>
      </c>
      <c r="K121" s="141" t="n">
        <v>0.222109686355388</v>
      </c>
      <c r="L121" s="141" t="n">
        <v>0.584728990351828</v>
      </c>
      <c r="M121" s="141" t="n">
        <v>0</v>
      </c>
      <c r="N121" s="141" t="n">
        <v>0.193855470449842</v>
      </c>
      <c r="O121" s="141" t="n">
        <v>0.138072620796566</v>
      </c>
      <c r="P121" s="141" t="n">
        <v>0.299362481083509</v>
      </c>
      <c r="Q121" s="141" t="n">
        <v>1</v>
      </c>
    </row>
    <row r="122" customFormat="false" ht="12.8" hidden="false" customHeight="false" outlineLevel="0" collapsed="false">
      <c r="A122" s="11" t="n">
        <v>120</v>
      </c>
      <c r="B122" s="141" t="s">
        <v>606</v>
      </c>
      <c r="C122" s="141" t="n">
        <v>1</v>
      </c>
      <c r="D122" s="141" t="s">
        <v>558</v>
      </c>
      <c r="E122" s="141" t="n">
        <v>-20</v>
      </c>
      <c r="F122" s="141" t="n">
        <v>-10</v>
      </c>
      <c r="G122" s="141" t="n">
        <v>42</v>
      </c>
      <c r="H122" s="141" t="n">
        <v>60</v>
      </c>
      <c r="I122" s="141" t="n">
        <v>0</v>
      </c>
      <c r="J122" s="141" t="n">
        <v>4</v>
      </c>
      <c r="K122" s="141" t="n">
        <v>0.315287152774874</v>
      </c>
      <c r="L122" s="141" t="n">
        <v>0.604061193053128</v>
      </c>
      <c r="M122" s="141" t="n">
        <v>0</v>
      </c>
      <c r="N122" s="141" t="n">
        <v>0.280271129402634</v>
      </c>
      <c r="O122" s="141" t="n">
        <v>0.155964911379205</v>
      </c>
      <c r="P122" s="141" t="n">
        <v>0.332191638183698</v>
      </c>
      <c r="Q122" s="141" t="n">
        <v>0</v>
      </c>
    </row>
    <row r="123" customFormat="false" ht="12.8" hidden="false" customHeight="false" outlineLevel="0" collapsed="false">
      <c r="A123" s="11" t="n">
        <v>121</v>
      </c>
      <c r="B123" s="141" t="s">
        <v>607</v>
      </c>
      <c r="C123" s="141" t="n">
        <v>1</v>
      </c>
      <c r="D123" s="141" t="s">
        <v>558</v>
      </c>
      <c r="E123" s="141" t="n">
        <v>-20</v>
      </c>
      <c r="F123" s="141" t="n">
        <v>-10</v>
      </c>
      <c r="G123" s="141" t="n">
        <v>42</v>
      </c>
      <c r="H123" s="141" t="n">
        <v>60</v>
      </c>
      <c r="I123" s="141" t="n">
        <v>0</v>
      </c>
      <c r="J123" s="141" t="n">
        <v>4</v>
      </c>
      <c r="K123" s="141" t="n">
        <v>0.314052924686215</v>
      </c>
      <c r="L123" s="141" t="n">
        <v>0.603809667326173</v>
      </c>
      <c r="M123" s="141" t="n">
        <v>0</v>
      </c>
      <c r="N123" s="141" t="n">
        <v>0.279106802271747</v>
      </c>
      <c r="O123" s="141" t="n">
        <v>0.155727406537782</v>
      </c>
      <c r="P123" s="141" t="n">
        <v>0.331764507466493</v>
      </c>
      <c r="Q123" s="141" t="n">
        <v>0</v>
      </c>
    </row>
    <row r="124" customFormat="false" ht="12.8" hidden="false" customHeight="false" outlineLevel="0" collapsed="false">
      <c r="A124" s="11" t="n">
        <v>122</v>
      </c>
      <c r="B124" s="141" t="s">
        <v>608</v>
      </c>
      <c r="C124" s="141" t="n">
        <v>0</v>
      </c>
      <c r="D124" s="141" t="s">
        <v>609</v>
      </c>
      <c r="E124" s="141" t="n">
        <v>-20</v>
      </c>
      <c r="F124" s="141" t="n">
        <v>-10</v>
      </c>
      <c r="G124" s="141" t="n">
        <v>42</v>
      </c>
      <c r="H124" s="141" t="n">
        <v>60</v>
      </c>
      <c r="I124" s="141" t="n">
        <v>0</v>
      </c>
      <c r="J124" s="141" t="n">
        <v>4</v>
      </c>
      <c r="K124" s="141"/>
      <c r="L124" s="141" t="n">
        <v>0.537615871313486</v>
      </c>
      <c r="M124" s="141" t="n">
        <v>0</v>
      </c>
      <c r="N124" s="141"/>
      <c r="O124" s="141" t="n">
        <v>0.097337905033641</v>
      </c>
      <c r="P124" s="141" t="n">
        <v>0.219356906432377</v>
      </c>
      <c r="Q124" s="141" t="n">
        <v>1</v>
      </c>
    </row>
    <row r="125" customFormat="false" ht="12.8" hidden="false" customHeight="false" outlineLevel="0" collapsed="false">
      <c r="A125" s="11" t="n">
        <v>123</v>
      </c>
      <c r="B125" s="141" t="s">
        <v>610</v>
      </c>
      <c r="C125" s="141" t="n">
        <v>0</v>
      </c>
      <c r="D125" s="141" t="s">
        <v>609</v>
      </c>
      <c r="E125" s="141" t="n">
        <v>-20</v>
      </c>
      <c r="F125" s="141" t="n">
        <v>-10</v>
      </c>
      <c r="G125" s="141" t="n">
        <v>42</v>
      </c>
      <c r="H125" s="141" t="n">
        <v>60</v>
      </c>
      <c r="I125" s="141" t="n">
        <v>0</v>
      </c>
      <c r="J125" s="141" t="n">
        <v>4</v>
      </c>
      <c r="K125" s="141"/>
      <c r="L125" s="141" t="n">
        <v>0.586385852487102</v>
      </c>
      <c r="M125" s="141" t="n">
        <v>0</v>
      </c>
      <c r="N125" s="141"/>
      <c r="O125" s="141" t="n">
        <v>0.139578048782112</v>
      </c>
      <c r="P125" s="141" t="n">
        <v>0.302176096695382</v>
      </c>
      <c r="Q125" s="141" t="n">
        <v>1</v>
      </c>
    </row>
    <row r="126" customFormat="false" ht="12.8" hidden="false" customHeight="false" outlineLevel="0" collapsed="false">
      <c r="A126" s="11" t="n">
        <v>124</v>
      </c>
      <c r="B126" s="141" t="s">
        <v>611</v>
      </c>
      <c r="C126" s="141" t="n">
        <v>1</v>
      </c>
      <c r="D126" s="141" t="s">
        <v>609</v>
      </c>
      <c r="E126" s="141" t="n">
        <v>-20</v>
      </c>
      <c r="F126" s="141" t="n">
        <v>-10</v>
      </c>
      <c r="G126" s="141" t="n">
        <v>42</v>
      </c>
      <c r="H126" s="141" t="n">
        <v>60</v>
      </c>
      <c r="I126" s="141" t="n">
        <v>0</v>
      </c>
      <c r="J126" s="141" t="n">
        <v>4</v>
      </c>
      <c r="K126" s="141" t="n">
        <v>0.308760572117949</v>
      </c>
      <c r="L126" s="141" t="n">
        <v>0.58618525769486</v>
      </c>
      <c r="M126" s="141" t="n">
        <v>0</v>
      </c>
      <c r="N126" s="141" t="n">
        <v>0.274120169970039</v>
      </c>
      <c r="O126" s="141" t="n">
        <v>0.139395515091254</v>
      </c>
      <c r="P126" s="141" t="n">
        <v>0.301835454811487</v>
      </c>
      <c r="Q126" s="141" t="n">
        <v>1</v>
      </c>
    </row>
    <row r="127" customFormat="false" ht="12.8" hidden="false" customHeight="false" outlineLevel="0" collapsed="false">
      <c r="A127" s="11" t="n">
        <v>125</v>
      </c>
      <c r="B127" s="141" t="s">
        <v>612</v>
      </c>
      <c r="C127" s="141" t="n">
        <v>1</v>
      </c>
      <c r="D127" s="141" t="s">
        <v>609</v>
      </c>
      <c r="E127" s="141" t="n">
        <v>-20</v>
      </c>
      <c r="F127" s="141" t="n">
        <v>-10</v>
      </c>
      <c r="G127" s="141" t="n">
        <v>42</v>
      </c>
      <c r="H127" s="141" t="n">
        <v>60</v>
      </c>
      <c r="I127" s="141" t="n">
        <v>0</v>
      </c>
      <c r="J127" s="141" t="n">
        <v>4</v>
      </c>
      <c r="K127" s="141" t="n">
        <v>0.288432398201277</v>
      </c>
      <c r="L127" s="141" t="n">
        <v>0.586180352354091</v>
      </c>
      <c r="M127" s="141" t="n">
        <v>0</v>
      </c>
      <c r="N127" s="141" t="n">
        <v>0.255056539755285</v>
      </c>
      <c r="O127" s="141" t="n">
        <v>0.139391052359603</v>
      </c>
      <c r="P127" s="141" t="n">
        <v>0.301827124762127</v>
      </c>
      <c r="Q127" s="141" t="n">
        <v>1</v>
      </c>
    </row>
    <row r="128" customFormat="false" ht="12.8" hidden="false" customHeight="false" outlineLevel="0" collapsed="false">
      <c r="A128" s="11" t="n">
        <v>126</v>
      </c>
      <c r="B128" s="141" t="s">
        <v>613</v>
      </c>
      <c r="C128" s="141" t="n">
        <v>1</v>
      </c>
      <c r="D128" s="141" t="s">
        <v>609</v>
      </c>
      <c r="E128" s="141" t="n">
        <v>-20</v>
      </c>
      <c r="F128" s="141" t="n">
        <v>-10</v>
      </c>
      <c r="G128" s="141" t="n">
        <v>42</v>
      </c>
      <c r="H128" s="141" t="n">
        <v>60</v>
      </c>
      <c r="I128" s="141" t="n">
        <v>0</v>
      </c>
      <c r="J128" s="141" t="n">
        <v>4</v>
      </c>
      <c r="K128" s="141" t="n">
        <v>0.247987868041352</v>
      </c>
      <c r="L128" s="141" t="n">
        <v>0.590561769551356</v>
      </c>
      <c r="M128" s="141" t="n">
        <v>0</v>
      </c>
      <c r="N128" s="141" t="n">
        <v>0.217553878708064</v>
      </c>
      <c r="O128" s="141" t="n">
        <v>0.143395171696554</v>
      </c>
      <c r="P128" s="141" t="n">
        <v>0.309267468509444</v>
      </c>
      <c r="Q128" s="141" t="n">
        <v>0</v>
      </c>
    </row>
    <row r="129" customFormat="false" ht="12.8" hidden="false" customHeight="false" outlineLevel="0" collapsed="false">
      <c r="A129" s="11" t="n">
        <v>127</v>
      </c>
      <c r="B129" s="141" t="s">
        <v>614</v>
      </c>
      <c r="C129" s="141" t="n">
        <v>0</v>
      </c>
      <c r="D129" s="141" t="s">
        <v>609</v>
      </c>
      <c r="E129" s="141" t="n">
        <v>-20</v>
      </c>
      <c r="F129" s="141" t="n">
        <v>-10</v>
      </c>
      <c r="G129" s="141" t="n">
        <v>42</v>
      </c>
      <c r="H129" s="141" t="n">
        <v>60</v>
      </c>
      <c r="I129" s="141" t="n">
        <v>0</v>
      </c>
      <c r="J129" s="141" t="n">
        <v>4</v>
      </c>
      <c r="K129" s="141"/>
      <c r="L129" s="141" t="n">
        <v>0.578953532155943</v>
      </c>
      <c r="M129" s="141" t="n">
        <v>0</v>
      </c>
      <c r="N129" s="141"/>
      <c r="O129" s="141" t="n">
        <v>0.132864804152203</v>
      </c>
      <c r="P129" s="141" t="n">
        <v>0.28955483384497</v>
      </c>
      <c r="Q129" s="141" t="n">
        <v>1</v>
      </c>
    </row>
    <row r="130" customFormat="false" ht="12.8" hidden="false" customHeight="false" outlineLevel="0" collapsed="false">
      <c r="A130" s="11" t="n">
        <v>128</v>
      </c>
      <c r="B130" s="141" t="s">
        <v>615</v>
      </c>
      <c r="C130" s="141" t="n">
        <v>0</v>
      </c>
      <c r="D130" s="141" t="s">
        <v>609</v>
      </c>
      <c r="E130" s="141" t="n">
        <v>-20</v>
      </c>
      <c r="F130" s="141" t="n">
        <v>-10</v>
      </c>
      <c r="G130" s="141" t="n">
        <v>42</v>
      </c>
      <c r="H130" s="141" t="n">
        <v>60</v>
      </c>
      <c r="I130" s="141" t="n">
        <v>0</v>
      </c>
      <c r="J130" s="141" t="n">
        <v>4</v>
      </c>
      <c r="K130" s="141"/>
      <c r="L130" s="141" t="n">
        <v>0.568290903945039</v>
      </c>
      <c r="M130" s="141" t="n">
        <v>0</v>
      </c>
      <c r="N130" s="141"/>
      <c r="O130" s="141" t="n">
        <v>0.123409772873966</v>
      </c>
      <c r="P130" s="141" t="n">
        <v>0.271447994078947</v>
      </c>
      <c r="Q130" s="141" t="n">
        <v>1</v>
      </c>
    </row>
    <row r="131" customFormat="false" ht="12.8" hidden="false" customHeight="false" outlineLevel="0" collapsed="false">
      <c r="A131" s="11" t="n">
        <v>129</v>
      </c>
      <c r="B131" s="141" t="s">
        <v>616</v>
      </c>
      <c r="C131" s="141" t="n">
        <v>1</v>
      </c>
      <c r="D131" s="141" t="s">
        <v>609</v>
      </c>
      <c r="E131" s="141" t="n">
        <v>-20</v>
      </c>
      <c r="F131" s="141" t="n">
        <v>-10</v>
      </c>
      <c r="G131" s="141" t="n">
        <v>42</v>
      </c>
      <c r="H131" s="141" t="n">
        <v>60</v>
      </c>
      <c r="I131" s="141" t="n">
        <v>0</v>
      </c>
      <c r="J131" s="141" t="n">
        <v>4</v>
      </c>
      <c r="K131" s="141" t="n">
        <v>0.299135861854514</v>
      </c>
      <c r="L131" s="141" t="n">
        <v>0.589264236448984</v>
      </c>
      <c r="M131" s="141" t="n">
        <v>0</v>
      </c>
      <c r="N131" s="141" t="n">
        <v>0.265076325869983</v>
      </c>
      <c r="O131" s="141" t="n">
        <v>0.142205594601646</v>
      </c>
      <c r="P131" s="141" t="n">
        <v>0.307064050786249</v>
      </c>
      <c r="Q131" s="141" t="n">
        <v>0</v>
      </c>
    </row>
    <row r="132" customFormat="false" ht="12.8" hidden="false" customHeight="false" outlineLevel="0" collapsed="false">
      <c r="A132" s="11" t="n">
        <v>130</v>
      </c>
      <c r="B132" s="141" t="s">
        <v>617</v>
      </c>
      <c r="C132" s="141" t="n">
        <v>1</v>
      </c>
      <c r="D132" s="141" t="s">
        <v>609</v>
      </c>
      <c r="E132" s="141" t="n">
        <v>-20</v>
      </c>
      <c r="F132" s="141" t="n">
        <v>-10</v>
      </c>
      <c r="G132" s="141" t="n">
        <v>42</v>
      </c>
      <c r="H132" s="141" t="n">
        <v>60</v>
      </c>
      <c r="I132" s="141" t="n">
        <v>0</v>
      </c>
      <c r="J132" s="141" t="n">
        <v>4</v>
      </c>
      <c r="K132" s="141" t="n">
        <v>0.28128501183611</v>
      </c>
      <c r="L132" s="141" t="n">
        <v>0.583626641234073</v>
      </c>
      <c r="M132" s="141" t="n">
        <v>0</v>
      </c>
      <c r="N132" s="141" t="n">
        <v>0.248387799366102</v>
      </c>
      <c r="O132" s="141" t="n">
        <v>0.13707385731285</v>
      </c>
      <c r="P132" s="141" t="n">
        <v>0.297490516831674</v>
      </c>
      <c r="Q132" s="141" t="n">
        <v>0</v>
      </c>
    </row>
    <row r="133" customFormat="false" ht="12.8" hidden="false" customHeight="false" outlineLevel="0" collapsed="false">
      <c r="A133" s="11" t="n">
        <v>131</v>
      </c>
      <c r="B133" s="141" t="s">
        <v>618</v>
      </c>
      <c r="C133" s="141" t="n">
        <v>1</v>
      </c>
      <c r="D133" s="141" t="s">
        <v>609</v>
      </c>
      <c r="E133" s="141" t="n">
        <v>-20</v>
      </c>
      <c r="F133" s="141" t="n">
        <v>-10</v>
      </c>
      <c r="G133" s="141" t="n">
        <v>42</v>
      </c>
      <c r="H133" s="141" t="n">
        <v>60</v>
      </c>
      <c r="I133" s="141" t="n">
        <v>0</v>
      </c>
      <c r="J133" s="141" t="n">
        <v>4</v>
      </c>
      <c r="K133" s="141" t="n">
        <v>0.201176875985857</v>
      </c>
      <c r="L133" s="141" t="n">
        <v>0.6102716508467</v>
      </c>
      <c r="M133" s="141" t="n">
        <v>0</v>
      </c>
      <c r="N133" s="141" t="n">
        <v>0.174855688705267</v>
      </c>
      <c r="O133" s="141" t="n">
        <v>0.161870293076227</v>
      </c>
      <c r="P133" s="141" t="n">
        <v>0.342737983973645</v>
      </c>
      <c r="Q133" s="141" t="n">
        <v>0</v>
      </c>
    </row>
    <row r="134" customFormat="false" ht="12.8" hidden="false" customHeight="false" outlineLevel="0" collapsed="false">
      <c r="A134" s="11" t="n">
        <v>132</v>
      </c>
      <c r="B134" s="141" t="s">
        <v>619</v>
      </c>
      <c r="C134" s="141" t="n">
        <v>0</v>
      </c>
      <c r="D134" s="141" t="s">
        <v>609</v>
      </c>
      <c r="E134" s="141" t="n">
        <v>-20</v>
      </c>
      <c r="F134" s="141" t="n">
        <v>-10</v>
      </c>
      <c r="G134" s="141" t="n">
        <v>42</v>
      </c>
      <c r="H134" s="141" t="n">
        <v>60</v>
      </c>
      <c r="I134" s="141" t="n">
        <v>0</v>
      </c>
      <c r="J134" s="141" t="n">
        <v>4</v>
      </c>
      <c r="K134" s="141"/>
      <c r="L134" s="141" t="n">
        <v>0.531440268530083</v>
      </c>
      <c r="M134" s="141" t="n">
        <v>0</v>
      </c>
      <c r="N134" s="141"/>
      <c r="O134" s="141" t="n">
        <v>0.0922923208663037</v>
      </c>
      <c r="P134" s="141" t="n">
        <v>0.20886974999722</v>
      </c>
      <c r="Q134" s="141" t="n">
        <v>1</v>
      </c>
    </row>
    <row r="135" customFormat="false" ht="12.8" hidden="false" customHeight="false" outlineLevel="0" collapsed="false">
      <c r="A135" s="11" t="n">
        <v>133</v>
      </c>
      <c r="B135" s="141" t="s">
        <v>620</v>
      </c>
      <c r="C135" s="141" t="n">
        <v>0</v>
      </c>
      <c r="D135" s="141" t="s">
        <v>609</v>
      </c>
      <c r="E135" s="141" t="n">
        <v>-20</v>
      </c>
      <c r="F135" s="141" t="n">
        <v>-10</v>
      </c>
      <c r="G135" s="141" t="n">
        <v>42</v>
      </c>
      <c r="H135" s="141" t="n">
        <v>60</v>
      </c>
      <c r="I135" s="141" t="n">
        <v>0</v>
      </c>
      <c r="J135" s="141" t="n">
        <v>4</v>
      </c>
      <c r="K135" s="141"/>
      <c r="L135" s="141" t="n">
        <v>0.563988139623106</v>
      </c>
      <c r="M135" s="141" t="n">
        <v>0</v>
      </c>
      <c r="N135" s="141"/>
      <c r="O135" s="141" t="n">
        <v>0.119652060072355</v>
      </c>
      <c r="P135" s="141" t="n">
        <v>0.264141215432337</v>
      </c>
      <c r="Q135" s="141" t="n">
        <v>1</v>
      </c>
    </row>
    <row r="136" customFormat="false" ht="12.8" hidden="false" customHeight="false" outlineLevel="0" collapsed="false">
      <c r="A136" s="11" t="n">
        <v>134</v>
      </c>
      <c r="B136" s="141" t="s">
        <v>621</v>
      </c>
      <c r="C136" s="141" t="n">
        <v>1</v>
      </c>
      <c r="D136" s="141" t="s">
        <v>609</v>
      </c>
      <c r="E136" s="141" t="n">
        <v>-20</v>
      </c>
      <c r="F136" s="141" t="n">
        <v>-10</v>
      </c>
      <c r="G136" s="141" t="n">
        <v>42</v>
      </c>
      <c r="H136" s="141" t="n">
        <v>60</v>
      </c>
      <c r="I136" s="141" t="n">
        <v>0</v>
      </c>
      <c r="J136" s="141" t="n">
        <v>4</v>
      </c>
      <c r="K136" s="141" t="n">
        <v>0.223018485622142</v>
      </c>
      <c r="L136" s="141" t="n">
        <v>0.572884510440549</v>
      </c>
      <c r="M136" s="141" t="n">
        <v>0</v>
      </c>
      <c r="N136" s="141" t="n">
        <v>0.194683787100782</v>
      </c>
      <c r="O136" s="141" t="n">
        <v>0.127457990858876</v>
      </c>
      <c r="P136" s="141" t="n">
        <v>0.279248669026735</v>
      </c>
      <c r="Q136" s="141" t="n">
        <v>0</v>
      </c>
    </row>
    <row r="137" customFormat="false" ht="12.8" hidden="false" customHeight="false" outlineLevel="0" collapsed="false">
      <c r="A137" s="11" t="n">
        <v>135</v>
      </c>
      <c r="B137" s="141" t="s">
        <v>622</v>
      </c>
      <c r="C137" s="141" t="n">
        <v>1</v>
      </c>
      <c r="D137" s="141" t="s">
        <v>609</v>
      </c>
      <c r="E137" s="141" t="n">
        <v>-20</v>
      </c>
      <c r="F137" s="141" t="n">
        <v>-10</v>
      </c>
      <c r="G137" s="141" t="n">
        <v>42</v>
      </c>
      <c r="H137" s="141" t="n">
        <v>60</v>
      </c>
      <c r="I137" s="141" t="n">
        <v>0</v>
      </c>
      <c r="J137" s="141" t="n">
        <v>4</v>
      </c>
      <c r="K137" s="141" t="n">
        <v>0.226536059600418</v>
      </c>
      <c r="L137" s="141" t="n">
        <v>0.589977955158984</v>
      </c>
      <c r="M137" s="141" t="n">
        <v>0</v>
      </c>
      <c r="N137" s="141" t="n">
        <v>0.197892545530294</v>
      </c>
      <c r="O137" s="141" t="n">
        <v>0.142859535796014</v>
      </c>
      <c r="P137" s="141" t="n">
        <v>0.308276058751298</v>
      </c>
      <c r="Q137" s="141" t="n">
        <v>0</v>
      </c>
    </row>
    <row r="138" customFormat="false" ht="12.8" hidden="false" customHeight="false" outlineLevel="0" collapsed="false">
      <c r="A138" s="11" t="n">
        <v>136</v>
      </c>
      <c r="B138" s="141" t="s">
        <v>623</v>
      </c>
      <c r="C138" s="141" t="n">
        <v>1</v>
      </c>
      <c r="D138" s="141" t="s">
        <v>609</v>
      </c>
      <c r="E138" s="141" t="n">
        <v>-20</v>
      </c>
      <c r="F138" s="141" t="n">
        <v>-10</v>
      </c>
      <c r="G138" s="141" t="n">
        <v>42</v>
      </c>
      <c r="H138" s="141" t="n">
        <v>60</v>
      </c>
      <c r="I138" s="141" t="n">
        <v>0</v>
      </c>
      <c r="J138" s="141" t="n">
        <v>4</v>
      </c>
      <c r="K138" s="141" t="n">
        <v>0.208013841673056</v>
      </c>
      <c r="L138" s="141" t="n">
        <v>0.588026926886487</v>
      </c>
      <c r="M138" s="141" t="n">
        <v>0</v>
      </c>
      <c r="N138" s="141" t="n">
        <v>0.181044597226001</v>
      </c>
      <c r="O138" s="141" t="n">
        <v>0.141074199209775</v>
      </c>
      <c r="P138" s="141" t="n">
        <v>0.304962902218939</v>
      </c>
      <c r="Q138" s="141" t="n">
        <v>0</v>
      </c>
    </row>
    <row r="139" customFormat="false" ht="12.8" hidden="false" customHeight="false" outlineLevel="0" collapsed="false">
      <c r="A139" s="11" t="n">
        <v>137</v>
      </c>
      <c r="B139" s="141" t="s">
        <v>624</v>
      </c>
      <c r="C139" s="141" t="n">
        <v>0</v>
      </c>
      <c r="D139" s="141" t="s">
        <v>609</v>
      </c>
      <c r="E139" s="141" t="n">
        <v>-20</v>
      </c>
      <c r="F139" s="141" t="n">
        <v>-10</v>
      </c>
      <c r="G139" s="141" t="n">
        <v>42</v>
      </c>
      <c r="H139" s="141" t="n">
        <v>60</v>
      </c>
      <c r="I139" s="141" t="n">
        <v>0</v>
      </c>
      <c r="J139" s="141" t="n">
        <v>4</v>
      </c>
      <c r="K139" s="141"/>
      <c r="L139" s="141" t="n">
        <v>0.539197840616837</v>
      </c>
      <c r="M139" s="141" t="n">
        <v>0</v>
      </c>
      <c r="N139" s="141"/>
      <c r="O139" s="141" t="n">
        <v>0.09864151946003</v>
      </c>
      <c r="P139" s="141" t="n">
        <v>0.222043342095702</v>
      </c>
      <c r="Q139" s="141" t="n">
        <v>1</v>
      </c>
    </row>
    <row r="140" customFormat="false" ht="12.8" hidden="false" customHeight="false" outlineLevel="0" collapsed="false">
      <c r="A140" s="11" t="n">
        <v>138</v>
      </c>
      <c r="B140" s="141" t="s">
        <v>625</v>
      </c>
      <c r="C140" s="141" t="n">
        <v>0</v>
      </c>
      <c r="D140" s="141" t="s">
        <v>609</v>
      </c>
      <c r="E140" s="141" t="n">
        <v>-20</v>
      </c>
      <c r="F140" s="141" t="n">
        <v>-10</v>
      </c>
      <c r="G140" s="141" t="n">
        <v>42</v>
      </c>
      <c r="H140" s="141" t="n">
        <v>60</v>
      </c>
      <c r="I140" s="141" t="n">
        <v>0</v>
      </c>
      <c r="J140" s="141" t="n">
        <v>4</v>
      </c>
      <c r="K140" s="141"/>
      <c r="L140" s="141" t="n">
        <v>0.539272578615575</v>
      </c>
      <c r="M140" s="141" t="n">
        <v>0</v>
      </c>
      <c r="N140" s="141"/>
      <c r="O140" s="141" t="n">
        <v>0.0987032184341047</v>
      </c>
      <c r="P140" s="141" t="n">
        <v>0.222170259112859</v>
      </c>
      <c r="Q140" s="141" t="n">
        <v>1</v>
      </c>
    </row>
    <row r="141" customFormat="false" ht="12.8" hidden="false" customHeight="false" outlineLevel="0" collapsed="false">
      <c r="A141" s="11" t="n">
        <v>139</v>
      </c>
      <c r="B141" s="141" t="s">
        <v>626</v>
      </c>
      <c r="C141" s="141" t="n">
        <v>1</v>
      </c>
      <c r="D141" s="141" t="s">
        <v>609</v>
      </c>
      <c r="E141" s="141" t="n">
        <v>-20</v>
      </c>
      <c r="F141" s="141" t="n">
        <v>-10</v>
      </c>
      <c r="G141" s="141" t="n">
        <v>42</v>
      </c>
      <c r="H141" s="141" t="n">
        <v>60</v>
      </c>
      <c r="I141" s="141" t="n">
        <v>0</v>
      </c>
      <c r="J141" s="141" t="n">
        <v>4</v>
      </c>
      <c r="K141" s="141" t="n">
        <v>0.274837375795903</v>
      </c>
      <c r="L141" s="141" t="n">
        <v>0.566369723400273</v>
      </c>
      <c r="M141" s="141" t="n">
        <v>0</v>
      </c>
      <c r="N141" s="141" t="n">
        <v>0.24238713918371</v>
      </c>
      <c r="O141" s="141" t="n">
        <v>0.121727883547688</v>
      </c>
      <c r="P141" s="141" t="n">
        <v>0.268185523738839</v>
      </c>
      <c r="Q141" s="141" t="n">
        <v>0</v>
      </c>
    </row>
    <row r="142" customFormat="false" ht="12.8" hidden="false" customHeight="false" outlineLevel="0" collapsed="false">
      <c r="A142" s="11" t="n">
        <v>140</v>
      </c>
      <c r="B142" s="141" t="s">
        <v>627</v>
      </c>
      <c r="C142" s="141" t="n">
        <v>1</v>
      </c>
      <c r="D142" s="141" t="s">
        <v>609</v>
      </c>
      <c r="E142" s="141" t="n">
        <v>-20</v>
      </c>
      <c r="F142" s="141" t="n">
        <v>-10</v>
      </c>
      <c r="G142" s="141" t="n">
        <v>42</v>
      </c>
      <c r="H142" s="141" t="n">
        <v>60</v>
      </c>
      <c r="I142" s="141" t="n">
        <v>0</v>
      </c>
      <c r="J142" s="141" t="n">
        <v>4</v>
      </c>
      <c r="K142" s="141" t="n">
        <v>0.225055093409577</v>
      </c>
      <c r="L142" s="141" t="n">
        <v>0.577261490033941</v>
      </c>
      <c r="M142" s="141" t="n">
        <v>0</v>
      </c>
      <c r="N142" s="141" t="n">
        <v>0.196541073917171</v>
      </c>
      <c r="O142" s="141" t="n">
        <v>0.131350661690616</v>
      </c>
      <c r="P142" s="141" t="n">
        <v>0.286681477016386</v>
      </c>
      <c r="Q142" s="141" t="n">
        <v>0</v>
      </c>
    </row>
    <row r="143" customFormat="false" ht="12.8" hidden="false" customHeight="false" outlineLevel="0" collapsed="false">
      <c r="A143" s="11" t="n">
        <v>141</v>
      </c>
      <c r="B143" s="141" t="s">
        <v>628</v>
      </c>
      <c r="C143" s="141" t="n">
        <v>1</v>
      </c>
      <c r="D143" s="141" t="s">
        <v>609</v>
      </c>
      <c r="E143" s="141" t="n">
        <v>-20</v>
      </c>
      <c r="F143" s="141" t="n">
        <v>-10</v>
      </c>
      <c r="G143" s="141" t="n">
        <v>42</v>
      </c>
      <c r="H143" s="141" t="n">
        <v>60</v>
      </c>
      <c r="I143" s="141" t="n">
        <v>0</v>
      </c>
      <c r="J143" s="141" t="n">
        <v>4</v>
      </c>
      <c r="K143" s="141" t="n">
        <v>0.25845343888794</v>
      </c>
      <c r="L143" s="141" t="n">
        <v>0.591657180688102</v>
      </c>
      <c r="M143" s="141" t="n">
        <v>0</v>
      </c>
      <c r="N143" s="141" t="n">
        <v>0.227203828670859</v>
      </c>
      <c r="O143" s="141" t="n">
        <v>0.144401936774353</v>
      </c>
      <c r="P143" s="141" t="n">
        <v>0.311127650965276</v>
      </c>
      <c r="Q143" s="141" t="n">
        <v>0</v>
      </c>
    </row>
    <row r="144" customFormat="false" ht="12.8" hidden="false" customHeight="false" outlineLevel="0" collapsed="false">
      <c r="A144" s="11" t="n">
        <v>142</v>
      </c>
      <c r="B144" s="141" t="s">
        <v>629</v>
      </c>
      <c r="C144" s="141" t="n">
        <v>0</v>
      </c>
      <c r="D144" s="141" t="s">
        <v>609</v>
      </c>
      <c r="E144" s="141" t="n">
        <v>-20</v>
      </c>
      <c r="F144" s="141" t="n">
        <v>-10</v>
      </c>
      <c r="G144" s="141" t="n">
        <v>42</v>
      </c>
      <c r="H144" s="141" t="n">
        <v>60</v>
      </c>
      <c r="I144" s="141" t="n">
        <v>0</v>
      </c>
      <c r="J144" s="141" t="n">
        <v>4</v>
      </c>
      <c r="K144" s="141"/>
      <c r="L144" s="141" t="n">
        <v>0.542874661932787</v>
      </c>
      <c r="M144" s="141" t="n">
        <v>0</v>
      </c>
      <c r="N144" s="141"/>
      <c r="O144" s="141" t="n">
        <v>0.101688753773788</v>
      </c>
      <c r="P144" s="141" t="n">
        <v>0.228287169893066</v>
      </c>
      <c r="Q144" s="141" t="n">
        <v>1</v>
      </c>
    </row>
    <row r="145" customFormat="false" ht="12.8" hidden="false" customHeight="false" outlineLevel="0" collapsed="false">
      <c r="A145" s="11" t="n">
        <v>143</v>
      </c>
      <c r="B145" s="141" t="s">
        <v>630</v>
      </c>
      <c r="C145" s="141" t="n">
        <v>0</v>
      </c>
      <c r="D145" s="141" t="s">
        <v>609</v>
      </c>
      <c r="E145" s="141" t="n">
        <v>-20</v>
      </c>
      <c r="F145" s="141" t="n">
        <v>-10</v>
      </c>
      <c r="G145" s="141" t="n">
        <v>42</v>
      </c>
      <c r="H145" s="141" t="n">
        <v>60</v>
      </c>
      <c r="I145" s="141" t="n">
        <v>0</v>
      </c>
      <c r="J145" s="141" t="n">
        <v>4</v>
      </c>
      <c r="K145" s="141"/>
      <c r="L145" s="141" t="n">
        <v>0.534913570251189</v>
      </c>
      <c r="M145" s="141" t="n">
        <v>0</v>
      </c>
      <c r="N145" s="141"/>
      <c r="O145" s="141" t="n">
        <v>0.0951215431065667</v>
      </c>
      <c r="P145" s="141" t="n">
        <v>0.21476796913036</v>
      </c>
      <c r="Q145" s="141" t="n">
        <v>1</v>
      </c>
    </row>
    <row r="146" customFormat="false" ht="12.8" hidden="false" customHeight="false" outlineLevel="0" collapsed="false">
      <c r="A146" s="11" t="n">
        <v>144</v>
      </c>
      <c r="B146" s="141" t="s">
        <v>631</v>
      </c>
      <c r="C146" s="141" t="n">
        <v>1</v>
      </c>
      <c r="D146" s="141" t="s">
        <v>609</v>
      </c>
      <c r="E146" s="141" t="n">
        <v>-20</v>
      </c>
      <c r="F146" s="141" t="n">
        <v>-10</v>
      </c>
      <c r="G146" s="141" t="n">
        <v>42</v>
      </c>
      <c r="H146" s="141" t="n">
        <v>60</v>
      </c>
      <c r="I146" s="141" t="n">
        <v>0</v>
      </c>
      <c r="J146" s="141" t="n">
        <v>4</v>
      </c>
      <c r="K146" s="141" t="n">
        <v>0.190256181881297</v>
      </c>
      <c r="L146" s="141" t="n">
        <v>0.613827499328148</v>
      </c>
      <c r="M146" s="141" t="n">
        <v>0</v>
      </c>
      <c r="N146" s="141" t="n">
        <v>0.16500374451871</v>
      </c>
      <c r="O146" s="141" t="n">
        <v>0.16528771748877</v>
      </c>
      <c r="P146" s="141" t="n">
        <v>0.348776380643988</v>
      </c>
      <c r="Q146" s="141" t="n">
        <v>0</v>
      </c>
    </row>
    <row r="147" customFormat="false" ht="12.8" hidden="false" customHeight="false" outlineLevel="0" collapsed="false">
      <c r="A147" s="11" t="n">
        <v>145</v>
      </c>
      <c r="B147" s="141" t="s">
        <v>632</v>
      </c>
      <c r="C147" s="141" t="n">
        <v>1</v>
      </c>
      <c r="D147" s="141" t="s">
        <v>609</v>
      </c>
      <c r="E147" s="141" t="n">
        <v>-20</v>
      </c>
      <c r="F147" s="141" t="n">
        <v>-10</v>
      </c>
      <c r="G147" s="141" t="n">
        <v>42</v>
      </c>
      <c r="H147" s="141" t="n">
        <v>60</v>
      </c>
      <c r="I147" s="141" t="n">
        <v>0</v>
      </c>
      <c r="J147" s="141" t="n">
        <v>4</v>
      </c>
      <c r="K147" s="141" t="n">
        <v>0.15995570152742</v>
      </c>
      <c r="L147" s="141" t="n">
        <v>0.641031853455927</v>
      </c>
      <c r="M147" s="141" t="n">
        <v>0</v>
      </c>
      <c r="N147" s="141" t="n">
        <v>0.137885065508307</v>
      </c>
      <c r="O147" s="141" t="n">
        <v>0.192376831948874</v>
      </c>
      <c r="P147" s="141" t="n">
        <v>0.39497370379796</v>
      </c>
      <c r="Q147" s="141" t="n">
        <v>0</v>
      </c>
    </row>
    <row r="148" customFormat="false" ht="12.8" hidden="false" customHeight="false" outlineLevel="0" collapsed="false">
      <c r="A148" s="11" t="n">
        <v>146</v>
      </c>
      <c r="B148" s="141" t="s">
        <v>633</v>
      </c>
      <c r="C148" s="141" t="n">
        <v>-1</v>
      </c>
      <c r="D148" s="141" t="s">
        <v>609</v>
      </c>
      <c r="E148" s="141" t="n">
        <v>-20</v>
      </c>
      <c r="F148" s="141" t="n">
        <v>-10</v>
      </c>
      <c r="G148" s="141" t="n">
        <v>42</v>
      </c>
      <c r="H148" s="141" t="n">
        <v>60</v>
      </c>
      <c r="I148" s="141" t="n">
        <v>0</v>
      </c>
      <c r="J148" s="141" t="n">
        <v>4</v>
      </c>
      <c r="K148" s="141" t="n">
        <v>0</v>
      </c>
      <c r="L148" s="141" t="n">
        <v>0</v>
      </c>
      <c r="M148" s="141" t="n">
        <v>0</v>
      </c>
      <c r="N148" s="141"/>
      <c r="O148" s="141"/>
      <c r="P148" s="141"/>
      <c r="Q148" s="141" t="n">
        <v>0</v>
      </c>
    </row>
    <row r="149" customFormat="false" ht="12.8" hidden="false" customHeight="false" outlineLevel="0" collapsed="false">
      <c r="A149" s="11" t="n">
        <v>147</v>
      </c>
      <c r="B149" s="141" t="s">
        <v>634</v>
      </c>
      <c r="C149" s="141" t="n">
        <v>0</v>
      </c>
      <c r="D149" s="141" t="s">
        <v>609</v>
      </c>
      <c r="E149" s="141" t="n">
        <v>-20</v>
      </c>
      <c r="F149" s="141" t="n">
        <v>-10</v>
      </c>
      <c r="G149" s="141" t="n">
        <v>42</v>
      </c>
      <c r="H149" s="141" t="n">
        <v>60</v>
      </c>
      <c r="I149" s="141" t="n">
        <v>0</v>
      </c>
      <c r="J149" s="141" t="n">
        <v>4</v>
      </c>
      <c r="K149" s="141"/>
      <c r="L149" s="141" t="n">
        <v>0.658038792476474</v>
      </c>
      <c r="M149" s="141" t="n">
        <v>0</v>
      </c>
      <c r="N149" s="141"/>
      <c r="O149" s="141" t="n">
        <v>0.210259240428153</v>
      </c>
      <c r="P149" s="141" t="n">
        <v>0.423854193079264</v>
      </c>
      <c r="Q149" s="141" t="n">
        <v>0</v>
      </c>
    </row>
    <row r="150" customFormat="false" ht="12.8" hidden="false" customHeight="false" outlineLevel="0" collapsed="false">
      <c r="A150" s="11" t="n">
        <v>148</v>
      </c>
      <c r="B150" s="141" t="s">
        <v>635</v>
      </c>
      <c r="C150" s="141" t="n">
        <v>0</v>
      </c>
      <c r="D150" s="141" t="s">
        <v>609</v>
      </c>
      <c r="E150" s="141" t="n">
        <v>-20</v>
      </c>
      <c r="F150" s="141" t="n">
        <v>-10</v>
      </c>
      <c r="G150" s="141" t="n">
        <v>42</v>
      </c>
      <c r="H150" s="141" t="n">
        <v>60</v>
      </c>
      <c r="I150" s="141" t="n">
        <v>0</v>
      </c>
      <c r="J150" s="141" t="n">
        <v>4</v>
      </c>
      <c r="K150" s="141"/>
      <c r="L150" s="141" t="n">
        <v>0.651750558320902</v>
      </c>
      <c r="M150" s="141" t="n">
        <v>0</v>
      </c>
      <c r="N150" s="141"/>
      <c r="O150" s="141" t="n">
        <v>0.203554309809507</v>
      </c>
      <c r="P150" s="141" t="n">
        <v>0.413175770647753</v>
      </c>
      <c r="Q150" s="141" t="n">
        <v>0</v>
      </c>
    </row>
    <row r="151" customFormat="false" ht="12.8" hidden="false" customHeight="false" outlineLevel="0" collapsed="false">
      <c r="A151" s="11" t="n">
        <v>149</v>
      </c>
      <c r="B151" s="141" t="s">
        <v>636</v>
      </c>
      <c r="C151" s="141" t="n">
        <v>1</v>
      </c>
      <c r="D151" s="141" t="s">
        <v>609</v>
      </c>
      <c r="E151" s="141" t="n">
        <v>-20</v>
      </c>
      <c r="F151" s="141" t="n">
        <v>-10</v>
      </c>
      <c r="G151" s="141" t="n">
        <v>42</v>
      </c>
      <c r="H151" s="141" t="n">
        <v>60</v>
      </c>
      <c r="I151" s="141" t="n">
        <v>0</v>
      </c>
      <c r="J151" s="141" t="n">
        <v>4</v>
      </c>
      <c r="K151" s="141" t="n">
        <v>0.200542134306725</v>
      </c>
      <c r="L151" s="141" t="n">
        <v>0.498526844863171</v>
      </c>
      <c r="M151" s="141" t="n">
        <v>0</v>
      </c>
      <c r="N151" s="141" t="n">
        <v>0.174281934336777</v>
      </c>
      <c r="O151" s="141" t="n">
        <v>0.0666227987616134</v>
      </c>
      <c r="P151" s="141" t="n">
        <v>0.152977518110293</v>
      </c>
      <c r="Q151" s="141" t="n">
        <v>0</v>
      </c>
    </row>
    <row r="152" customFormat="false" ht="12.8" hidden="false" customHeight="false" outlineLevel="0" collapsed="false">
      <c r="A152" s="11" t="n">
        <v>150</v>
      </c>
      <c r="B152" s="141" t="s">
        <v>637</v>
      </c>
      <c r="C152" s="141" t="n">
        <v>1</v>
      </c>
      <c r="D152" s="141" t="s">
        <v>609</v>
      </c>
      <c r="E152" s="141" t="n">
        <v>-20</v>
      </c>
      <c r="F152" s="141" t="n">
        <v>-10</v>
      </c>
      <c r="G152" s="141" t="n">
        <v>42</v>
      </c>
      <c r="H152" s="141" t="n">
        <v>60</v>
      </c>
      <c r="I152" s="141" t="n">
        <v>0</v>
      </c>
      <c r="J152" s="141" t="n">
        <v>4</v>
      </c>
      <c r="K152" s="141" t="n">
        <v>0.211265905386801</v>
      </c>
      <c r="L152" s="141" t="n">
        <v>0.516391981155169</v>
      </c>
      <c r="M152" s="141" t="n">
        <v>0</v>
      </c>
      <c r="N152" s="141" t="n">
        <v>0.183994092769792</v>
      </c>
      <c r="O152" s="141" t="n">
        <v>0.0802934720416</v>
      </c>
      <c r="P152" s="141" t="n">
        <v>0.183315362949198</v>
      </c>
      <c r="Q152" s="141" t="n">
        <v>0</v>
      </c>
    </row>
    <row r="153" customFormat="false" ht="12.8" hidden="false" customHeight="false" outlineLevel="0" collapsed="false">
      <c r="A153" s="11" t="n">
        <v>151</v>
      </c>
      <c r="B153" s="141" t="s">
        <v>638</v>
      </c>
      <c r="C153" s="141" t="n">
        <v>1</v>
      </c>
      <c r="D153" s="141" t="s">
        <v>609</v>
      </c>
      <c r="E153" s="141" t="n">
        <v>-20</v>
      </c>
      <c r="F153" s="141" t="n">
        <v>-10</v>
      </c>
      <c r="G153" s="141" t="n">
        <v>42</v>
      </c>
      <c r="H153" s="141" t="n">
        <v>60</v>
      </c>
      <c r="I153" s="141" t="n">
        <v>0</v>
      </c>
      <c r="J153" s="141" t="n">
        <v>4</v>
      </c>
      <c r="K153" s="141" t="n">
        <v>0.205606285191395</v>
      </c>
      <c r="L153" s="141" t="n">
        <v>0.510513537449778</v>
      </c>
      <c r="M153" s="141" t="n">
        <v>0</v>
      </c>
      <c r="N153" s="141" t="n">
        <v>0.178863398318799</v>
      </c>
      <c r="O153" s="141" t="n">
        <v>0.0757241287256063</v>
      </c>
      <c r="P153" s="141" t="n">
        <v>0.173332829924343</v>
      </c>
      <c r="Q153" s="141" t="n">
        <v>0</v>
      </c>
    </row>
    <row r="154" customFormat="false" ht="12.8" hidden="false" customHeight="false" outlineLevel="0" collapsed="false">
      <c r="A154" s="11" t="n">
        <v>152</v>
      </c>
      <c r="B154" s="141" t="s">
        <v>639</v>
      </c>
      <c r="C154" s="141" t="n">
        <v>0</v>
      </c>
      <c r="D154" s="141" t="s">
        <v>609</v>
      </c>
      <c r="E154" s="141" t="n">
        <v>-20</v>
      </c>
      <c r="F154" s="141" t="n">
        <v>-10</v>
      </c>
      <c r="G154" s="141" t="n">
        <v>42</v>
      </c>
      <c r="H154" s="141" t="n">
        <v>60</v>
      </c>
      <c r="I154" s="141" t="n">
        <v>0</v>
      </c>
      <c r="J154" s="141" t="n">
        <v>4</v>
      </c>
      <c r="K154" s="141"/>
      <c r="L154" s="141" t="n">
        <v>0.542376942421121</v>
      </c>
      <c r="M154" s="141" t="n">
        <v>0</v>
      </c>
      <c r="N154" s="141"/>
      <c r="O154" s="141" t="n">
        <v>0.101274842476271</v>
      </c>
      <c r="P154" s="141" t="n">
        <v>0.227441962945219</v>
      </c>
      <c r="Q154" s="141" t="n">
        <v>1</v>
      </c>
    </row>
    <row r="155" customFormat="false" ht="12.8" hidden="false" customHeight="false" outlineLevel="0" collapsed="false">
      <c r="A155" s="11" t="n">
        <v>153</v>
      </c>
      <c r="B155" s="141" t="s">
        <v>640</v>
      </c>
      <c r="C155" s="141" t="n">
        <v>0</v>
      </c>
      <c r="D155" s="141" t="s">
        <v>609</v>
      </c>
      <c r="E155" s="141" t="n">
        <v>-20</v>
      </c>
      <c r="F155" s="141" t="n">
        <v>-10</v>
      </c>
      <c r="G155" s="141" t="n">
        <v>42</v>
      </c>
      <c r="H155" s="141" t="n">
        <v>60</v>
      </c>
      <c r="I155" s="141" t="n">
        <v>0</v>
      </c>
      <c r="J155" s="141" t="n">
        <v>4</v>
      </c>
      <c r="K155" s="141"/>
      <c r="L155" s="141" t="n">
        <v>0.553409233309501</v>
      </c>
      <c r="M155" s="141" t="n">
        <v>0</v>
      </c>
      <c r="N155" s="141"/>
      <c r="O155" s="141" t="n">
        <v>0.110552856812881</v>
      </c>
      <c r="P155" s="141" t="n">
        <v>0.246176548773106</v>
      </c>
      <c r="Q155" s="141" t="n">
        <v>0</v>
      </c>
    </row>
    <row r="156" customFormat="false" ht="12.8" hidden="false" customHeight="false" outlineLevel="0" collapsed="false">
      <c r="A156" s="11" t="n">
        <v>154</v>
      </c>
      <c r="B156" s="141" t="s">
        <v>641</v>
      </c>
      <c r="C156" s="141" t="n">
        <v>1</v>
      </c>
      <c r="D156" s="141" t="s">
        <v>609</v>
      </c>
      <c r="E156" s="141" t="n">
        <v>-20</v>
      </c>
      <c r="F156" s="141" t="n">
        <v>-10</v>
      </c>
      <c r="G156" s="141" t="n">
        <v>42</v>
      </c>
      <c r="H156" s="141" t="n">
        <v>60</v>
      </c>
      <c r="I156" s="141" t="n">
        <v>0</v>
      </c>
      <c r="J156" s="141" t="n">
        <v>4</v>
      </c>
      <c r="K156" s="141" t="n">
        <v>0.183382928863263</v>
      </c>
      <c r="L156" s="141" t="n">
        <v>0.561116964925721</v>
      </c>
      <c r="M156" s="141" t="n">
        <v>0</v>
      </c>
      <c r="N156" s="141" t="n">
        <v>0.158824334997735</v>
      </c>
      <c r="O156" s="141" t="n">
        <v>0.117162893251484</v>
      </c>
      <c r="P156" s="141" t="n">
        <v>0.259265503820011</v>
      </c>
      <c r="Q156" s="141" t="n">
        <v>0</v>
      </c>
    </row>
    <row r="157" customFormat="false" ht="12.8" hidden="false" customHeight="false" outlineLevel="0" collapsed="false">
      <c r="A157" s="11" t="n">
        <v>155</v>
      </c>
      <c r="B157" s="141" t="s">
        <v>642</v>
      </c>
      <c r="C157" s="141" t="n">
        <v>1</v>
      </c>
      <c r="D157" s="141" t="s">
        <v>609</v>
      </c>
      <c r="E157" s="141" t="n">
        <v>-20</v>
      </c>
      <c r="F157" s="141" t="n">
        <v>-10</v>
      </c>
      <c r="G157" s="141" t="n">
        <v>42</v>
      </c>
      <c r="H157" s="141" t="n">
        <v>60</v>
      </c>
      <c r="I157" s="141" t="n">
        <v>0</v>
      </c>
      <c r="J157" s="141" t="n">
        <v>4</v>
      </c>
      <c r="K157" s="141" t="n">
        <v>0.191570665420974</v>
      </c>
      <c r="L157" s="141" t="n">
        <v>0.576662886105043</v>
      </c>
      <c r="M157" s="141" t="n">
        <v>0</v>
      </c>
      <c r="N157" s="141" t="n">
        <v>0.166187398290695</v>
      </c>
      <c r="O157" s="141" t="n">
        <v>0.130816243256066</v>
      </c>
      <c r="P157" s="141" t="n">
        <v>0.285664952271316</v>
      </c>
      <c r="Q157" s="141" t="n">
        <v>0</v>
      </c>
    </row>
    <row r="158" customFormat="false" ht="12.8" hidden="false" customHeight="false" outlineLevel="0" collapsed="false">
      <c r="A158" s="11" t="n">
        <v>156</v>
      </c>
      <c r="B158" s="141" t="s">
        <v>643</v>
      </c>
      <c r="C158" s="141" t="n">
        <v>1</v>
      </c>
      <c r="D158" s="141" t="s">
        <v>609</v>
      </c>
      <c r="E158" s="141" t="n">
        <v>-20</v>
      </c>
      <c r="F158" s="141" t="n">
        <v>-10</v>
      </c>
      <c r="G158" s="141" t="n">
        <v>42</v>
      </c>
      <c r="H158" s="141" t="n">
        <v>60</v>
      </c>
      <c r="I158" s="141" t="n">
        <v>0</v>
      </c>
      <c r="J158" s="141" t="n">
        <v>4</v>
      </c>
      <c r="K158" s="141" t="n">
        <v>0.247527384503703</v>
      </c>
      <c r="L158" s="141" t="n">
        <v>0.587525513280913</v>
      </c>
      <c r="M158" s="141" t="n">
        <v>0</v>
      </c>
      <c r="N158" s="141" t="n">
        <v>0.217130154284972</v>
      </c>
      <c r="O158" s="141" t="n">
        <v>0.140616528806636</v>
      </c>
      <c r="P158" s="141" t="n">
        <v>0.304111422111684</v>
      </c>
      <c r="Q158" s="141" t="n">
        <v>0</v>
      </c>
    </row>
    <row r="159" customFormat="false" ht="12.8" hidden="false" customHeight="false" outlineLevel="0" collapsed="false">
      <c r="A159" s="11" t="n">
        <v>157</v>
      </c>
      <c r="B159" s="141" t="s">
        <v>644</v>
      </c>
      <c r="C159" s="141" t="n">
        <v>1</v>
      </c>
      <c r="D159" s="141" t="s">
        <v>645</v>
      </c>
      <c r="E159" s="141" t="n">
        <v>-20</v>
      </c>
      <c r="F159" s="141" t="n">
        <v>-10</v>
      </c>
      <c r="G159" s="141" t="n">
        <v>42</v>
      </c>
      <c r="H159" s="141" t="n">
        <v>60</v>
      </c>
      <c r="I159" s="141" t="n">
        <v>0</v>
      </c>
      <c r="J159" s="141" t="n">
        <v>4</v>
      </c>
      <c r="K159" s="141" t="n">
        <v>0.100698807219559</v>
      </c>
      <c r="L159" s="141" t="n">
        <v>0.484517344076725</v>
      </c>
      <c r="M159" s="141" t="n">
        <v>0</v>
      </c>
      <c r="N159" s="141" t="n">
        <v>0.085770320149362</v>
      </c>
      <c r="O159" s="141" t="n">
        <v>0.0563757135952919</v>
      </c>
      <c r="P159" s="141" t="n">
        <v>0.129187156022763</v>
      </c>
      <c r="Q159" s="141" t="n">
        <v>1</v>
      </c>
    </row>
    <row r="160" customFormat="false" ht="12.8" hidden="false" customHeight="false" outlineLevel="0" collapsed="false">
      <c r="A160" s="11" t="n">
        <v>158</v>
      </c>
      <c r="B160" s="141" t="s">
        <v>646</v>
      </c>
      <c r="C160" s="141" t="n">
        <v>1</v>
      </c>
      <c r="D160" s="141" t="s">
        <v>645</v>
      </c>
      <c r="E160" s="141" t="n">
        <v>-20</v>
      </c>
      <c r="F160" s="141" t="n">
        <v>-10</v>
      </c>
      <c r="G160" s="141" t="n">
        <v>42</v>
      </c>
      <c r="H160" s="141" t="n">
        <v>60</v>
      </c>
      <c r="I160" s="141" t="n">
        <v>0</v>
      </c>
      <c r="J160" s="141" t="n">
        <v>4</v>
      </c>
      <c r="K160" s="141" t="n">
        <v>0.0721426321115797</v>
      </c>
      <c r="L160" s="141" t="n">
        <v>0.467030305123222</v>
      </c>
      <c r="M160" s="141" t="n">
        <v>0</v>
      </c>
      <c r="N160" s="141" t="n">
        <v>0.0610905481091631</v>
      </c>
      <c r="O160" s="141" t="n">
        <v>0.0442330031300547</v>
      </c>
      <c r="P160" s="141" t="n">
        <v>0.0994913806425943</v>
      </c>
      <c r="Q160" s="141" t="n">
        <v>1</v>
      </c>
    </row>
    <row r="161" customFormat="false" ht="12.8" hidden="false" customHeight="false" outlineLevel="0" collapsed="false">
      <c r="A161" s="11" t="n">
        <v>159</v>
      </c>
      <c r="B161" s="141" t="s">
        <v>647</v>
      </c>
      <c r="C161" s="141" t="n">
        <v>1</v>
      </c>
      <c r="D161" s="141" t="s">
        <v>645</v>
      </c>
      <c r="E161" s="141" t="n">
        <v>-20</v>
      </c>
      <c r="F161" s="141" t="n">
        <v>-10</v>
      </c>
      <c r="G161" s="141" t="n">
        <v>42</v>
      </c>
      <c r="H161" s="141" t="n">
        <v>60</v>
      </c>
      <c r="I161" s="141" t="n">
        <v>0</v>
      </c>
      <c r="J161" s="141" t="n">
        <v>4</v>
      </c>
      <c r="K161" s="141" t="n">
        <v>0.106383445325052</v>
      </c>
      <c r="L161" s="141" t="n">
        <v>0.476841155210816</v>
      </c>
      <c r="M161" s="141" t="n">
        <v>0</v>
      </c>
      <c r="N161" s="141" t="n">
        <v>0.0907170203429094</v>
      </c>
      <c r="O161" s="141" t="n">
        <v>0.0509524348610626</v>
      </c>
      <c r="P161" s="141" t="n">
        <v>0.116151765586229</v>
      </c>
      <c r="Q161" s="141" t="n">
        <v>1</v>
      </c>
    </row>
    <row r="162" customFormat="false" ht="12.8" hidden="false" customHeight="false" outlineLevel="0" collapsed="false">
      <c r="A162" s="11" t="n">
        <v>160</v>
      </c>
      <c r="B162" s="141" t="s">
        <v>648</v>
      </c>
      <c r="C162" s="141" t="n">
        <v>1</v>
      </c>
      <c r="D162" s="141" t="s">
        <v>645</v>
      </c>
      <c r="E162" s="141" t="n">
        <v>-20</v>
      </c>
      <c r="F162" s="141" t="n">
        <v>-10</v>
      </c>
      <c r="G162" s="141" t="n">
        <v>42</v>
      </c>
      <c r="H162" s="141" t="n">
        <v>60</v>
      </c>
      <c r="I162" s="141" t="n">
        <v>0</v>
      </c>
      <c r="J162" s="141" t="n">
        <v>4</v>
      </c>
      <c r="K162" s="141" t="n">
        <v>0.0983101180365914</v>
      </c>
      <c r="L162" s="141" t="n">
        <v>0.476672664366332</v>
      </c>
      <c r="M162" s="141" t="n">
        <v>0</v>
      </c>
      <c r="N162" s="141" t="n">
        <v>0.0836950550620685</v>
      </c>
      <c r="O162" s="141" t="n">
        <v>0.0508349908675563</v>
      </c>
      <c r="P162" s="141" t="n">
        <v>0.115865641315291</v>
      </c>
      <c r="Q162" s="141" t="n">
        <v>1</v>
      </c>
    </row>
    <row r="163" customFormat="false" ht="12.8" hidden="false" customHeight="false" outlineLevel="0" collapsed="false">
      <c r="A163" s="11" t="n">
        <v>161</v>
      </c>
      <c r="B163" s="141" t="s">
        <v>649</v>
      </c>
      <c r="C163" s="141" t="n">
        <v>1</v>
      </c>
      <c r="D163" s="141" t="s">
        <v>645</v>
      </c>
      <c r="E163" s="141" t="n">
        <v>-20</v>
      </c>
      <c r="F163" s="141" t="n">
        <v>-10</v>
      </c>
      <c r="G163" s="141" t="n">
        <v>42</v>
      </c>
      <c r="H163" s="141" t="n">
        <v>60</v>
      </c>
      <c r="I163" s="141" t="n">
        <v>0</v>
      </c>
      <c r="J163" s="141" t="n">
        <v>4</v>
      </c>
      <c r="K163" s="141" t="n">
        <v>0.0944253293881239</v>
      </c>
      <c r="L163" s="141" t="n">
        <v>0.471373252777827</v>
      </c>
      <c r="M163" s="141" t="n">
        <v>0</v>
      </c>
      <c r="N163" s="141" t="n">
        <v>0.0803242198609604</v>
      </c>
      <c r="O163" s="141" t="n">
        <v>0.0471772048784584</v>
      </c>
      <c r="P163" s="141" t="n">
        <v>0.106866396983662</v>
      </c>
      <c r="Q163" s="141" t="n">
        <v>1</v>
      </c>
    </row>
    <row r="164" customFormat="false" ht="12.8" hidden="false" customHeight="false" outlineLevel="0" collapsed="false">
      <c r="A164" s="11" t="n">
        <v>162</v>
      </c>
      <c r="B164" s="141" t="s">
        <v>650</v>
      </c>
      <c r="C164" s="141" t="n">
        <v>0</v>
      </c>
      <c r="D164" s="141" t="s">
        <v>651</v>
      </c>
      <c r="E164" s="141" t="n">
        <v>-20</v>
      </c>
      <c r="F164" s="141" t="n">
        <v>-10</v>
      </c>
      <c r="G164" s="141" t="n">
        <v>42</v>
      </c>
      <c r="H164" s="141" t="n">
        <v>60</v>
      </c>
      <c r="I164" s="141" t="n">
        <v>0</v>
      </c>
      <c r="J164" s="141" t="n">
        <v>4</v>
      </c>
      <c r="K164" s="141"/>
      <c r="L164" s="141" t="n">
        <v>0.434483563158193</v>
      </c>
      <c r="M164" s="141" t="n">
        <v>0</v>
      </c>
      <c r="N164" s="141"/>
      <c r="O164" s="141" t="n">
        <v>0.0238744680320521</v>
      </c>
      <c r="P164" s="141" t="n">
        <v>0.0442218326465239</v>
      </c>
      <c r="Q164" s="141" t="n">
        <v>1</v>
      </c>
    </row>
    <row r="165" customFormat="false" ht="12.8" hidden="false" customHeight="false" outlineLevel="0" collapsed="false">
      <c r="A165" s="11" t="n">
        <v>163</v>
      </c>
      <c r="B165" s="141" t="s">
        <v>652</v>
      </c>
      <c r="C165" s="141" t="n">
        <v>0</v>
      </c>
      <c r="D165" s="141" t="s">
        <v>651</v>
      </c>
      <c r="E165" s="141" t="n">
        <v>-20</v>
      </c>
      <c r="F165" s="141" t="n">
        <v>-10</v>
      </c>
      <c r="G165" s="141" t="n">
        <v>42</v>
      </c>
      <c r="H165" s="141" t="n">
        <v>60</v>
      </c>
      <c r="I165" s="141" t="n">
        <v>0</v>
      </c>
      <c r="J165" s="141" t="n">
        <v>4</v>
      </c>
      <c r="K165" s="141"/>
      <c r="L165" s="141" t="n">
        <v>0.441082403082686</v>
      </c>
      <c r="M165" s="141" t="n">
        <v>0</v>
      </c>
      <c r="N165" s="141"/>
      <c r="O165" s="141" t="n">
        <v>0.0277393185970968</v>
      </c>
      <c r="P165" s="141" t="n">
        <v>0.0554277131096757</v>
      </c>
      <c r="Q165" s="141" t="n">
        <v>1</v>
      </c>
    </row>
    <row r="166" customFormat="false" ht="12.8" hidden="false" customHeight="false" outlineLevel="0" collapsed="false">
      <c r="A166" s="11" t="n">
        <v>164</v>
      </c>
      <c r="B166" s="141" t="s">
        <v>653</v>
      </c>
      <c r="C166" s="141" t="n">
        <v>1</v>
      </c>
      <c r="D166" s="141" t="s">
        <v>651</v>
      </c>
      <c r="E166" s="141" t="n">
        <v>-20</v>
      </c>
      <c r="F166" s="141" t="n">
        <v>-10</v>
      </c>
      <c r="G166" s="141" t="n">
        <v>42</v>
      </c>
      <c r="H166" s="141" t="n">
        <v>60</v>
      </c>
      <c r="I166" s="141" t="n">
        <v>0</v>
      </c>
      <c r="J166" s="141" t="n">
        <v>4</v>
      </c>
      <c r="K166" s="141" t="n">
        <v>0.182098669930532</v>
      </c>
      <c r="L166" s="141" t="n">
        <v>0.478366573313593</v>
      </c>
      <c r="M166" s="141" t="n">
        <v>0</v>
      </c>
      <c r="N166" s="141" t="n">
        <v>0.157671535427871</v>
      </c>
      <c r="O166" s="141" t="n">
        <v>0.0520188692860609</v>
      </c>
      <c r="P166" s="141" t="n">
        <v>0.118742168310289</v>
      </c>
      <c r="Q166" s="141" t="n">
        <v>0</v>
      </c>
    </row>
    <row r="167" customFormat="false" ht="12.8" hidden="false" customHeight="false" outlineLevel="0" collapsed="false">
      <c r="A167" s="11" t="n">
        <v>165</v>
      </c>
      <c r="B167" s="141" t="s">
        <v>654</v>
      </c>
      <c r="C167" s="141" t="n">
        <v>1</v>
      </c>
      <c r="D167" s="141" t="s">
        <v>651</v>
      </c>
      <c r="E167" s="141" t="n">
        <v>-20</v>
      </c>
      <c r="F167" s="141" t="n">
        <v>-10</v>
      </c>
      <c r="G167" s="141" t="n">
        <v>42</v>
      </c>
      <c r="H167" s="141" t="n">
        <v>60</v>
      </c>
      <c r="I167" s="141" t="n">
        <v>0</v>
      </c>
      <c r="J167" s="141" t="n">
        <v>4</v>
      </c>
      <c r="K167" s="141" t="n">
        <v>0.100657485791604</v>
      </c>
      <c r="L167" s="141" t="n">
        <v>0.491522536632637</v>
      </c>
      <c r="M167" s="141" t="n">
        <v>0</v>
      </c>
      <c r="N167" s="141" t="n">
        <v>0.0857344037689078</v>
      </c>
      <c r="O167" s="141" t="n">
        <v>0.0614449733266405</v>
      </c>
      <c r="P167" s="141" t="n">
        <v>0.141083087929148</v>
      </c>
      <c r="Q167" s="141" t="n">
        <v>0</v>
      </c>
    </row>
    <row r="168" customFormat="false" ht="12.8" hidden="false" customHeight="false" outlineLevel="0" collapsed="false">
      <c r="A168" s="11" t="n">
        <v>166</v>
      </c>
      <c r="B168" s="141" t="s">
        <v>655</v>
      </c>
      <c r="C168" s="141" t="n">
        <v>0</v>
      </c>
      <c r="D168" s="141" t="s">
        <v>651</v>
      </c>
      <c r="E168" s="141" t="n">
        <v>-20</v>
      </c>
      <c r="F168" s="141" t="n">
        <v>-10</v>
      </c>
      <c r="G168" s="141" t="n">
        <v>42</v>
      </c>
      <c r="H168" s="141" t="n">
        <v>60</v>
      </c>
      <c r="I168" s="141" t="n">
        <v>0</v>
      </c>
      <c r="J168" s="141" t="n">
        <v>4</v>
      </c>
      <c r="K168" s="141"/>
      <c r="L168" s="141" t="n">
        <v>0.439725849624421</v>
      </c>
      <c r="M168" s="141" t="n">
        <v>0</v>
      </c>
      <c r="N168" s="141"/>
      <c r="O168" s="141" t="n">
        <v>0.0269330982257466</v>
      </c>
      <c r="P168" s="141" t="n">
        <v>0.0531240694284932</v>
      </c>
      <c r="Q168" s="141" t="n">
        <v>1</v>
      </c>
    </row>
    <row r="169" customFormat="false" ht="12.8" hidden="false" customHeight="false" outlineLevel="0" collapsed="false">
      <c r="A169" s="11" t="n">
        <v>167</v>
      </c>
      <c r="B169" s="141" t="s">
        <v>656</v>
      </c>
      <c r="C169" s="141" t="n">
        <v>0</v>
      </c>
      <c r="D169" s="141" t="s">
        <v>651</v>
      </c>
      <c r="E169" s="141" t="n">
        <v>-20</v>
      </c>
      <c r="F169" s="141" t="n">
        <v>-10</v>
      </c>
      <c r="G169" s="141" t="n">
        <v>42</v>
      </c>
      <c r="H169" s="141" t="n">
        <v>60</v>
      </c>
      <c r="I169" s="141" t="n">
        <v>0</v>
      </c>
      <c r="J169" s="141" t="n">
        <v>4</v>
      </c>
      <c r="K169" s="141"/>
      <c r="L169" s="141" t="n">
        <v>0.441213710709889</v>
      </c>
      <c r="M169" s="141" t="n">
        <v>0</v>
      </c>
      <c r="N169" s="141"/>
      <c r="O169" s="141" t="n">
        <v>0.0278176726377481</v>
      </c>
      <c r="P169" s="141" t="n">
        <v>0.055650694359588</v>
      </c>
      <c r="Q169" s="141" t="n">
        <v>1</v>
      </c>
    </row>
    <row r="170" customFormat="false" ht="12.8" hidden="false" customHeight="false" outlineLevel="0" collapsed="false">
      <c r="A170" s="11" t="n">
        <v>168</v>
      </c>
      <c r="B170" s="141" t="s">
        <v>657</v>
      </c>
      <c r="C170" s="141" t="n">
        <v>1</v>
      </c>
      <c r="D170" s="141" t="s">
        <v>651</v>
      </c>
      <c r="E170" s="141" t="n">
        <v>-20</v>
      </c>
      <c r="F170" s="141" t="n">
        <v>-10</v>
      </c>
      <c r="G170" s="141" t="n">
        <v>42</v>
      </c>
      <c r="H170" s="141" t="n">
        <v>60</v>
      </c>
      <c r="I170" s="141" t="n">
        <v>0</v>
      </c>
      <c r="J170" s="141" t="n">
        <v>4</v>
      </c>
      <c r="K170" s="141" t="n">
        <v>0.0782262923600092</v>
      </c>
      <c r="L170" s="141" t="n">
        <v>0.460506365734025</v>
      </c>
      <c r="M170" s="141" t="n">
        <v>0</v>
      </c>
      <c r="N170" s="141" t="n">
        <v>0.0663246795590367</v>
      </c>
      <c r="O170" s="141" t="n">
        <v>0.0399043402533441</v>
      </c>
      <c r="P170" s="141" t="n">
        <v>0.088412693209544</v>
      </c>
      <c r="Q170" s="141" t="n">
        <v>0</v>
      </c>
    </row>
    <row r="171" customFormat="false" ht="12.8" hidden="false" customHeight="false" outlineLevel="0" collapsed="false">
      <c r="A171" s="11" t="n">
        <v>169</v>
      </c>
      <c r="B171" s="141" t="s">
        <v>658</v>
      </c>
      <c r="C171" s="141" t="n">
        <v>1</v>
      </c>
      <c r="D171" s="141" t="s">
        <v>651</v>
      </c>
      <c r="E171" s="141" t="n">
        <v>-20</v>
      </c>
      <c r="F171" s="141" t="n">
        <v>-10</v>
      </c>
      <c r="G171" s="141" t="n">
        <v>42</v>
      </c>
      <c r="H171" s="141" t="n">
        <v>60</v>
      </c>
      <c r="I171" s="141" t="n">
        <v>0</v>
      </c>
      <c r="J171" s="141" t="n">
        <v>4</v>
      </c>
      <c r="K171" s="141" t="n">
        <v>0.0838227906284675</v>
      </c>
      <c r="L171" s="141" t="n">
        <v>0.4911855258301</v>
      </c>
      <c r="M171" s="141" t="n">
        <v>0</v>
      </c>
      <c r="N171" s="141" t="n">
        <v>0.0711510051189718</v>
      </c>
      <c r="O171" s="141" t="n">
        <v>0.0611985576485442</v>
      </c>
      <c r="P171" s="141" t="n">
        <v>0.140510789947801</v>
      </c>
      <c r="Q171" s="141" t="n">
        <v>0</v>
      </c>
    </row>
    <row r="172" customFormat="false" ht="12.8" hidden="false" customHeight="false" outlineLevel="0" collapsed="false">
      <c r="A172" s="11" t="n">
        <v>170</v>
      </c>
      <c r="B172" s="141" t="s">
        <v>659</v>
      </c>
      <c r="C172" s="141" t="n">
        <v>0</v>
      </c>
      <c r="D172" s="141" t="s">
        <v>651</v>
      </c>
      <c r="E172" s="141" t="n">
        <v>-20</v>
      </c>
      <c r="F172" s="141" t="n">
        <v>-10</v>
      </c>
      <c r="G172" s="141" t="n">
        <v>42</v>
      </c>
      <c r="H172" s="141" t="n">
        <v>60</v>
      </c>
      <c r="I172" s="141" t="n">
        <v>0</v>
      </c>
      <c r="J172" s="141" t="n">
        <v>4</v>
      </c>
      <c r="K172" s="141"/>
      <c r="L172" s="141" t="n">
        <v>0.434910236088149</v>
      </c>
      <c r="M172" s="141" t="n">
        <v>0</v>
      </c>
      <c r="N172" s="141"/>
      <c r="O172" s="141" t="n">
        <v>0.0241199744755616</v>
      </c>
      <c r="P172" s="141" t="n">
        <v>0.0449463911908528</v>
      </c>
      <c r="Q172" s="141" t="n">
        <v>1</v>
      </c>
    </row>
    <row r="173" customFormat="false" ht="12.8" hidden="false" customHeight="false" outlineLevel="0" collapsed="false">
      <c r="A173" s="11" t="n">
        <v>171</v>
      </c>
      <c r="B173" s="141" t="s">
        <v>660</v>
      </c>
      <c r="C173" s="141" t="n">
        <v>0</v>
      </c>
      <c r="D173" s="141" t="s">
        <v>651</v>
      </c>
      <c r="E173" s="141" t="n">
        <v>-20</v>
      </c>
      <c r="F173" s="141" t="n">
        <v>-10</v>
      </c>
      <c r="G173" s="141" t="n">
        <v>42</v>
      </c>
      <c r="H173" s="141" t="n">
        <v>60</v>
      </c>
      <c r="I173" s="141" t="n">
        <v>0</v>
      </c>
      <c r="J173" s="141" t="n">
        <v>4</v>
      </c>
      <c r="K173" s="141"/>
      <c r="L173" s="141" t="n">
        <v>0.443293283567327</v>
      </c>
      <c r="M173" s="141" t="n">
        <v>0</v>
      </c>
      <c r="N173" s="141"/>
      <c r="O173" s="141" t="n">
        <v>0.0290659632201664</v>
      </c>
      <c r="P173" s="141" t="n">
        <v>0.0591821400563329</v>
      </c>
      <c r="Q173" s="141" t="n">
        <v>1</v>
      </c>
    </row>
    <row r="174" customFormat="false" ht="12.8" hidden="false" customHeight="false" outlineLevel="0" collapsed="false">
      <c r="A174" s="11" t="n">
        <v>172</v>
      </c>
      <c r="B174" s="141" t="s">
        <v>661</v>
      </c>
      <c r="C174" s="141" t="n">
        <v>1</v>
      </c>
      <c r="D174" s="141" t="s">
        <v>651</v>
      </c>
      <c r="E174" s="141" t="n">
        <v>-20</v>
      </c>
      <c r="F174" s="141" t="n">
        <v>-10</v>
      </c>
      <c r="G174" s="141" t="n">
        <v>42</v>
      </c>
      <c r="H174" s="141" t="n">
        <v>60</v>
      </c>
      <c r="I174" s="141" t="n">
        <v>0</v>
      </c>
      <c r="J174" s="141" t="n">
        <v>4</v>
      </c>
      <c r="K174" s="141" t="n">
        <v>0.0799932787943475</v>
      </c>
      <c r="L174" s="141" t="n">
        <v>0.464767957641055</v>
      </c>
      <c r="M174" s="141" t="n">
        <v>0</v>
      </c>
      <c r="N174" s="141" t="n">
        <v>0.0678473261403626</v>
      </c>
      <c r="O174" s="141" t="n">
        <v>0.0427189185483405</v>
      </c>
      <c r="P174" s="141" t="n">
        <v>0.0956495545426501</v>
      </c>
      <c r="Q174" s="141" t="n">
        <v>0</v>
      </c>
    </row>
    <row r="175" customFormat="false" ht="12.8" hidden="false" customHeight="false" outlineLevel="0" collapsed="false">
      <c r="A175" s="11" t="n">
        <v>173</v>
      </c>
      <c r="B175" s="141" t="s">
        <v>662</v>
      </c>
      <c r="C175" s="141" t="n">
        <v>1</v>
      </c>
      <c r="D175" s="141" t="s">
        <v>651</v>
      </c>
      <c r="E175" s="141" t="n">
        <v>-20</v>
      </c>
      <c r="F175" s="141" t="n">
        <v>-10</v>
      </c>
      <c r="G175" s="141" t="n">
        <v>42</v>
      </c>
      <c r="H175" s="141" t="n">
        <v>60</v>
      </c>
      <c r="I175" s="141" t="n">
        <v>0</v>
      </c>
      <c r="J175" s="141" t="n">
        <v>4</v>
      </c>
      <c r="K175" s="141" t="n">
        <v>0.104804059111409</v>
      </c>
      <c r="L175" s="141" t="n">
        <v>0.493284977139444</v>
      </c>
      <c r="M175" s="141" t="n">
        <v>0</v>
      </c>
      <c r="N175" s="141" t="n">
        <v>0.089341534793368</v>
      </c>
      <c r="O175" s="141" t="n">
        <v>0.0627377390258845</v>
      </c>
      <c r="P175" s="141" t="n">
        <v>0.144075992419738</v>
      </c>
      <c r="Q175" s="141" t="n">
        <v>0</v>
      </c>
    </row>
    <row r="176" customFormat="false" ht="12.8" hidden="false" customHeight="false" outlineLevel="0" collapsed="false">
      <c r="A176" s="11" t="n">
        <v>174</v>
      </c>
      <c r="B176" s="141" t="s">
        <v>663</v>
      </c>
      <c r="C176" s="141" t="n">
        <v>0</v>
      </c>
      <c r="D176" s="141" t="s">
        <v>651</v>
      </c>
      <c r="E176" s="141" t="n">
        <v>-20</v>
      </c>
      <c r="F176" s="141" t="n">
        <v>-10</v>
      </c>
      <c r="G176" s="141" t="n">
        <v>42</v>
      </c>
      <c r="H176" s="141" t="n">
        <v>60</v>
      </c>
      <c r="I176" s="141" t="n">
        <v>0</v>
      </c>
      <c r="J176" s="141" t="n">
        <v>4</v>
      </c>
      <c r="K176" s="141"/>
      <c r="L176" s="141" t="n">
        <v>0.447991466810692</v>
      </c>
      <c r="M176" s="141" t="n">
        <v>0</v>
      </c>
      <c r="N176" s="141"/>
      <c r="O176" s="141" t="n">
        <v>0.0319362088983171</v>
      </c>
      <c r="P176" s="141" t="n">
        <v>0.0671604029664121</v>
      </c>
      <c r="Q176" s="141" t="n">
        <v>1</v>
      </c>
    </row>
    <row r="177" customFormat="false" ht="12.8" hidden="false" customHeight="false" outlineLevel="0" collapsed="false">
      <c r="A177" s="11" t="n">
        <v>175</v>
      </c>
      <c r="B177" s="141" t="s">
        <v>664</v>
      </c>
      <c r="C177" s="141" t="n">
        <v>0</v>
      </c>
      <c r="D177" s="141" t="s">
        <v>651</v>
      </c>
      <c r="E177" s="141" t="n">
        <v>-20</v>
      </c>
      <c r="F177" s="141" t="n">
        <v>-10</v>
      </c>
      <c r="G177" s="141" t="n">
        <v>42</v>
      </c>
      <c r="H177" s="141" t="n">
        <v>60</v>
      </c>
      <c r="I177" s="141" t="n">
        <v>0</v>
      </c>
      <c r="J177" s="141" t="n">
        <v>4</v>
      </c>
      <c r="K177" s="141"/>
      <c r="L177" s="141" t="n">
        <v>0.449005118475802</v>
      </c>
      <c r="M177" s="141" t="n">
        <v>0</v>
      </c>
      <c r="N177" s="141"/>
      <c r="O177" s="141" t="n">
        <v>0.0325644014378197</v>
      </c>
      <c r="P177" s="141" t="n">
        <v>0.0688817448265683</v>
      </c>
      <c r="Q177" s="141" t="n">
        <v>1</v>
      </c>
    </row>
    <row r="178" customFormat="false" ht="12.8" hidden="false" customHeight="false" outlineLevel="0" collapsed="false">
      <c r="A178" s="11" t="n">
        <v>176</v>
      </c>
      <c r="B178" s="141" t="s">
        <v>665</v>
      </c>
      <c r="C178" s="141" t="n">
        <v>1</v>
      </c>
      <c r="D178" s="141" t="s">
        <v>651</v>
      </c>
      <c r="E178" s="141" t="n">
        <v>-20</v>
      </c>
      <c r="F178" s="141" t="n">
        <v>-10</v>
      </c>
      <c r="G178" s="141" t="n">
        <v>42</v>
      </c>
      <c r="H178" s="141" t="n">
        <v>60</v>
      </c>
      <c r="I178" s="141" t="n">
        <v>0</v>
      </c>
      <c r="J178" s="141" t="n">
        <v>4</v>
      </c>
      <c r="K178" s="141" t="n">
        <v>0.0763024743353876</v>
      </c>
      <c r="L178" s="141" t="n">
        <v>0.470018051441221</v>
      </c>
      <c r="M178" s="141" t="n">
        <v>0</v>
      </c>
      <c r="N178" s="141" t="n">
        <v>0.0646681186513093</v>
      </c>
      <c r="O178" s="141" t="n">
        <v>0.0462532291424923</v>
      </c>
      <c r="P178" s="141" t="n">
        <v>0.104565049420261</v>
      </c>
      <c r="Q178" s="141" t="n">
        <v>0</v>
      </c>
    </row>
    <row r="179" customFormat="false" ht="12.8" hidden="false" customHeight="false" outlineLevel="0" collapsed="false">
      <c r="A179" s="11" t="n">
        <v>177</v>
      </c>
      <c r="B179" s="141" t="s">
        <v>666</v>
      </c>
      <c r="C179" s="141" t="n">
        <v>1</v>
      </c>
      <c r="D179" s="141" t="s">
        <v>651</v>
      </c>
      <c r="E179" s="141" t="n">
        <v>-20</v>
      </c>
      <c r="F179" s="141" t="n">
        <v>-10</v>
      </c>
      <c r="G179" s="141" t="n">
        <v>42</v>
      </c>
      <c r="H179" s="141" t="n">
        <v>60</v>
      </c>
      <c r="I179" s="141" t="n">
        <v>0</v>
      </c>
      <c r="J179" s="141" t="n">
        <v>4</v>
      </c>
      <c r="K179" s="141" t="n">
        <v>0.0992869186749572</v>
      </c>
      <c r="L179" s="141" t="n">
        <v>0.494474879212512</v>
      </c>
      <c r="M179" s="141" t="n">
        <v>0</v>
      </c>
      <c r="N179" s="141" t="n">
        <v>0.0845434489722372</v>
      </c>
      <c r="O179" s="141" t="n">
        <v>0.0636144120526615</v>
      </c>
      <c r="P179" s="141" t="n">
        <v>0.146096635524621</v>
      </c>
      <c r="Q179" s="141" t="n">
        <v>0</v>
      </c>
    </row>
    <row r="180" customFormat="false" ht="12.8" hidden="false" customHeight="false" outlineLevel="0" collapsed="false">
      <c r="A180" s="11" t="n">
        <v>178</v>
      </c>
      <c r="B180" s="141" t="s">
        <v>667</v>
      </c>
      <c r="C180" s="141" t="n">
        <v>0</v>
      </c>
      <c r="D180" s="141" t="s">
        <v>651</v>
      </c>
      <c r="E180" s="141" t="n">
        <v>-20</v>
      </c>
      <c r="F180" s="141" t="n">
        <v>-10</v>
      </c>
      <c r="G180" s="141" t="n">
        <v>42</v>
      </c>
      <c r="H180" s="141" t="n">
        <v>60</v>
      </c>
      <c r="I180" s="141" t="n">
        <v>0</v>
      </c>
      <c r="J180" s="141" t="n">
        <v>4</v>
      </c>
      <c r="K180" s="141"/>
      <c r="L180" s="141" t="n">
        <v>0.439436826571348</v>
      </c>
      <c r="M180" s="141" t="n">
        <v>0</v>
      </c>
      <c r="N180" s="141"/>
      <c r="O180" s="141" t="n">
        <v>0.0267621001075433</v>
      </c>
      <c r="P180" s="141" t="n">
        <v>0.0526332622834662</v>
      </c>
      <c r="Q180" s="141" t="n">
        <v>1</v>
      </c>
    </row>
    <row r="181" customFormat="false" ht="12.8" hidden="false" customHeight="false" outlineLevel="0" collapsed="false">
      <c r="A181" s="11" t="n">
        <v>179</v>
      </c>
      <c r="B181" s="141" t="s">
        <v>668</v>
      </c>
      <c r="C181" s="141" t="n">
        <v>0</v>
      </c>
      <c r="D181" s="141" t="s">
        <v>651</v>
      </c>
      <c r="E181" s="141" t="n">
        <v>-20</v>
      </c>
      <c r="F181" s="141" t="n">
        <v>-10</v>
      </c>
      <c r="G181" s="141" t="n">
        <v>42</v>
      </c>
      <c r="H181" s="141" t="n">
        <v>60</v>
      </c>
      <c r="I181" s="141" t="n">
        <v>0</v>
      </c>
      <c r="J181" s="141" t="n">
        <v>4</v>
      </c>
      <c r="K181" s="141"/>
      <c r="L181" s="141" t="n">
        <v>0.440760647640001</v>
      </c>
      <c r="M181" s="141" t="n">
        <v>0</v>
      </c>
      <c r="N181" s="141"/>
      <c r="O181" s="141" t="n">
        <v>0.0275475553993554</v>
      </c>
      <c r="P181" s="141" t="n">
        <v>0.0548813211574005</v>
      </c>
      <c r="Q181" s="141" t="n">
        <v>1</v>
      </c>
    </row>
    <row r="182" customFormat="false" ht="12.8" hidden="false" customHeight="false" outlineLevel="0" collapsed="false">
      <c r="A182" s="11" t="n">
        <v>180</v>
      </c>
      <c r="B182" s="141" t="s">
        <v>669</v>
      </c>
      <c r="C182" s="141" t="n">
        <v>1</v>
      </c>
      <c r="D182" s="141" t="s">
        <v>651</v>
      </c>
      <c r="E182" s="141" t="n">
        <v>-20</v>
      </c>
      <c r="F182" s="141" t="n">
        <v>-10</v>
      </c>
      <c r="G182" s="141" t="n">
        <v>42</v>
      </c>
      <c r="H182" s="141" t="n">
        <v>60</v>
      </c>
      <c r="I182" s="141" t="n">
        <v>0</v>
      </c>
      <c r="J182" s="141" t="n">
        <v>4</v>
      </c>
      <c r="K182" s="141" t="n">
        <v>0.163317778807238</v>
      </c>
      <c r="L182" s="141" t="n">
        <v>0.463736876398807</v>
      </c>
      <c r="M182" s="141" t="n">
        <v>0</v>
      </c>
      <c r="N182" s="141" t="n">
        <v>0.140878401227235</v>
      </c>
      <c r="O182" s="141" t="n">
        <v>0.0420334076685612</v>
      </c>
      <c r="P182" s="141" t="n">
        <v>0.093898614486422</v>
      </c>
      <c r="Q182" s="141" t="n">
        <v>0</v>
      </c>
    </row>
    <row r="183" customFormat="false" ht="12.8" hidden="false" customHeight="false" outlineLevel="0" collapsed="false">
      <c r="A183" s="11" t="n">
        <v>181</v>
      </c>
      <c r="B183" s="141" t="s">
        <v>670</v>
      </c>
      <c r="C183" s="141" t="n">
        <v>1</v>
      </c>
      <c r="D183" s="141" t="s">
        <v>651</v>
      </c>
      <c r="E183" s="141" t="n">
        <v>-20</v>
      </c>
      <c r="F183" s="141" t="n">
        <v>-10</v>
      </c>
      <c r="G183" s="141" t="n">
        <v>42</v>
      </c>
      <c r="H183" s="141" t="n">
        <v>60</v>
      </c>
      <c r="I183" s="141" t="n">
        <v>0</v>
      </c>
      <c r="J183" s="141" t="n">
        <v>4</v>
      </c>
      <c r="K183" s="141" t="n">
        <v>0.0956080654090652</v>
      </c>
      <c r="L183" s="141" t="n">
        <v>0.487503511052992</v>
      </c>
      <c r="M183" s="141" t="n">
        <v>0</v>
      </c>
      <c r="N183" s="141" t="n">
        <v>0.0813499273170631</v>
      </c>
      <c r="O183" s="141" t="n">
        <v>0.0585229580550261</v>
      </c>
      <c r="P183" s="141" t="n">
        <v>0.134258142826799</v>
      </c>
      <c r="Q183" s="141" t="n">
        <v>0</v>
      </c>
    </row>
    <row r="184" customFormat="false" ht="12.8" hidden="false" customHeight="false" outlineLevel="0" collapsed="false">
      <c r="A184" s="11" t="n">
        <v>182</v>
      </c>
      <c r="B184" s="141" t="s">
        <v>671</v>
      </c>
      <c r="C184" s="141" t="n">
        <v>0</v>
      </c>
      <c r="D184" s="141" t="s">
        <v>651</v>
      </c>
      <c r="E184" s="141" t="n">
        <v>-20</v>
      </c>
      <c r="F184" s="141" t="n">
        <v>-10</v>
      </c>
      <c r="G184" s="141" t="n">
        <v>42</v>
      </c>
      <c r="H184" s="141" t="n">
        <v>60</v>
      </c>
      <c r="I184" s="141" t="n">
        <v>0</v>
      </c>
      <c r="J184" s="141" t="n">
        <v>4</v>
      </c>
      <c r="K184" s="141"/>
      <c r="L184" s="141" t="n">
        <v>0.435438091982509</v>
      </c>
      <c r="M184" s="141" t="n">
        <v>0</v>
      </c>
      <c r="N184" s="141"/>
      <c r="O184" s="141" t="n">
        <v>0.0244245537681924</v>
      </c>
      <c r="P184" s="141" t="n">
        <v>0.04584277451302</v>
      </c>
      <c r="Q184" s="141" t="n">
        <v>1</v>
      </c>
    </row>
    <row r="185" customFormat="false" ht="12.8" hidden="false" customHeight="false" outlineLevel="0" collapsed="false">
      <c r="A185" s="11" t="n">
        <v>183</v>
      </c>
      <c r="B185" s="141" t="s">
        <v>672</v>
      </c>
      <c r="C185" s="141" t="n">
        <v>0</v>
      </c>
      <c r="D185" s="141" t="s">
        <v>651</v>
      </c>
      <c r="E185" s="141" t="n">
        <v>-20</v>
      </c>
      <c r="F185" s="141" t="n">
        <v>-10</v>
      </c>
      <c r="G185" s="141" t="n">
        <v>42</v>
      </c>
      <c r="H185" s="141" t="n">
        <v>60</v>
      </c>
      <c r="I185" s="141" t="n">
        <v>0</v>
      </c>
      <c r="J185" s="141" t="n">
        <v>4</v>
      </c>
      <c r="K185" s="141"/>
      <c r="L185" s="141" t="n">
        <v>0.451456812593451</v>
      </c>
      <c r="M185" s="141" t="n">
        <v>0</v>
      </c>
      <c r="N185" s="141"/>
      <c r="O185" s="141" t="n">
        <v>0.0340966167313851</v>
      </c>
      <c r="P185" s="141" t="n">
        <v>0.0730451116499721</v>
      </c>
      <c r="Q185" s="141" t="n">
        <v>1</v>
      </c>
    </row>
    <row r="186" customFormat="false" ht="12.8" hidden="false" customHeight="false" outlineLevel="0" collapsed="false">
      <c r="A186" s="11" t="n">
        <v>184</v>
      </c>
      <c r="B186" s="141" t="s">
        <v>673</v>
      </c>
      <c r="C186" s="141" t="n">
        <v>0</v>
      </c>
      <c r="D186" s="141" t="s">
        <v>651</v>
      </c>
      <c r="E186" s="141" t="n">
        <v>-20</v>
      </c>
      <c r="F186" s="141" t="n">
        <v>-10</v>
      </c>
      <c r="G186" s="141" t="n">
        <v>42</v>
      </c>
      <c r="H186" s="141" t="n">
        <v>60</v>
      </c>
      <c r="I186" s="141" t="n">
        <v>0</v>
      </c>
      <c r="J186" s="141" t="n">
        <v>4</v>
      </c>
      <c r="K186" s="141"/>
      <c r="L186" s="141" t="n">
        <v>0.452343516192582</v>
      </c>
      <c r="M186" s="141" t="n">
        <v>0</v>
      </c>
      <c r="N186" s="141"/>
      <c r="O186" s="141" t="n">
        <v>0.0346551897867097</v>
      </c>
      <c r="P186" s="141" t="n">
        <v>0.0745508754890412</v>
      </c>
      <c r="Q186" s="141" t="n">
        <v>0</v>
      </c>
    </row>
    <row r="187" customFormat="false" ht="12.8" hidden="false" customHeight="false" outlineLevel="0" collapsed="false">
      <c r="A187" s="11" t="n">
        <v>185</v>
      </c>
      <c r="B187" s="141" t="s">
        <v>674</v>
      </c>
      <c r="C187" s="141" t="n">
        <v>0</v>
      </c>
      <c r="D187" s="141" t="s">
        <v>651</v>
      </c>
      <c r="E187" s="141" t="n">
        <v>-20</v>
      </c>
      <c r="F187" s="141" t="n">
        <v>-10</v>
      </c>
      <c r="G187" s="141" t="n">
        <v>42</v>
      </c>
      <c r="H187" s="141" t="n">
        <v>60</v>
      </c>
      <c r="I187" s="141" t="n">
        <v>0</v>
      </c>
      <c r="J187" s="141" t="n">
        <v>4</v>
      </c>
      <c r="K187" s="141"/>
      <c r="L187" s="141" t="n">
        <v>0.466454705014621</v>
      </c>
      <c r="M187" s="141" t="n">
        <v>0</v>
      </c>
      <c r="N187" s="141"/>
      <c r="O187" s="141" t="n">
        <v>0.0438464901611323</v>
      </c>
      <c r="P187" s="141" t="n">
        <v>0.0985139200456759</v>
      </c>
      <c r="Q187" s="141" t="n">
        <v>0</v>
      </c>
    </row>
    <row r="188" customFormat="false" ht="12.8" hidden="false" customHeight="false" outlineLevel="0" collapsed="false">
      <c r="A188" s="11" t="n">
        <v>186</v>
      </c>
      <c r="B188" s="141" t="s">
        <v>675</v>
      </c>
      <c r="C188" s="141" t="n">
        <v>0</v>
      </c>
      <c r="D188" s="141" t="s">
        <v>651</v>
      </c>
      <c r="E188" s="141" t="n">
        <v>-20</v>
      </c>
      <c r="F188" s="141" t="n">
        <v>-10</v>
      </c>
      <c r="G188" s="141" t="n">
        <v>42</v>
      </c>
      <c r="H188" s="141" t="n">
        <v>60</v>
      </c>
      <c r="I188" s="141" t="n">
        <v>0</v>
      </c>
      <c r="J188" s="141" t="n">
        <v>4</v>
      </c>
      <c r="K188" s="141"/>
      <c r="L188" s="141" t="n">
        <v>0.461332284763039</v>
      </c>
      <c r="M188" s="141" t="n">
        <v>0</v>
      </c>
      <c r="N188" s="141"/>
      <c r="O188" s="141" t="n">
        <v>0.0404459371233956</v>
      </c>
      <c r="P188" s="141" t="n">
        <v>0.0898152351740831</v>
      </c>
      <c r="Q188" s="141" t="n">
        <v>0</v>
      </c>
    </row>
    <row r="189" customFormat="false" ht="12.8" hidden="false" customHeight="false" outlineLevel="0" collapsed="false">
      <c r="A189" s="11" t="n">
        <v>187</v>
      </c>
      <c r="B189" s="141" t="s">
        <v>676</v>
      </c>
      <c r="C189" s="141" t="n">
        <v>0</v>
      </c>
      <c r="D189" s="141" t="s">
        <v>651</v>
      </c>
      <c r="E189" s="141" t="n">
        <v>-20</v>
      </c>
      <c r="F189" s="141" t="n">
        <v>-10</v>
      </c>
      <c r="G189" s="141" t="n">
        <v>42</v>
      </c>
      <c r="H189" s="141" t="n">
        <v>60</v>
      </c>
      <c r="I189" s="141" t="n">
        <v>0</v>
      </c>
      <c r="J189" s="141" t="n">
        <v>4</v>
      </c>
      <c r="K189" s="141"/>
      <c r="L189" s="141" t="n">
        <v>0.463090228729837</v>
      </c>
      <c r="M189" s="141" t="n">
        <v>0</v>
      </c>
      <c r="N189" s="141"/>
      <c r="O189" s="141" t="n">
        <v>0.0416049522919278</v>
      </c>
      <c r="P189" s="141" t="n">
        <v>0.0928005038240672</v>
      </c>
      <c r="Q189" s="141" t="n">
        <v>0</v>
      </c>
    </row>
    <row r="190" customFormat="false" ht="12.8" hidden="false" customHeight="false" outlineLevel="0" collapsed="false">
      <c r="A190" s="11" t="n">
        <v>188</v>
      </c>
      <c r="B190" s="141" t="s">
        <v>677</v>
      </c>
      <c r="C190" s="141" t="n">
        <v>0</v>
      </c>
      <c r="D190" s="141" t="s">
        <v>651</v>
      </c>
      <c r="E190" s="141" t="n">
        <v>-20</v>
      </c>
      <c r="F190" s="141" t="n">
        <v>-10</v>
      </c>
      <c r="G190" s="141" t="n">
        <v>42</v>
      </c>
      <c r="H190" s="141" t="n">
        <v>60</v>
      </c>
      <c r="I190" s="141" t="n">
        <v>0</v>
      </c>
      <c r="J190" s="141" t="n">
        <v>4</v>
      </c>
      <c r="K190" s="141"/>
      <c r="L190" s="141" t="n">
        <v>0.476440513404864</v>
      </c>
      <c r="M190" s="141" t="n">
        <v>0</v>
      </c>
      <c r="N190" s="141"/>
      <c r="O190" s="141" t="n">
        <v>0.0506732879919405</v>
      </c>
      <c r="P190" s="141" t="n">
        <v>0.115471412033572</v>
      </c>
      <c r="Q190" s="141" t="n">
        <v>0</v>
      </c>
    </row>
    <row r="191" customFormat="false" ht="12.8" hidden="false" customHeight="false" outlineLevel="0" collapsed="false">
      <c r="A191" s="11" t="n">
        <v>189</v>
      </c>
      <c r="B191" s="141" t="s">
        <v>678</v>
      </c>
      <c r="C191" s="141" t="n">
        <v>0</v>
      </c>
      <c r="D191" s="141" t="s">
        <v>651</v>
      </c>
      <c r="E191" s="141" t="n">
        <v>-20</v>
      </c>
      <c r="F191" s="141" t="n">
        <v>-10</v>
      </c>
      <c r="G191" s="141" t="n">
        <v>42</v>
      </c>
      <c r="H191" s="141" t="n">
        <v>60</v>
      </c>
      <c r="I191" s="141" t="n">
        <v>0</v>
      </c>
      <c r="J191" s="141" t="n">
        <v>4</v>
      </c>
      <c r="K191" s="141"/>
      <c r="L191" s="141" t="n">
        <v>0.478047798416077</v>
      </c>
      <c r="M191" s="141" t="n">
        <v>0</v>
      </c>
      <c r="N191" s="141"/>
      <c r="O191" s="141" t="n">
        <v>0.0517955411039236</v>
      </c>
      <c r="P191" s="141" t="n">
        <v>0.118200837798095</v>
      </c>
      <c r="Q191" s="141" t="n">
        <v>0</v>
      </c>
    </row>
    <row r="192" customFormat="false" ht="12.8" hidden="false" customHeight="false" outlineLevel="0" collapsed="false">
      <c r="A192" s="11" t="n">
        <v>190</v>
      </c>
      <c r="B192" s="141" t="s">
        <v>679</v>
      </c>
      <c r="C192" s="141" t="n">
        <v>0</v>
      </c>
      <c r="D192" s="141" t="s">
        <v>651</v>
      </c>
      <c r="E192" s="141" t="n">
        <v>-20</v>
      </c>
      <c r="F192" s="141" t="n">
        <v>-10</v>
      </c>
      <c r="G192" s="141" t="n">
        <v>42</v>
      </c>
      <c r="H192" s="141" t="n">
        <v>60</v>
      </c>
      <c r="I192" s="141" t="n">
        <v>0</v>
      </c>
      <c r="J192" s="141" t="n">
        <v>4</v>
      </c>
      <c r="K192" s="141"/>
      <c r="L192" s="141" t="n">
        <v>0.47618410968015</v>
      </c>
      <c r="M192" s="141" t="n">
        <v>0</v>
      </c>
      <c r="N192" s="141"/>
      <c r="O192" s="141" t="n">
        <v>0.0504948464200047</v>
      </c>
      <c r="P192" s="141" t="n">
        <v>0.115035997699791</v>
      </c>
      <c r="Q192" s="141" t="n">
        <v>0</v>
      </c>
    </row>
    <row r="193" customFormat="false" ht="12.8" hidden="false" customHeight="false" outlineLevel="0" collapsed="false">
      <c r="A193" s="11" t="n">
        <v>191</v>
      </c>
      <c r="B193" s="141" t="s">
        <v>680</v>
      </c>
      <c r="C193" s="141" t="n">
        <v>0</v>
      </c>
      <c r="D193" s="141" t="s">
        <v>651</v>
      </c>
      <c r="E193" s="141" t="n">
        <v>-20</v>
      </c>
      <c r="F193" s="141" t="n">
        <v>-10</v>
      </c>
      <c r="G193" s="141" t="n">
        <v>42</v>
      </c>
      <c r="H193" s="141" t="n">
        <v>60</v>
      </c>
      <c r="I193" s="141" t="n">
        <v>0</v>
      </c>
      <c r="J193" s="141" t="n">
        <v>4</v>
      </c>
      <c r="K193" s="141"/>
      <c r="L193" s="141" t="n">
        <v>0.483974540919347</v>
      </c>
      <c r="M193" s="141" t="n">
        <v>0</v>
      </c>
      <c r="N193" s="141"/>
      <c r="O193" s="141" t="n">
        <v>0.0559876228754157</v>
      </c>
      <c r="P193" s="141" t="n">
        <v>0.128265389868984</v>
      </c>
      <c r="Q193" s="141" t="n">
        <v>0</v>
      </c>
    </row>
    <row r="194" customFormat="false" ht="12.8" hidden="false" customHeight="false" outlineLevel="0" collapsed="false">
      <c r="A194" s="11" t="n">
        <v>192</v>
      </c>
      <c r="B194" s="141" t="s">
        <v>681</v>
      </c>
      <c r="C194" s="141" t="n">
        <v>1</v>
      </c>
      <c r="D194" s="141" t="s">
        <v>682</v>
      </c>
      <c r="E194" s="141" t="n">
        <v>-20</v>
      </c>
      <c r="F194" s="141" t="n">
        <v>-10</v>
      </c>
      <c r="G194" s="141" t="n">
        <v>42</v>
      </c>
      <c r="H194" s="141" t="n">
        <v>60</v>
      </c>
      <c r="I194" s="141" t="n">
        <v>0</v>
      </c>
      <c r="J194" s="141" t="n">
        <v>4</v>
      </c>
      <c r="K194" s="141" t="n">
        <v>0.0926130425305919</v>
      </c>
      <c r="L194" s="141" t="n">
        <v>0.482634044016567</v>
      </c>
      <c r="M194" s="141" t="n">
        <v>0</v>
      </c>
      <c r="N194" s="141" t="n">
        <v>0.0787534859228586</v>
      </c>
      <c r="O194" s="141" t="n">
        <v>0.055032158245927</v>
      </c>
      <c r="P194" s="141" t="n">
        <v>0.125989012774576</v>
      </c>
      <c r="Q194" s="141" t="n">
        <v>1</v>
      </c>
    </row>
    <row r="195" customFormat="false" ht="12.8" hidden="false" customHeight="false" outlineLevel="0" collapsed="false">
      <c r="A195" s="11" t="n">
        <v>193</v>
      </c>
      <c r="B195" s="141" t="s">
        <v>683</v>
      </c>
      <c r="C195" s="141" t="n">
        <v>1</v>
      </c>
      <c r="D195" s="141" t="s">
        <v>682</v>
      </c>
      <c r="E195" s="141" t="n">
        <v>-20</v>
      </c>
      <c r="F195" s="141" t="n">
        <v>-10</v>
      </c>
      <c r="G195" s="141" t="n">
        <v>42</v>
      </c>
      <c r="H195" s="141" t="n">
        <v>60</v>
      </c>
      <c r="I195" s="141" t="n">
        <v>0</v>
      </c>
      <c r="J195" s="141" t="n">
        <v>4</v>
      </c>
      <c r="K195" s="141" t="n">
        <v>0.115962603903008</v>
      </c>
      <c r="L195" s="141" t="n">
        <v>0.522944971637566</v>
      </c>
      <c r="M195" s="141" t="n">
        <v>0</v>
      </c>
      <c r="N195" s="141" t="n">
        <v>0.0990780219461169</v>
      </c>
      <c r="O195" s="141" t="n">
        <v>0.085466104196166</v>
      </c>
      <c r="P195" s="141" t="n">
        <v>0.194443383762273</v>
      </c>
      <c r="Q195" s="141" t="n">
        <v>0</v>
      </c>
      <c r="S195" s="142"/>
    </row>
    <row r="196" customFormat="false" ht="12.8" hidden="false" customHeight="false" outlineLevel="0" collapsed="false">
      <c r="A196" s="11" t="n">
        <v>194</v>
      </c>
      <c r="B196" s="141" t="s">
        <v>684</v>
      </c>
      <c r="C196" s="141" t="n">
        <v>1</v>
      </c>
      <c r="D196" s="141" t="s">
        <v>682</v>
      </c>
      <c r="E196" s="141" t="n">
        <v>-20</v>
      </c>
      <c r="F196" s="141" t="n">
        <v>-10</v>
      </c>
      <c r="G196" s="141" t="n">
        <v>42</v>
      </c>
      <c r="H196" s="141" t="n">
        <v>60</v>
      </c>
      <c r="I196" s="141" t="n">
        <v>0</v>
      </c>
      <c r="J196" s="141" t="n">
        <v>4</v>
      </c>
      <c r="K196" s="141" t="n">
        <v>0.129447909444742</v>
      </c>
      <c r="L196" s="141" t="n">
        <v>0.528903957057965</v>
      </c>
      <c r="M196" s="141" t="n">
        <v>0</v>
      </c>
      <c r="N196" s="141" t="n">
        <v>0.110902337576039</v>
      </c>
      <c r="O196" s="141" t="n">
        <v>0.0902403000661023</v>
      </c>
      <c r="P196" s="141" t="n">
        <v>0.204562689438229</v>
      </c>
      <c r="Q196" s="141" t="n">
        <v>0</v>
      </c>
    </row>
    <row r="197" customFormat="false" ht="12.8" hidden="false" customHeight="false" outlineLevel="0" collapsed="false">
      <c r="A197" s="11" t="n">
        <v>195</v>
      </c>
      <c r="B197" s="141" t="s">
        <v>685</v>
      </c>
      <c r="C197" s="141" t="n">
        <v>1</v>
      </c>
      <c r="D197" s="141" t="s">
        <v>682</v>
      </c>
      <c r="E197" s="141" t="n">
        <v>-20</v>
      </c>
      <c r="F197" s="141" t="n">
        <v>-10</v>
      </c>
      <c r="G197" s="141" t="n">
        <v>42</v>
      </c>
      <c r="H197" s="141" t="n">
        <v>60</v>
      </c>
      <c r="I197" s="141" t="n">
        <v>0</v>
      </c>
      <c r="J197" s="141" t="n">
        <v>4</v>
      </c>
      <c r="K197" s="141" t="n">
        <v>0.135772377235186</v>
      </c>
      <c r="L197" s="141" t="n">
        <v>0.543992220502763</v>
      </c>
      <c r="M197" s="141" t="n">
        <v>0</v>
      </c>
      <c r="N197" s="141" t="n">
        <v>0.116469530515518</v>
      </c>
      <c r="O197" s="141" t="n">
        <v>0.10261974507376</v>
      </c>
      <c r="P197" s="141" t="n">
        <v>0.230184962215507</v>
      </c>
      <c r="Q197" s="141" t="n">
        <v>0</v>
      </c>
    </row>
    <row r="198" customFormat="false" ht="12.8" hidden="false" customHeight="false" outlineLevel="0" collapsed="false">
      <c r="A198" s="11" t="n">
        <v>196</v>
      </c>
      <c r="B198" s="141" t="s">
        <v>686</v>
      </c>
      <c r="C198" s="141" t="n">
        <v>0</v>
      </c>
      <c r="D198" s="141" t="s">
        <v>682</v>
      </c>
      <c r="E198" s="141" t="n">
        <v>-20</v>
      </c>
      <c r="F198" s="141" t="n">
        <v>-10</v>
      </c>
      <c r="G198" s="141" t="n">
        <v>42</v>
      </c>
      <c r="H198" s="141" t="n">
        <v>60</v>
      </c>
      <c r="I198" s="141" t="n">
        <v>0</v>
      </c>
      <c r="J198" s="141" t="n">
        <v>4</v>
      </c>
      <c r="K198" s="141"/>
      <c r="L198" s="141" t="n">
        <v>0.481233592274534</v>
      </c>
      <c r="M198" s="141" t="n">
        <v>0</v>
      </c>
      <c r="N198" s="141"/>
      <c r="O198" s="141" t="n">
        <v>0.0540384898871601</v>
      </c>
      <c r="P198" s="141" t="n">
        <v>0.123610822820704</v>
      </c>
      <c r="Q198" s="141" t="n">
        <v>1</v>
      </c>
    </row>
    <row r="199" customFormat="false" ht="12.8" hidden="false" customHeight="false" outlineLevel="0" collapsed="false">
      <c r="A199" s="11" t="n">
        <v>197</v>
      </c>
      <c r="B199" s="141" t="s">
        <v>687</v>
      </c>
      <c r="C199" s="141" t="n">
        <v>0</v>
      </c>
      <c r="D199" s="141" t="s">
        <v>682</v>
      </c>
      <c r="E199" s="141" t="n">
        <v>-20</v>
      </c>
      <c r="F199" s="141" t="n">
        <v>-10</v>
      </c>
      <c r="G199" s="141" t="n">
        <v>42</v>
      </c>
      <c r="H199" s="141" t="n">
        <v>60</v>
      </c>
      <c r="I199" s="141" t="n">
        <v>0</v>
      </c>
      <c r="J199" s="141" t="n">
        <v>4</v>
      </c>
      <c r="K199" s="141"/>
      <c r="L199" s="141" t="n">
        <v>0.481352780425484</v>
      </c>
      <c r="M199" s="141" t="n">
        <v>0</v>
      </c>
      <c r="N199" s="141"/>
      <c r="O199" s="141" t="n">
        <v>0.0541228766395839</v>
      </c>
      <c r="P199" s="141" t="n">
        <v>0.123813223271004</v>
      </c>
      <c r="Q199" s="141" t="n">
        <v>1</v>
      </c>
    </row>
    <row r="200" customFormat="false" ht="12.8" hidden="false" customHeight="false" outlineLevel="0" collapsed="false">
      <c r="A200" s="11" t="n">
        <v>198</v>
      </c>
      <c r="B200" s="141" t="s">
        <v>688</v>
      </c>
      <c r="C200" s="141" t="n">
        <v>1</v>
      </c>
      <c r="D200" s="141" t="s">
        <v>682</v>
      </c>
      <c r="E200" s="141" t="n">
        <v>-20</v>
      </c>
      <c r="F200" s="141" t="n">
        <v>-10</v>
      </c>
      <c r="G200" s="141" t="n">
        <v>42</v>
      </c>
      <c r="H200" s="141" t="n">
        <v>60</v>
      </c>
      <c r="I200" s="141" t="n">
        <v>0</v>
      </c>
      <c r="J200" s="141" t="n">
        <v>4</v>
      </c>
      <c r="K200" s="141" t="n">
        <v>0.222924752120656</v>
      </c>
      <c r="L200" s="141" t="n">
        <v>0.505178349705098</v>
      </c>
      <c r="M200" s="141" t="n">
        <v>0</v>
      </c>
      <c r="N200" s="141" t="n">
        <v>0.194598341331489</v>
      </c>
      <c r="O200" s="141" t="n">
        <v>0.0716366961892641</v>
      </c>
      <c r="P200" s="141" t="n">
        <v>0.164272831985396</v>
      </c>
      <c r="Q200" s="141" t="n">
        <v>0</v>
      </c>
    </row>
    <row r="201" customFormat="false" ht="12.8" hidden="false" customHeight="false" outlineLevel="0" collapsed="false">
      <c r="A201" s="11" t="n">
        <v>199</v>
      </c>
      <c r="B201" s="141" t="s">
        <v>689</v>
      </c>
      <c r="C201" s="141" t="n">
        <v>1</v>
      </c>
      <c r="D201" s="141" t="s">
        <v>682</v>
      </c>
      <c r="E201" s="141" t="n">
        <v>-20</v>
      </c>
      <c r="F201" s="141" t="n">
        <v>-10</v>
      </c>
      <c r="G201" s="141" t="n">
        <v>42</v>
      </c>
      <c r="H201" s="141" t="n">
        <v>60</v>
      </c>
      <c r="I201" s="141" t="n">
        <v>0</v>
      </c>
      <c r="J201" s="141" t="n">
        <v>4</v>
      </c>
      <c r="K201" s="141" t="n">
        <v>0.23162013567108</v>
      </c>
      <c r="L201" s="141" t="n">
        <v>0.508731054334927</v>
      </c>
      <c r="M201" s="141" t="n">
        <v>0</v>
      </c>
      <c r="N201" s="141" t="n">
        <v>0.202537858050511</v>
      </c>
      <c r="O201" s="141" t="n">
        <v>0.0743521260323137</v>
      </c>
      <c r="P201" s="141" t="n">
        <v>0.170305889895313</v>
      </c>
      <c r="Q201" s="141" t="n">
        <v>0</v>
      </c>
    </row>
    <row r="202" customFormat="false" ht="12.8" hidden="false" customHeight="false" outlineLevel="0" collapsed="false">
      <c r="A202" s="11" t="n">
        <v>200</v>
      </c>
      <c r="B202" s="141" t="s">
        <v>690</v>
      </c>
      <c r="C202" s="141" t="n">
        <v>0</v>
      </c>
      <c r="D202" s="141" t="s">
        <v>682</v>
      </c>
      <c r="E202" s="141" t="n">
        <v>-20</v>
      </c>
      <c r="F202" s="141" t="n">
        <v>-10</v>
      </c>
      <c r="G202" s="141" t="n">
        <v>42</v>
      </c>
      <c r="H202" s="141" t="n">
        <v>60</v>
      </c>
      <c r="I202" s="141" t="n">
        <v>0</v>
      </c>
      <c r="J202" s="141" t="n">
        <v>4</v>
      </c>
      <c r="K202" s="141"/>
      <c r="L202" s="141" t="n">
        <v>0.45216041293095</v>
      </c>
      <c r="M202" s="141" t="n">
        <v>0</v>
      </c>
      <c r="N202" s="141"/>
      <c r="O202" s="141" t="n">
        <v>0.0345396544271367</v>
      </c>
      <c r="P202" s="141" t="n">
        <v>0.0742399370080752</v>
      </c>
      <c r="Q202" s="141" t="n">
        <v>1</v>
      </c>
    </row>
    <row r="203" customFormat="false" ht="12.8" hidden="false" customHeight="false" outlineLevel="0" collapsed="false">
      <c r="A203" s="11" t="n">
        <v>201</v>
      </c>
      <c r="B203" s="141" t="s">
        <v>691</v>
      </c>
      <c r="C203" s="141" t="n">
        <v>0</v>
      </c>
      <c r="D203" s="141" t="s">
        <v>682</v>
      </c>
      <c r="E203" s="141" t="n">
        <v>-20</v>
      </c>
      <c r="F203" s="141" t="n">
        <v>-10</v>
      </c>
      <c r="G203" s="141" t="n">
        <v>42</v>
      </c>
      <c r="H203" s="141" t="n">
        <v>60</v>
      </c>
      <c r="I203" s="141" t="n">
        <v>0</v>
      </c>
      <c r="J203" s="141" t="n">
        <v>4</v>
      </c>
      <c r="K203" s="141"/>
      <c r="L203" s="141" t="n">
        <v>0.46240172558585</v>
      </c>
      <c r="M203" s="141" t="n">
        <v>0</v>
      </c>
      <c r="N203" s="141"/>
      <c r="O203" s="141" t="n">
        <v>0.0411500140351632</v>
      </c>
      <c r="P203" s="141" t="n">
        <v>0.0916313159034177</v>
      </c>
      <c r="Q203" s="141" t="n">
        <v>1</v>
      </c>
    </row>
    <row r="204" customFormat="false" ht="12.8" hidden="false" customHeight="false" outlineLevel="0" collapsed="false">
      <c r="A204" s="11" t="n">
        <v>202</v>
      </c>
      <c r="B204" s="141" t="s">
        <v>692</v>
      </c>
      <c r="C204" s="141" t="n">
        <v>1</v>
      </c>
      <c r="D204" s="141" t="s">
        <v>682</v>
      </c>
      <c r="E204" s="141" t="n">
        <v>-20</v>
      </c>
      <c r="F204" s="141" t="n">
        <v>-10</v>
      </c>
      <c r="G204" s="141" t="n">
        <v>42</v>
      </c>
      <c r="H204" s="141" t="n">
        <v>60</v>
      </c>
      <c r="I204" s="141" t="n">
        <v>0</v>
      </c>
      <c r="J204" s="141" t="n">
        <v>4</v>
      </c>
      <c r="K204" s="141" t="n">
        <v>0.136572665805791</v>
      </c>
      <c r="L204" s="141" t="n">
        <v>0.478750809600892</v>
      </c>
      <c r="M204" s="141" t="n">
        <v>0</v>
      </c>
      <c r="N204" s="141" t="n">
        <v>0.117174982806522</v>
      </c>
      <c r="O204" s="141" t="n">
        <v>0.0522883868833832</v>
      </c>
      <c r="P204" s="141" t="n">
        <v>0.119394662681171</v>
      </c>
      <c r="Q204" s="141" t="n">
        <v>0</v>
      </c>
    </row>
    <row r="205" customFormat="false" ht="12.8" hidden="false" customHeight="false" outlineLevel="0" collapsed="false">
      <c r="A205" s="11" t="n">
        <v>203</v>
      </c>
      <c r="B205" s="141" t="s">
        <v>693</v>
      </c>
      <c r="C205" s="141" t="n">
        <v>1</v>
      </c>
      <c r="D205" s="141" t="s">
        <v>682</v>
      </c>
      <c r="E205" s="141" t="n">
        <v>-20</v>
      </c>
      <c r="F205" s="141" t="n">
        <v>-10</v>
      </c>
      <c r="G205" s="141" t="n">
        <v>42</v>
      </c>
      <c r="H205" s="141" t="n">
        <v>60</v>
      </c>
      <c r="I205" s="141" t="n">
        <v>0</v>
      </c>
      <c r="J205" s="141" t="n">
        <v>4</v>
      </c>
      <c r="K205" s="141" t="n">
        <v>0.153437066596555</v>
      </c>
      <c r="L205" s="141" t="n">
        <v>0.484003635798093</v>
      </c>
      <c r="M205" s="141" t="n">
        <v>0</v>
      </c>
      <c r="N205" s="141" t="n">
        <v>0.132092535020724</v>
      </c>
      <c r="O205" s="141" t="n">
        <v>0.0560084075346229</v>
      </c>
      <c r="P205" s="141" t="n">
        <v>0.128314797603835</v>
      </c>
      <c r="Q205" s="141" t="n">
        <v>0</v>
      </c>
    </row>
    <row r="206" customFormat="false" ht="12.8" hidden="false" customHeight="false" outlineLevel="0" collapsed="false">
      <c r="A206" s="11" t="n">
        <v>204</v>
      </c>
      <c r="B206" s="141" t="s">
        <v>694</v>
      </c>
      <c r="C206" s="141" t="n">
        <v>0</v>
      </c>
      <c r="D206" s="141" t="s">
        <v>682</v>
      </c>
      <c r="E206" s="141" t="n">
        <v>-20</v>
      </c>
      <c r="F206" s="141" t="n">
        <v>-10</v>
      </c>
      <c r="G206" s="141" t="n">
        <v>42</v>
      </c>
      <c r="H206" s="141" t="n">
        <v>60</v>
      </c>
      <c r="I206" s="141" t="n">
        <v>0</v>
      </c>
      <c r="J206" s="141" t="n">
        <v>4</v>
      </c>
      <c r="K206" s="141"/>
      <c r="L206" s="141" t="n">
        <v>0.443476675770763</v>
      </c>
      <c r="M206" s="141" t="n">
        <v>0</v>
      </c>
      <c r="N206" s="141"/>
      <c r="O206" s="141" t="n">
        <v>0.029176707449552</v>
      </c>
      <c r="P206" s="141" t="n">
        <v>0.0594935692064713</v>
      </c>
      <c r="Q206" s="141" t="n">
        <v>1</v>
      </c>
    </row>
    <row r="207" customFormat="false" ht="12.8" hidden="false" customHeight="false" outlineLevel="0" collapsed="false">
      <c r="A207" s="11" t="n">
        <v>205</v>
      </c>
      <c r="B207" s="141" t="s">
        <v>695</v>
      </c>
      <c r="C207" s="141" t="n">
        <v>0</v>
      </c>
      <c r="D207" s="141" t="s">
        <v>682</v>
      </c>
      <c r="E207" s="141" t="n">
        <v>-20</v>
      </c>
      <c r="F207" s="141" t="n">
        <v>-10</v>
      </c>
      <c r="G207" s="141" t="n">
        <v>42</v>
      </c>
      <c r="H207" s="141" t="n">
        <v>60</v>
      </c>
      <c r="I207" s="141" t="n">
        <v>0</v>
      </c>
      <c r="J207" s="141" t="n">
        <v>4</v>
      </c>
      <c r="K207" s="141"/>
      <c r="L207" s="141" t="n">
        <v>0.446842616413284</v>
      </c>
      <c r="M207" s="141" t="n">
        <v>0</v>
      </c>
      <c r="N207" s="141"/>
      <c r="O207" s="141" t="n">
        <v>0.0312280238741957</v>
      </c>
      <c r="P207" s="141" t="n">
        <v>0.0652094721405847</v>
      </c>
      <c r="Q207" s="141" t="n">
        <v>1</v>
      </c>
    </row>
    <row r="208" customFormat="false" ht="12.8" hidden="false" customHeight="false" outlineLevel="0" collapsed="false">
      <c r="A208" s="11" t="n">
        <v>206</v>
      </c>
      <c r="B208" s="141" t="s">
        <v>696</v>
      </c>
      <c r="C208" s="141" t="n">
        <v>1</v>
      </c>
      <c r="D208" s="141" t="s">
        <v>682</v>
      </c>
      <c r="E208" s="141" t="n">
        <v>-20</v>
      </c>
      <c r="F208" s="141" t="n">
        <v>-10</v>
      </c>
      <c r="G208" s="141" t="n">
        <v>42</v>
      </c>
      <c r="H208" s="141" t="n">
        <v>60</v>
      </c>
      <c r="I208" s="141" t="n">
        <v>0</v>
      </c>
      <c r="J208" s="141" t="n">
        <v>4</v>
      </c>
      <c r="K208" s="141" t="n">
        <v>0.0891286241386439</v>
      </c>
      <c r="L208" s="141" t="n">
        <v>0.460636982646055</v>
      </c>
      <c r="M208" s="141" t="n">
        <v>0</v>
      </c>
      <c r="N208" s="141" t="n">
        <v>0.0757366910062295</v>
      </c>
      <c r="O208" s="141" t="n">
        <v>0.0399898667809777</v>
      </c>
      <c r="P208" s="141" t="n">
        <v>0.0886345015151602</v>
      </c>
      <c r="Q208" s="141" t="n">
        <v>0</v>
      </c>
    </row>
    <row r="209" customFormat="false" ht="12.8" hidden="false" customHeight="false" outlineLevel="0" collapsed="false">
      <c r="A209" s="11" t="n">
        <v>207</v>
      </c>
      <c r="B209" s="141" t="s">
        <v>697</v>
      </c>
      <c r="C209" s="141" t="n">
        <v>1</v>
      </c>
      <c r="D209" s="141" t="s">
        <v>682</v>
      </c>
      <c r="E209" s="141" t="n">
        <v>-20</v>
      </c>
      <c r="F209" s="141" t="n">
        <v>-10</v>
      </c>
      <c r="G209" s="141" t="n">
        <v>42</v>
      </c>
      <c r="H209" s="141" t="n">
        <v>60</v>
      </c>
      <c r="I209" s="141" t="n">
        <v>0</v>
      </c>
      <c r="J209" s="141" t="n">
        <v>4</v>
      </c>
      <c r="K209" s="141" t="n">
        <v>0.0849369920806899</v>
      </c>
      <c r="L209" s="141" t="n">
        <v>0.461671949891058</v>
      </c>
      <c r="M209" s="141" t="n">
        <v>0</v>
      </c>
      <c r="N209" s="141" t="n">
        <v>0.0721131694046094</v>
      </c>
      <c r="O209" s="141" t="n">
        <v>0.0406692187654195</v>
      </c>
      <c r="P209" s="141" t="n">
        <v>0.0903920406225613</v>
      </c>
      <c r="Q209" s="141" t="n">
        <v>0</v>
      </c>
    </row>
    <row r="210" customFormat="false" ht="12.8" hidden="false" customHeight="false" outlineLevel="0" collapsed="false">
      <c r="A210" s="11" t="n">
        <v>208</v>
      </c>
      <c r="B210" s="141" t="s">
        <v>698</v>
      </c>
      <c r="C210" s="141" t="n">
        <v>0</v>
      </c>
      <c r="D210" s="141" t="s">
        <v>682</v>
      </c>
      <c r="E210" s="141" t="n">
        <v>-20</v>
      </c>
      <c r="F210" s="141" t="n">
        <v>-10</v>
      </c>
      <c r="G210" s="141" t="n">
        <v>42</v>
      </c>
      <c r="H210" s="141" t="n">
        <v>60</v>
      </c>
      <c r="I210" s="141" t="n">
        <v>0</v>
      </c>
      <c r="J210" s="141" t="n">
        <v>4</v>
      </c>
      <c r="K210" s="141"/>
      <c r="L210" s="141" t="n">
        <v>0.461902701800452</v>
      </c>
      <c r="M210" s="141" t="n">
        <v>0</v>
      </c>
      <c r="N210" s="141"/>
      <c r="O210" s="141" t="n">
        <v>0.0408210863136342</v>
      </c>
      <c r="P210" s="141" t="n">
        <v>0.0907838940911855</v>
      </c>
      <c r="Q210" s="141" t="n">
        <v>1</v>
      </c>
    </row>
    <row r="211" customFormat="false" ht="12.8" hidden="false" customHeight="false" outlineLevel="0" collapsed="false">
      <c r="A211" s="11" t="n">
        <v>209</v>
      </c>
      <c r="B211" s="141" t="s">
        <v>699</v>
      </c>
      <c r="C211" s="141" t="n">
        <v>0</v>
      </c>
      <c r="D211" s="141" t="s">
        <v>682</v>
      </c>
      <c r="E211" s="141" t="n">
        <v>-20</v>
      </c>
      <c r="F211" s="141" t="n">
        <v>-10</v>
      </c>
      <c r="G211" s="141" t="n">
        <v>42</v>
      </c>
      <c r="H211" s="141" t="n">
        <v>60</v>
      </c>
      <c r="I211" s="141" t="n">
        <v>0</v>
      </c>
      <c r="J211" s="141" t="n">
        <v>4</v>
      </c>
      <c r="K211" s="141"/>
      <c r="L211" s="141" t="n">
        <v>0.460599945116794</v>
      </c>
      <c r="M211" s="141" t="n">
        <v>0</v>
      </c>
      <c r="N211" s="141"/>
      <c r="O211" s="141" t="n">
        <v>0.0399656102095572</v>
      </c>
      <c r="P211" s="141" t="n">
        <v>0.0885716058955807</v>
      </c>
      <c r="Q211" s="141" t="n">
        <v>1</v>
      </c>
    </row>
    <row r="212" customFormat="false" ht="12.8" hidden="false" customHeight="false" outlineLevel="0" collapsed="false">
      <c r="A212" s="11" t="n">
        <v>210</v>
      </c>
      <c r="B212" s="141" t="s">
        <v>700</v>
      </c>
      <c r="C212" s="141" t="n">
        <v>1</v>
      </c>
      <c r="D212" s="141" t="s">
        <v>682</v>
      </c>
      <c r="E212" s="141" t="n">
        <v>-20</v>
      </c>
      <c r="F212" s="141" t="n">
        <v>-10</v>
      </c>
      <c r="G212" s="141" t="n">
        <v>42</v>
      </c>
      <c r="H212" s="141" t="n">
        <v>60</v>
      </c>
      <c r="I212" s="141" t="n">
        <v>0</v>
      </c>
      <c r="J212" s="141" t="n">
        <v>4</v>
      </c>
      <c r="K212" s="141" t="n">
        <v>0.0734281067397224</v>
      </c>
      <c r="L212" s="141" t="n">
        <v>0.456625512542544</v>
      </c>
      <c r="M212" s="141" t="n">
        <v>0</v>
      </c>
      <c r="N212" s="141" t="n">
        <v>0.062195448785681</v>
      </c>
      <c r="O212" s="141" t="n">
        <v>0.0373849872545612</v>
      </c>
      <c r="P212" s="141" t="n">
        <v>0.0818223868138163</v>
      </c>
      <c r="Q212" s="141" t="n">
        <v>1</v>
      </c>
    </row>
    <row r="213" customFormat="false" ht="12.8" hidden="false" customHeight="false" outlineLevel="0" collapsed="false">
      <c r="A213" s="11" t="n">
        <v>211</v>
      </c>
      <c r="B213" s="141" t="s">
        <v>701</v>
      </c>
      <c r="C213" s="141" t="n">
        <v>1</v>
      </c>
      <c r="D213" s="141" t="s">
        <v>682</v>
      </c>
      <c r="E213" s="141" t="n">
        <v>-20</v>
      </c>
      <c r="F213" s="141" t="n">
        <v>-10</v>
      </c>
      <c r="G213" s="141" t="n">
        <v>42</v>
      </c>
      <c r="H213" s="141" t="n">
        <v>60</v>
      </c>
      <c r="I213" s="141" t="n">
        <v>0</v>
      </c>
      <c r="J213" s="141" t="n">
        <v>4</v>
      </c>
      <c r="K213" s="141" t="n">
        <v>0.0750340535346975</v>
      </c>
      <c r="L213" s="141" t="n">
        <v>0.459037894006642</v>
      </c>
      <c r="M213" s="141" t="n">
        <v>0</v>
      </c>
      <c r="N213" s="141" t="n">
        <v>0.0635766087865988</v>
      </c>
      <c r="O213" s="141" t="n">
        <v>0.0389460671479381</v>
      </c>
      <c r="P213" s="141" t="n">
        <v>0.0859189944944875</v>
      </c>
      <c r="Q213" s="141" t="n">
        <v>1</v>
      </c>
    </row>
    <row r="214" customFormat="false" ht="12.8" hidden="false" customHeight="false" outlineLevel="0" collapsed="false">
      <c r="A214" s="11" t="n">
        <v>212</v>
      </c>
      <c r="B214" s="141" t="s">
        <v>702</v>
      </c>
      <c r="C214" s="141" t="n">
        <v>0</v>
      </c>
      <c r="D214" s="141" t="s">
        <v>682</v>
      </c>
      <c r="E214" s="141" t="n">
        <v>-20</v>
      </c>
      <c r="F214" s="141" t="n">
        <v>-10</v>
      </c>
      <c r="G214" s="141" t="n">
        <v>42</v>
      </c>
      <c r="H214" s="141" t="n">
        <v>60</v>
      </c>
      <c r="I214" s="141" t="n">
        <v>0</v>
      </c>
      <c r="J214" s="141" t="n">
        <v>4</v>
      </c>
      <c r="K214" s="141"/>
      <c r="L214" s="141" t="n">
        <v>0.468923371773449</v>
      </c>
      <c r="M214" s="141" t="n">
        <v>0</v>
      </c>
      <c r="N214" s="141"/>
      <c r="O214" s="141" t="n">
        <v>0.0455103368280941</v>
      </c>
      <c r="P214" s="141" t="n">
        <v>0.102706109115168</v>
      </c>
      <c r="Q214" s="141" t="n">
        <v>1</v>
      </c>
    </row>
    <row r="215" customFormat="false" ht="12.8" hidden="false" customHeight="false" outlineLevel="0" collapsed="false">
      <c r="A215" s="11" t="n">
        <v>213</v>
      </c>
      <c r="B215" s="141" t="s">
        <v>703</v>
      </c>
      <c r="C215" s="141" t="n">
        <v>0</v>
      </c>
      <c r="D215" s="141" t="s">
        <v>682</v>
      </c>
      <c r="E215" s="141" t="n">
        <v>-20</v>
      </c>
      <c r="F215" s="141" t="n">
        <v>-10</v>
      </c>
      <c r="G215" s="141" t="n">
        <v>42</v>
      </c>
      <c r="H215" s="141" t="n">
        <v>60</v>
      </c>
      <c r="I215" s="141" t="n">
        <v>0</v>
      </c>
      <c r="J215" s="141" t="n">
        <v>4</v>
      </c>
      <c r="K215" s="141"/>
      <c r="L215" s="141" t="n">
        <v>0.470786090727409</v>
      </c>
      <c r="M215" s="141" t="n">
        <v>0</v>
      </c>
      <c r="N215" s="141"/>
      <c r="O215" s="141" t="n">
        <v>0.0467762988829406</v>
      </c>
      <c r="P215" s="141" t="n">
        <v>0.105869302369341</v>
      </c>
      <c r="Q215" s="141" t="n">
        <v>1</v>
      </c>
    </row>
    <row r="216" customFormat="false" ht="12.8" hidden="false" customHeight="false" outlineLevel="0" collapsed="false">
      <c r="A216" s="11" t="n">
        <v>214</v>
      </c>
      <c r="B216" s="141" t="s">
        <v>704</v>
      </c>
      <c r="C216" s="141" t="n">
        <v>1</v>
      </c>
      <c r="D216" s="141" t="s">
        <v>682</v>
      </c>
      <c r="E216" s="141" t="n">
        <v>-20</v>
      </c>
      <c r="F216" s="141" t="n">
        <v>-10</v>
      </c>
      <c r="G216" s="141" t="n">
        <v>42</v>
      </c>
      <c r="H216" s="141" t="n">
        <v>60</v>
      </c>
      <c r="I216" s="141" t="n">
        <v>0</v>
      </c>
      <c r="J216" s="141" t="n">
        <v>4</v>
      </c>
      <c r="K216" s="141" t="n">
        <v>0.242777274447414</v>
      </c>
      <c r="L216" s="141" t="n">
        <v>0.468034697046674</v>
      </c>
      <c r="M216" s="141" t="n">
        <v>0</v>
      </c>
      <c r="N216" s="141" t="n">
        <v>0.212763521575918</v>
      </c>
      <c r="O216" s="141" t="n">
        <v>0.044909540092443</v>
      </c>
      <c r="P216" s="141" t="n">
        <v>0.101196997987634</v>
      </c>
      <c r="Q216" s="141" t="n">
        <v>1</v>
      </c>
    </row>
    <row r="217" customFormat="false" ht="12.8" hidden="false" customHeight="false" outlineLevel="0" collapsed="false">
      <c r="A217" s="11" t="n">
        <v>215</v>
      </c>
      <c r="B217" s="141" t="s">
        <v>705</v>
      </c>
      <c r="C217" s="141" t="n">
        <v>1</v>
      </c>
      <c r="D217" s="141" t="s">
        <v>682</v>
      </c>
      <c r="E217" s="141" t="n">
        <v>-20</v>
      </c>
      <c r="F217" s="141" t="n">
        <v>-10</v>
      </c>
      <c r="G217" s="141" t="n">
        <v>42</v>
      </c>
      <c r="H217" s="141" t="n">
        <v>60</v>
      </c>
      <c r="I217" s="141" t="n">
        <v>0</v>
      </c>
      <c r="J217" s="141" t="n">
        <v>4</v>
      </c>
      <c r="K217" s="141" t="n">
        <v>0.248295936111227</v>
      </c>
      <c r="L217" s="141" t="n">
        <v>0.467070243837909</v>
      </c>
      <c r="M217" s="141" t="n">
        <v>0</v>
      </c>
      <c r="N217" s="141" t="n">
        <v>0.217837395596022</v>
      </c>
      <c r="O217" s="141" t="n">
        <v>0.0442598542912033</v>
      </c>
      <c r="P217" s="141" t="n">
        <v>0.0995592029367796</v>
      </c>
      <c r="Q217" s="141" t="n">
        <v>1</v>
      </c>
    </row>
    <row r="218" customFormat="false" ht="12.8" hidden="false" customHeight="false" outlineLevel="0" collapsed="false">
      <c r="A218" s="11" t="n">
        <v>216</v>
      </c>
      <c r="B218" s="141" t="s">
        <v>706</v>
      </c>
      <c r="C218" s="141" t="n">
        <v>0</v>
      </c>
      <c r="D218" s="141" t="s">
        <v>682</v>
      </c>
      <c r="E218" s="141" t="n">
        <v>-20</v>
      </c>
      <c r="F218" s="141" t="n">
        <v>-10</v>
      </c>
      <c r="G218" s="141" t="n">
        <v>42</v>
      </c>
      <c r="H218" s="141" t="n">
        <v>60</v>
      </c>
      <c r="I218" s="141" t="n">
        <v>0</v>
      </c>
      <c r="J218" s="141" t="n">
        <v>4</v>
      </c>
      <c r="K218" s="141"/>
      <c r="L218" s="141" t="n">
        <v>0.448205411785684</v>
      </c>
      <c r="M218" s="141" t="n">
        <v>0</v>
      </c>
      <c r="N218" s="141"/>
      <c r="O218" s="141" t="n">
        <v>0.0320685370893781</v>
      </c>
      <c r="P218" s="141" t="n">
        <v>0.0675237155854318</v>
      </c>
      <c r="Q218" s="141" t="n">
        <v>1</v>
      </c>
    </row>
    <row r="219" customFormat="false" ht="12.8" hidden="false" customHeight="false" outlineLevel="0" collapsed="false">
      <c r="A219" s="11" t="n">
        <v>217</v>
      </c>
      <c r="B219" s="141" t="s">
        <v>707</v>
      </c>
      <c r="C219" s="141" t="n">
        <v>0</v>
      </c>
      <c r="D219" s="141" t="s">
        <v>682</v>
      </c>
      <c r="E219" s="141" t="n">
        <v>-20</v>
      </c>
      <c r="F219" s="141" t="n">
        <v>-10</v>
      </c>
      <c r="G219" s="141" t="n">
        <v>42</v>
      </c>
      <c r="H219" s="141" t="n">
        <v>60</v>
      </c>
      <c r="I219" s="141" t="n">
        <v>0</v>
      </c>
      <c r="J219" s="141" t="n">
        <v>4</v>
      </c>
      <c r="K219" s="141"/>
      <c r="L219" s="141" t="n">
        <v>0.452328411953932</v>
      </c>
      <c r="M219" s="141" t="n">
        <v>0</v>
      </c>
      <c r="N219" s="141"/>
      <c r="O219" s="141" t="n">
        <v>0.0346456554958805</v>
      </c>
      <c r="P219" s="141" t="n">
        <v>0.0745252260878229</v>
      </c>
      <c r="Q219" s="141" t="n">
        <v>1</v>
      </c>
    </row>
    <row r="220" customFormat="false" ht="12.8" hidden="false" customHeight="false" outlineLevel="0" collapsed="false">
      <c r="A220" s="11" t="n">
        <v>218</v>
      </c>
      <c r="B220" s="141" t="s">
        <v>708</v>
      </c>
      <c r="C220" s="141" t="n">
        <v>1</v>
      </c>
      <c r="D220" s="141" t="s">
        <v>682</v>
      </c>
      <c r="E220" s="141" t="n">
        <v>-20</v>
      </c>
      <c r="F220" s="141" t="n">
        <v>-10</v>
      </c>
      <c r="G220" s="141" t="n">
        <v>42</v>
      </c>
      <c r="H220" s="141" t="n">
        <v>60</v>
      </c>
      <c r="I220" s="141" t="n">
        <v>0</v>
      </c>
      <c r="J220" s="141" t="n">
        <v>4</v>
      </c>
      <c r="K220" s="141" t="n">
        <v>0.146842441028712</v>
      </c>
      <c r="L220" s="141" t="n">
        <v>0.452296338304412</v>
      </c>
      <c r="M220" s="141" t="n">
        <v>0</v>
      </c>
      <c r="N220" s="141" t="n">
        <v>0.126247464891299</v>
      </c>
      <c r="O220" s="141" t="n">
        <v>0.034625411790033</v>
      </c>
      <c r="P220" s="141" t="n">
        <v>0.0744707599260966</v>
      </c>
      <c r="Q220" s="141" t="n">
        <v>1</v>
      </c>
    </row>
    <row r="221" customFormat="false" ht="12.8" hidden="false" customHeight="false" outlineLevel="0" collapsed="false">
      <c r="A221" s="11" t="n">
        <v>219</v>
      </c>
      <c r="B221" s="141" t="s">
        <v>709</v>
      </c>
      <c r="C221" s="141" t="n">
        <v>1</v>
      </c>
      <c r="D221" s="141" t="s">
        <v>682</v>
      </c>
      <c r="E221" s="141" t="n">
        <v>-20</v>
      </c>
      <c r="F221" s="141" t="n">
        <v>-10</v>
      </c>
      <c r="G221" s="141" t="n">
        <v>42</v>
      </c>
      <c r="H221" s="141" t="n">
        <v>60</v>
      </c>
      <c r="I221" s="141" t="n">
        <v>0</v>
      </c>
      <c r="J221" s="141" t="n">
        <v>4</v>
      </c>
      <c r="K221" s="141" t="n">
        <v>0.155651300955779</v>
      </c>
      <c r="L221" s="141" t="n">
        <v>0.449426285085029</v>
      </c>
      <c r="M221" s="141" t="n">
        <v>0</v>
      </c>
      <c r="N221" s="141" t="n">
        <v>0.134058476241289</v>
      </c>
      <c r="O221" s="141" t="n">
        <v>0.0328263287124105</v>
      </c>
      <c r="P221" s="141" t="n">
        <v>0.0695969527619138</v>
      </c>
      <c r="Q221" s="141" t="n">
        <v>1</v>
      </c>
    </row>
    <row r="222" customFormat="false" ht="12.8" hidden="false" customHeight="false" outlineLevel="0" collapsed="false">
      <c r="A222" s="11" t="n">
        <v>220</v>
      </c>
      <c r="B222" s="141" t="s">
        <v>710</v>
      </c>
      <c r="C222" s="141" t="n">
        <v>0</v>
      </c>
      <c r="D222" s="141" t="s">
        <v>682</v>
      </c>
      <c r="E222" s="141" t="n">
        <v>-20</v>
      </c>
      <c r="F222" s="141" t="n">
        <v>-10</v>
      </c>
      <c r="G222" s="141" t="n">
        <v>42</v>
      </c>
      <c r="H222" s="141" t="n">
        <v>60</v>
      </c>
      <c r="I222" s="141" t="n">
        <v>0</v>
      </c>
      <c r="J222" s="141" t="n">
        <v>4</v>
      </c>
      <c r="K222" s="141"/>
      <c r="L222" s="141" t="n">
        <v>0.442528454554695</v>
      </c>
      <c r="M222" s="141" t="n">
        <v>0</v>
      </c>
      <c r="N222" s="141"/>
      <c r="O222" s="141" t="n">
        <v>0.0286052599004024</v>
      </c>
      <c r="P222" s="141" t="n">
        <v>0.0578833386626986</v>
      </c>
      <c r="Q222" s="141" t="n">
        <v>1</v>
      </c>
    </row>
    <row r="223" customFormat="false" ht="12.8" hidden="false" customHeight="false" outlineLevel="0" collapsed="false">
      <c r="A223" s="11" t="n">
        <v>221</v>
      </c>
      <c r="B223" s="141" t="s">
        <v>711</v>
      </c>
      <c r="C223" s="141" t="n">
        <v>0</v>
      </c>
      <c r="D223" s="141" t="s">
        <v>682</v>
      </c>
      <c r="E223" s="141" t="n">
        <v>-20</v>
      </c>
      <c r="F223" s="141" t="n">
        <v>-10</v>
      </c>
      <c r="G223" s="141" t="n">
        <v>42</v>
      </c>
      <c r="H223" s="141" t="n">
        <v>60</v>
      </c>
      <c r="I223" s="141" t="n">
        <v>0</v>
      </c>
      <c r="J223" s="141" t="n">
        <v>4</v>
      </c>
      <c r="K223" s="141"/>
      <c r="L223" s="141" t="n">
        <v>0.447364730069519</v>
      </c>
      <c r="M223" s="141" t="n">
        <v>0</v>
      </c>
      <c r="N223" s="141"/>
      <c r="O223" s="141" t="n">
        <v>0.0315493680925406</v>
      </c>
      <c r="P223" s="141" t="n">
        <v>0.0660961042284808</v>
      </c>
      <c r="Q223" s="141" t="n">
        <v>1</v>
      </c>
    </row>
    <row r="224" customFormat="false" ht="12.8" hidden="false" customHeight="false" outlineLevel="0" collapsed="false">
      <c r="A224" s="11" t="n">
        <v>222</v>
      </c>
      <c r="B224" s="141" t="s">
        <v>712</v>
      </c>
      <c r="C224" s="141" t="n">
        <v>1</v>
      </c>
      <c r="D224" s="141" t="s">
        <v>682</v>
      </c>
      <c r="E224" s="141" t="n">
        <v>-20</v>
      </c>
      <c r="F224" s="141" t="n">
        <v>-10</v>
      </c>
      <c r="G224" s="141" t="n">
        <v>42</v>
      </c>
      <c r="H224" s="141" t="n">
        <v>60</v>
      </c>
      <c r="I224" s="141" t="n">
        <v>0</v>
      </c>
      <c r="J224" s="141" t="n">
        <v>4</v>
      </c>
      <c r="K224" s="141" t="n">
        <v>0.0777530685732763</v>
      </c>
      <c r="L224" s="141" t="n">
        <v>0.459209224955005</v>
      </c>
      <c r="M224" s="141" t="n">
        <v>0</v>
      </c>
      <c r="N224" s="141" t="n">
        <v>0.0659170771359391</v>
      </c>
      <c r="O224" s="141" t="n">
        <v>0.0390575614730799</v>
      </c>
      <c r="P224" s="141" t="n">
        <v>0.0862099417138424</v>
      </c>
      <c r="Q224" s="141" t="n">
        <v>0</v>
      </c>
    </row>
    <row r="225" customFormat="false" ht="12.8" hidden="false" customHeight="false" outlineLevel="0" collapsed="false">
      <c r="A225" s="11" t="n">
        <v>223</v>
      </c>
      <c r="B225" s="141" t="s">
        <v>713</v>
      </c>
      <c r="C225" s="141" t="n">
        <v>1</v>
      </c>
      <c r="D225" s="141" t="s">
        <v>682</v>
      </c>
      <c r="E225" s="141" t="n">
        <v>-20</v>
      </c>
      <c r="F225" s="141" t="n">
        <v>-10</v>
      </c>
      <c r="G225" s="141" t="n">
        <v>42</v>
      </c>
      <c r="H225" s="141" t="n">
        <v>60</v>
      </c>
      <c r="I225" s="141" t="n">
        <v>0</v>
      </c>
      <c r="J225" s="141" t="n">
        <v>4</v>
      </c>
      <c r="K225" s="141" t="n">
        <v>0.0652726512611715</v>
      </c>
      <c r="L225" s="141" t="n">
        <v>0.456881772550625</v>
      </c>
      <c r="M225" s="141" t="n">
        <v>0</v>
      </c>
      <c r="N225" s="141" t="n">
        <v>0.0551953208903568</v>
      </c>
      <c r="O225" s="141" t="n">
        <v>0.0375500324511232</v>
      </c>
      <c r="P225" s="141" t="n">
        <v>0.0822575570938803</v>
      </c>
      <c r="Q225" s="141" t="n">
        <v>0</v>
      </c>
    </row>
    <row r="226" customFormat="false" ht="12.8" hidden="false" customHeight="false" outlineLevel="0" collapsed="false">
      <c r="A226" s="11" t="n">
        <v>224</v>
      </c>
      <c r="B226" s="141" t="s">
        <v>714</v>
      </c>
      <c r="C226" s="141" t="n">
        <v>0</v>
      </c>
      <c r="D226" s="141" t="s">
        <v>682</v>
      </c>
      <c r="E226" s="141" t="n">
        <v>-20</v>
      </c>
      <c r="F226" s="141" t="n">
        <v>-10</v>
      </c>
      <c r="G226" s="141" t="n">
        <v>42</v>
      </c>
      <c r="H226" s="141" t="n">
        <v>60</v>
      </c>
      <c r="I226" s="141" t="n">
        <v>0</v>
      </c>
      <c r="J226" s="141" t="n">
        <v>4</v>
      </c>
      <c r="K226" s="141"/>
      <c r="L226" s="141" t="n">
        <v>0.44686048284695</v>
      </c>
      <c r="M226" s="141" t="n">
        <v>0</v>
      </c>
      <c r="N226" s="141"/>
      <c r="O226" s="141" t="n">
        <v>0.0312390062317472</v>
      </c>
      <c r="P226" s="141" t="n">
        <v>0.0652398121885717</v>
      </c>
      <c r="Q226" s="141" t="n">
        <v>1</v>
      </c>
    </row>
    <row r="227" customFormat="false" ht="12.8" hidden="false" customHeight="false" outlineLevel="0" collapsed="false">
      <c r="A227" s="11" t="n">
        <v>225</v>
      </c>
      <c r="B227" s="141" t="s">
        <v>715</v>
      </c>
      <c r="C227" s="141" t="n">
        <v>0</v>
      </c>
      <c r="D227" s="141" t="s">
        <v>682</v>
      </c>
      <c r="E227" s="141" t="n">
        <v>-20</v>
      </c>
      <c r="F227" s="141" t="n">
        <v>-10</v>
      </c>
      <c r="G227" s="141" t="n">
        <v>42</v>
      </c>
      <c r="H227" s="141" t="n">
        <v>60</v>
      </c>
      <c r="I227" s="141" t="n">
        <v>0</v>
      </c>
      <c r="J227" s="141" t="n">
        <v>4</v>
      </c>
      <c r="K227" s="141"/>
      <c r="L227" s="141" t="n">
        <v>0.448739720321028</v>
      </c>
      <c r="M227" s="141" t="n">
        <v>0</v>
      </c>
      <c r="N227" s="141"/>
      <c r="O227" s="141" t="n">
        <v>0.0323996238533498</v>
      </c>
      <c r="P227" s="141" t="n">
        <v>0.068431056518991</v>
      </c>
      <c r="Q227" s="141" t="n">
        <v>1</v>
      </c>
    </row>
    <row r="228" customFormat="false" ht="12.8" hidden="false" customHeight="false" outlineLevel="0" collapsed="false">
      <c r="A228" s="11" t="n">
        <v>226</v>
      </c>
      <c r="B228" s="141" t="s">
        <v>716</v>
      </c>
      <c r="C228" s="141" t="n">
        <v>1</v>
      </c>
      <c r="D228" s="141" t="s">
        <v>682</v>
      </c>
      <c r="E228" s="141" t="n">
        <v>-20</v>
      </c>
      <c r="F228" s="141" t="n">
        <v>-10</v>
      </c>
      <c r="G228" s="141" t="n">
        <v>42</v>
      </c>
      <c r="H228" s="141" t="n">
        <v>60</v>
      </c>
      <c r="I228" s="141" t="n">
        <v>0</v>
      </c>
      <c r="J228" s="141" t="n">
        <v>4</v>
      </c>
      <c r="K228" s="141" t="n">
        <v>0.105729718412897</v>
      </c>
      <c r="L228" s="141" t="n">
        <v>0.456806358883385</v>
      </c>
      <c r="M228" s="141" t="n">
        <v>0</v>
      </c>
      <c r="N228" s="141" t="n">
        <v>0.0901475854944176</v>
      </c>
      <c r="O228" s="141" t="n">
        <v>0.0375014425498172</v>
      </c>
      <c r="P228" s="141" t="n">
        <v>0.0821294926840677</v>
      </c>
      <c r="Q228" s="141" t="n">
        <v>0</v>
      </c>
    </row>
    <row r="229" customFormat="false" ht="12.8" hidden="false" customHeight="false" outlineLevel="0" collapsed="false">
      <c r="A229" s="11" t="n">
        <v>227</v>
      </c>
      <c r="B229" s="141" t="s">
        <v>717</v>
      </c>
      <c r="C229" s="141" t="n">
        <v>1</v>
      </c>
      <c r="D229" s="141" t="s">
        <v>682</v>
      </c>
      <c r="E229" s="141" t="n">
        <v>-20</v>
      </c>
      <c r="F229" s="141" t="n">
        <v>-10</v>
      </c>
      <c r="G229" s="141" t="n">
        <v>42</v>
      </c>
      <c r="H229" s="141" t="n">
        <v>60</v>
      </c>
      <c r="I229" s="141" t="n">
        <v>0</v>
      </c>
      <c r="J229" s="141" t="n">
        <v>4</v>
      </c>
      <c r="K229" s="141" t="n">
        <v>0.0963826710845478</v>
      </c>
      <c r="L229" s="141" t="n">
        <v>0.459691842254526</v>
      </c>
      <c r="M229" s="141" t="n">
        <v>0</v>
      </c>
      <c r="N229" s="141" t="n">
        <v>0.0820219535079967</v>
      </c>
      <c r="O229" s="141" t="n">
        <v>0.0393720681674271</v>
      </c>
      <c r="P229" s="141" t="n">
        <v>0.0870295027017991</v>
      </c>
      <c r="Q229" s="141" t="n">
        <v>0</v>
      </c>
    </row>
    <row r="230" customFormat="false" ht="12.8" hidden="false" customHeight="false" outlineLevel="0" collapsed="false">
      <c r="A230" s="11" t="n">
        <v>228</v>
      </c>
      <c r="B230" s="141" t="s">
        <v>718</v>
      </c>
      <c r="C230" s="141" t="n">
        <v>1</v>
      </c>
      <c r="D230" s="141" t="s">
        <v>682</v>
      </c>
      <c r="E230" s="141" t="n">
        <v>-20</v>
      </c>
      <c r="F230" s="141" t="n">
        <v>-10</v>
      </c>
      <c r="G230" s="141" t="n">
        <v>42</v>
      </c>
      <c r="H230" s="141" t="n">
        <v>60</v>
      </c>
      <c r="I230" s="141" t="n">
        <v>0</v>
      </c>
      <c r="J230" s="141" t="n">
        <v>4</v>
      </c>
      <c r="K230" s="141" t="n">
        <v>0.0509737833293356</v>
      </c>
      <c r="L230" s="141" t="n">
        <v>0.457363635387435</v>
      </c>
      <c r="M230" s="141" t="n">
        <v>0</v>
      </c>
      <c r="N230" s="141" t="n">
        <v>0.0429777174291755</v>
      </c>
      <c r="O230" s="141" t="n">
        <v>0.03786088456333</v>
      </c>
      <c r="P230" s="141" t="n">
        <v>0.0830758368840734</v>
      </c>
      <c r="Q230" s="141" t="n">
        <v>0</v>
      </c>
    </row>
    <row r="231" customFormat="false" ht="12.8" hidden="false" customHeight="false" outlineLevel="0" collapsed="false">
      <c r="A231" s="11" t="n">
        <v>229</v>
      </c>
      <c r="B231" s="141" t="s">
        <v>719</v>
      </c>
      <c r="C231" s="141" t="n">
        <v>0</v>
      </c>
      <c r="D231" s="141" t="s">
        <v>682</v>
      </c>
      <c r="E231" s="141" t="n">
        <v>-20</v>
      </c>
      <c r="F231" s="141" t="n">
        <v>-10</v>
      </c>
      <c r="G231" s="141" t="n">
        <v>42</v>
      </c>
      <c r="H231" s="141" t="n">
        <v>60</v>
      </c>
      <c r="I231" s="141" t="n">
        <v>0</v>
      </c>
      <c r="J231" s="141" t="n">
        <v>4</v>
      </c>
      <c r="K231" s="141"/>
      <c r="L231" s="141"/>
      <c r="M231" s="141" t="n">
        <v>0</v>
      </c>
      <c r="N231" s="141"/>
      <c r="O231" s="141"/>
      <c r="P231" s="141"/>
      <c r="Q231" s="141" t="n">
        <v>0</v>
      </c>
    </row>
    <row r="232" customFormat="false" ht="12.8" hidden="false" customHeight="false" outlineLevel="0" collapsed="false">
      <c r="A232" s="11" t="n">
        <v>230</v>
      </c>
      <c r="B232" s="141" t="s">
        <v>720</v>
      </c>
      <c r="C232" s="141" t="n">
        <v>0</v>
      </c>
      <c r="D232" s="141" t="s">
        <v>682</v>
      </c>
      <c r="E232" s="141" t="n">
        <v>-20</v>
      </c>
      <c r="F232" s="141" t="n">
        <v>-10</v>
      </c>
      <c r="G232" s="141" t="n">
        <v>42</v>
      </c>
      <c r="H232" s="141" t="n">
        <v>60</v>
      </c>
      <c r="I232" s="141" t="n">
        <v>0</v>
      </c>
      <c r="J232" s="141" t="n">
        <v>4</v>
      </c>
      <c r="K232" s="141"/>
      <c r="L232" s="141" t="n">
        <v>0.462461183342639</v>
      </c>
      <c r="M232" s="141" t="n">
        <v>0</v>
      </c>
      <c r="N232" s="141"/>
      <c r="O232" s="141" t="n">
        <v>0.0411892505851652</v>
      </c>
      <c r="P232" s="141" t="n">
        <v>0.0917322846377424</v>
      </c>
      <c r="Q232" s="141" t="n">
        <v>1</v>
      </c>
    </row>
    <row r="233" customFormat="false" ht="12.8" hidden="false" customHeight="false" outlineLevel="0" collapsed="false">
      <c r="A233" s="11" t="n">
        <v>231</v>
      </c>
      <c r="B233" s="141" t="s">
        <v>721</v>
      </c>
      <c r="C233" s="141" t="n">
        <v>0</v>
      </c>
      <c r="D233" s="141" t="s">
        <v>682</v>
      </c>
      <c r="E233" s="141" t="n">
        <v>-20</v>
      </c>
      <c r="F233" s="141" t="n">
        <v>-10</v>
      </c>
      <c r="G233" s="141" t="n">
        <v>42</v>
      </c>
      <c r="H233" s="141" t="n">
        <v>60</v>
      </c>
      <c r="I233" s="141" t="n">
        <v>0</v>
      </c>
      <c r="J233" s="141" t="n">
        <v>4</v>
      </c>
      <c r="K233" s="141"/>
      <c r="L233" s="141" t="n">
        <v>0.464438923590511</v>
      </c>
      <c r="M233" s="141" t="n">
        <v>0</v>
      </c>
      <c r="N233" s="141"/>
      <c r="O233" s="141" t="n">
        <v>0.0424998502546475</v>
      </c>
      <c r="P233" s="141" t="n">
        <v>0.0950908023557667</v>
      </c>
      <c r="Q233" s="141" t="n">
        <v>1</v>
      </c>
    </row>
    <row r="234" customFormat="false" ht="12.8" hidden="false" customHeight="false" outlineLevel="0" collapsed="false">
      <c r="A234" s="11" t="n">
        <v>232</v>
      </c>
      <c r="B234" s="141" t="s">
        <v>722</v>
      </c>
      <c r="C234" s="141" t="n">
        <v>1</v>
      </c>
      <c r="D234" s="141" t="s">
        <v>682</v>
      </c>
      <c r="E234" s="141" t="n">
        <v>-20</v>
      </c>
      <c r="F234" s="141" t="n">
        <v>-10</v>
      </c>
      <c r="G234" s="141" t="n">
        <v>42</v>
      </c>
      <c r="H234" s="141" t="n">
        <v>60</v>
      </c>
      <c r="I234" s="141" t="n">
        <v>0</v>
      </c>
      <c r="J234" s="141" t="n">
        <v>4</v>
      </c>
      <c r="K234" s="141" t="n">
        <v>0.235307587806323</v>
      </c>
      <c r="L234" s="141" t="n">
        <v>0.475196544418793</v>
      </c>
      <c r="M234" s="141" t="n">
        <v>0</v>
      </c>
      <c r="N234" s="141" t="n">
        <v>0.205912682737186</v>
      </c>
      <c r="O234" s="141" t="n">
        <v>0.0498090796302988</v>
      </c>
      <c r="P234" s="141" t="n">
        <v>0.113358954705121</v>
      </c>
      <c r="Q234" s="141" t="n">
        <v>0</v>
      </c>
    </row>
    <row r="235" customFormat="false" ht="12.8" hidden="false" customHeight="false" outlineLevel="0" collapsed="false">
      <c r="A235" s="11" t="n">
        <v>233</v>
      </c>
      <c r="B235" s="141" t="s">
        <v>723</v>
      </c>
      <c r="C235" s="141" t="n">
        <v>1</v>
      </c>
      <c r="D235" s="141" t="s">
        <v>682</v>
      </c>
      <c r="E235" s="141" t="n">
        <v>-20</v>
      </c>
      <c r="F235" s="141" t="n">
        <v>-10</v>
      </c>
      <c r="G235" s="141" t="n">
        <v>42</v>
      </c>
      <c r="H235" s="141" t="n">
        <v>60</v>
      </c>
      <c r="I235" s="141" t="n">
        <v>0</v>
      </c>
      <c r="J235" s="141" t="n">
        <v>4</v>
      </c>
      <c r="K235" s="141" t="n">
        <v>0.242372631910078</v>
      </c>
      <c r="L235" s="141" t="n">
        <v>0.476232396617833</v>
      </c>
      <c r="M235" s="141" t="n">
        <v>0</v>
      </c>
      <c r="N235" s="141" t="n">
        <v>0.212391907387318</v>
      </c>
      <c r="O235" s="141" t="n">
        <v>0.0505284388276097</v>
      </c>
      <c r="P235" s="141" t="n">
        <v>0.115117996605326</v>
      </c>
      <c r="Q235" s="141" t="n">
        <v>0</v>
      </c>
    </row>
    <row r="236" customFormat="false" ht="12.8" hidden="false" customHeight="false" outlineLevel="0" collapsed="false">
      <c r="A236" s="11" t="n">
        <v>234</v>
      </c>
      <c r="B236" s="141" t="s">
        <v>724</v>
      </c>
      <c r="C236" s="141" t="n">
        <v>0</v>
      </c>
      <c r="D236" s="141" t="s">
        <v>682</v>
      </c>
      <c r="E236" s="141" t="n">
        <v>-20</v>
      </c>
      <c r="F236" s="141" t="n">
        <v>-10</v>
      </c>
      <c r="G236" s="141" t="n">
        <v>42</v>
      </c>
      <c r="H236" s="141" t="n">
        <v>60</v>
      </c>
      <c r="I236" s="141" t="n">
        <v>0</v>
      </c>
      <c r="J236" s="141" t="n">
        <v>4</v>
      </c>
      <c r="K236" s="141"/>
      <c r="L236" s="141" t="n">
        <v>0.446944036174994</v>
      </c>
      <c r="M236" s="141" t="n">
        <v>0</v>
      </c>
      <c r="N236" s="141"/>
      <c r="O236" s="141" t="n">
        <v>0.0312903788620917</v>
      </c>
      <c r="P236" s="141" t="n">
        <v>0.0653816990379367</v>
      </c>
      <c r="Q236" s="141" t="n">
        <v>1</v>
      </c>
    </row>
    <row r="237" customFormat="false" ht="12.8" hidden="false" customHeight="false" outlineLevel="0" collapsed="false">
      <c r="A237" s="11" t="n">
        <v>235</v>
      </c>
      <c r="B237" s="141" t="s">
        <v>725</v>
      </c>
      <c r="C237" s="141" t="n">
        <v>0</v>
      </c>
      <c r="D237" s="141" t="s">
        <v>682</v>
      </c>
      <c r="E237" s="141" t="n">
        <v>-20</v>
      </c>
      <c r="F237" s="141" t="n">
        <v>-10</v>
      </c>
      <c r="G237" s="141" t="n">
        <v>42</v>
      </c>
      <c r="H237" s="141" t="n">
        <v>60</v>
      </c>
      <c r="I237" s="141" t="n">
        <v>0</v>
      </c>
      <c r="J237" s="141" t="n">
        <v>4</v>
      </c>
      <c r="K237" s="141"/>
      <c r="L237" s="141" t="n">
        <v>0.446419495772857</v>
      </c>
      <c r="M237" s="141" t="n">
        <v>0</v>
      </c>
      <c r="N237" s="141"/>
      <c r="O237" s="141" t="n">
        <v>0.0309682226741753</v>
      </c>
      <c r="P237" s="141" t="n">
        <v>0.064490945949259</v>
      </c>
      <c r="Q237" s="141" t="n">
        <v>1</v>
      </c>
    </row>
    <row r="238" customFormat="false" ht="12.8" hidden="false" customHeight="false" outlineLevel="0" collapsed="false">
      <c r="A238" s="11" t="n">
        <v>236</v>
      </c>
      <c r="B238" s="141" t="s">
        <v>726</v>
      </c>
      <c r="C238" s="141" t="n">
        <v>1</v>
      </c>
      <c r="D238" s="141" t="s">
        <v>682</v>
      </c>
      <c r="E238" s="141" t="n">
        <v>-20</v>
      </c>
      <c r="F238" s="141" t="n">
        <v>-10</v>
      </c>
      <c r="G238" s="141" t="n">
        <v>42</v>
      </c>
      <c r="H238" s="141" t="n">
        <v>60</v>
      </c>
      <c r="I238" s="141" t="n">
        <v>0</v>
      </c>
      <c r="J238" s="141" t="n">
        <v>4</v>
      </c>
      <c r="K238" s="141" t="n">
        <v>0.220964995803002</v>
      </c>
      <c r="L238" s="141" t="n">
        <v>0.4686416034553</v>
      </c>
      <c r="M238" s="141" t="n">
        <v>0</v>
      </c>
      <c r="N238" s="141" t="n">
        <v>0.192812560238304</v>
      </c>
      <c r="O238" s="141" t="n">
        <v>0.045319621574593</v>
      </c>
      <c r="P238" s="141" t="n">
        <v>0.102227621664706</v>
      </c>
      <c r="Q238" s="141" t="n">
        <v>0</v>
      </c>
    </row>
    <row r="239" customFormat="false" ht="12.8" hidden="false" customHeight="false" outlineLevel="0" collapsed="false">
      <c r="A239" s="11" t="n">
        <v>237</v>
      </c>
      <c r="B239" s="141" t="s">
        <v>727</v>
      </c>
      <c r="C239" s="141" t="n">
        <v>1</v>
      </c>
      <c r="D239" s="141" t="s">
        <v>682</v>
      </c>
      <c r="E239" s="141" t="n">
        <v>-20</v>
      </c>
      <c r="F239" s="141" t="n">
        <v>-10</v>
      </c>
      <c r="G239" s="141" t="n">
        <v>42</v>
      </c>
      <c r="H239" s="141" t="n">
        <v>60</v>
      </c>
      <c r="I239" s="141" t="n">
        <v>0</v>
      </c>
      <c r="J239" s="141" t="n">
        <v>4</v>
      </c>
      <c r="K239" s="141" t="n">
        <v>0.223806859130635</v>
      </c>
      <c r="L239" s="141" t="n">
        <v>0.464730444152269</v>
      </c>
      <c r="M239" s="141" t="n">
        <v>0</v>
      </c>
      <c r="N239" s="141" t="n">
        <v>0.195402574689295</v>
      </c>
      <c r="O239" s="141" t="n">
        <v>0.042693927668946</v>
      </c>
      <c r="P239" s="141" t="n">
        <v>0.0955858506680443</v>
      </c>
      <c r="Q239" s="141" t="n">
        <v>0</v>
      </c>
    </row>
    <row r="240" customFormat="false" ht="12.8" hidden="false" customHeight="false" outlineLevel="0" collapsed="false">
      <c r="A240" s="11" t="n">
        <v>238</v>
      </c>
      <c r="B240" s="141" t="s">
        <v>728</v>
      </c>
      <c r="C240" s="141" t="n">
        <v>0</v>
      </c>
      <c r="D240" s="141" t="s">
        <v>682</v>
      </c>
      <c r="E240" s="141" t="n">
        <v>-20</v>
      </c>
      <c r="F240" s="141" t="n">
        <v>-10</v>
      </c>
      <c r="G240" s="141" t="n">
        <v>42</v>
      </c>
      <c r="H240" s="141" t="n">
        <v>60</v>
      </c>
      <c r="I240" s="141" t="n">
        <v>0</v>
      </c>
      <c r="J240" s="141" t="n">
        <v>4</v>
      </c>
      <c r="K240" s="141"/>
      <c r="L240" s="141" t="n">
        <v>0.44208643927832</v>
      </c>
      <c r="M240" s="141" t="n">
        <v>0</v>
      </c>
      <c r="N240" s="141"/>
      <c r="O240" s="141" t="n">
        <v>0.0283398564334565</v>
      </c>
      <c r="P240" s="141" t="n">
        <v>0.0571327263722634</v>
      </c>
      <c r="Q240" s="141" t="n">
        <v>1</v>
      </c>
    </row>
    <row r="241" customFormat="false" ht="12.8" hidden="false" customHeight="false" outlineLevel="0" collapsed="false">
      <c r="A241" s="11" t="n">
        <v>239</v>
      </c>
      <c r="B241" s="141" t="s">
        <v>729</v>
      </c>
      <c r="C241" s="141" t="n">
        <v>0</v>
      </c>
      <c r="D241" s="141" t="s">
        <v>682</v>
      </c>
      <c r="E241" s="141" t="n">
        <v>-20</v>
      </c>
      <c r="F241" s="141" t="n">
        <v>-10</v>
      </c>
      <c r="G241" s="141" t="n">
        <v>42</v>
      </c>
      <c r="H241" s="141" t="n">
        <v>60</v>
      </c>
      <c r="I241" s="141" t="n">
        <v>0</v>
      </c>
      <c r="J241" s="141" t="n">
        <v>4</v>
      </c>
      <c r="K241" s="141"/>
      <c r="L241" s="141" t="n">
        <v>0.439650104093265</v>
      </c>
      <c r="M241" s="141" t="n">
        <v>0</v>
      </c>
      <c r="N241" s="141"/>
      <c r="O241" s="141" t="n">
        <v>0.0268882576594575</v>
      </c>
      <c r="P241" s="141" t="n">
        <v>0.0529954414609313</v>
      </c>
      <c r="Q241" s="141" t="n">
        <v>1</v>
      </c>
    </row>
    <row r="242" customFormat="false" ht="12.8" hidden="false" customHeight="false" outlineLevel="0" collapsed="false">
      <c r="A242" s="11" t="n">
        <v>240</v>
      </c>
      <c r="B242" s="141" t="s">
        <v>730</v>
      </c>
      <c r="C242" s="141" t="n">
        <v>1</v>
      </c>
      <c r="D242" s="141" t="s">
        <v>682</v>
      </c>
      <c r="E242" s="141" t="n">
        <v>-20</v>
      </c>
      <c r="F242" s="141" t="n">
        <v>-10</v>
      </c>
      <c r="G242" s="141" t="n">
        <v>42</v>
      </c>
      <c r="H242" s="141" t="n">
        <v>60</v>
      </c>
      <c r="I242" s="141" t="n">
        <v>0</v>
      </c>
      <c r="J242" s="141" t="n">
        <v>4</v>
      </c>
      <c r="K242" s="141" t="n">
        <v>0.158536737427948</v>
      </c>
      <c r="L242" s="141" t="n">
        <v>0.457034333034994</v>
      </c>
      <c r="M242" s="141" t="n">
        <v>0</v>
      </c>
      <c r="N242" s="141" t="n">
        <v>0.136622904406045</v>
      </c>
      <c r="O242" s="141" t="n">
        <v>0.0376483784981736</v>
      </c>
      <c r="P242" s="141" t="n">
        <v>0.0825166290778665</v>
      </c>
      <c r="Q242" s="141" t="n">
        <v>0</v>
      </c>
    </row>
    <row r="243" customFormat="false" ht="12.8" hidden="false" customHeight="false" outlineLevel="0" collapsed="false">
      <c r="A243" s="11" t="n">
        <v>241</v>
      </c>
      <c r="B243" s="141" t="s">
        <v>731</v>
      </c>
      <c r="C243" s="141" t="n">
        <v>1</v>
      </c>
      <c r="D243" s="141" t="s">
        <v>682</v>
      </c>
      <c r="E243" s="141" t="n">
        <v>-20</v>
      </c>
      <c r="F243" s="141" t="n">
        <v>-10</v>
      </c>
      <c r="G243" s="141" t="n">
        <v>42</v>
      </c>
      <c r="H243" s="141" t="n">
        <v>60</v>
      </c>
      <c r="I243" s="141" t="n">
        <v>0</v>
      </c>
      <c r="J243" s="141" t="n">
        <v>4</v>
      </c>
      <c r="K243" s="141" t="n">
        <v>0.183651178449914</v>
      </c>
      <c r="L243" s="141" t="n">
        <v>0.459265835287663</v>
      </c>
      <c r="M243" s="141" t="n">
        <v>0</v>
      </c>
      <c r="N243" s="141" t="n">
        <v>0.159065198182233</v>
      </c>
      <c r="O243" s="141" t="n">
        <v>0.0390944189518547</v>
      </c>
      <c r="P243" s="141" t="n">
        <v>0.0863060750687956</v>
      </c>
      <c r="Q243" s="141" t="n">
        <v>0</v>
      </c>
    </row>
    <row r="244" customFormat="false" ht="12.8" hidden="false" customHeight="false" outlineLevel="0" collapsed="false">
      <c r="A244" s="11" t="n">
        <v>242</v>
      </c>
      <c r="B244" s="141" t="s">
        <v>732</v>
      </c>
      <c r="C244" s="141" t="n">
        <v>0</v>
      </c>
      <c r="D244" s="141" t="s">
        <v>682</v>
      </c>
      <c r="E244" s="141" t="n">
        <v>-20</v>
      </c>
      <c r="F244" s="141" t="n">
        <v>-10</v>
      </c>
      <c r="G244" s="141" t="n">
        <v>42</v>
      </c>
      <c r="H244" s="141" t="n">
        <v>60</v>
      </c>
      <c r="I244" s="141" t="n">
        <v>0</v>
      </c>
      <c r="J244" s="141" t="n">
        <v>4</v>
      </c>
      <c r="K244" s="141"/>
      <c r="L244" s="141" t="n">
        <v>0.445181325578406</v>
      </c>
      <c r="M244" s="141" t="n">
        <v>0</v>
      </c>
      <c r="N244" s="141"/>
      <c r="O244" s="141" t="n">
        <v>0.0302111573659135</v>
      </c>
      <c r="P244" s="141" t="n">
        <v>0.0623883358919132</v>
      </c>
      <c r="Q244" s="141" t="n">
        <v>1</v>
      </c>
    </row>
    <row r="245" customFormat="false" ht="12.8" hidden="false" customHeight="false" outlineLevel="0" collapsed="false">
      <c r="A245" s="11" t="n">
        <v>243</v>
      </c>
      <c r="B245" s="141" t="s">
        <v>733</v>
      </c>
      <c r="C245" s="141" t="n">
        <v>0</v>
      </c>
      <c r="D245" s="141" t="s">
        <v>682</v>
      </c>
      <c r="E245" s="141" t="n">
        <v>-20</v>
      </c>
      <c r="F245" s="141" t="n">
        <v>-10</v>
      </c>
      <c r="G245" s="141" t="n">
        <v>42</v>
      </c>
      <c r="H245" s="141" t="n">
        <v>60</v>
      </c>
      <c r="I245" s="141" t="n">
        <v>0</v>
      </c>
      <c r="J245" s="141" t="n">
        <v>4</v>
      </c>
      <c r="K245" s="141"/>
      <c r="L245" s="141" t="n">
        <v>0.448169068269079</v>
      </c>
      <c r="M245" s="141" t="n">
        <v>0</v>
      </c>
      <c r="N245" s="141"/>
      <c r="O245" s="141" t="n">
        <v>0.03204604823178</v>
      </c>
      <c r="P245" s="141" t="n">
        <v>0.0674619985098026</v>
      </c>
      <c r="Q245" s="141" t="n">
        <v>1</v>
      </c>
    </row>
    <row r="246" customFormat="false" ht="12.8" hidden="false" customHeight="false" outlineLevel="0" collapsed="false">
      <c r="A246" s="11" t="n">
        <v>244</v>
      </c>
      <c r="B246" s="141" t="s">
        <v>734</v>
      </c>
      <c r="C246" s="141" t="n">
        <v>1</v>
      </c>
      <c r="D246" s="141" t="s">
        <v>682</v>
      </c>
      <c r="E246" s="141" t="n">
        <v>-20</v>
      </c>
      <c r="F246" s="141" t="n">
        <v>-10</v>
      </c>
      <c r="G246" s="141" t="n">
        <v>42</v>
      </c>
      <c r="H246" s="141" t="n">
        <v>60</v>
      </c>
      <c r="I246" s="141" t="n">
        <v>0</v>
      </c>
      <c r="J246" s="141" t="n">
        <v>4</v>
      </c>
      <c r="K246" s="141" t="n">
        <v>0.139983720836933</v>
      </c>
      <c r="L246" s="141" t="n">
        <v>0.461338479109229</v>
      </c>
      <c r="M246" s="141" t="n">
        <v>0</v>
      </c>
      <c r="N246" s="141" t="n">
        <v>0.120184308410071</v>
      </c>
      <c r="O246" s="141" t="n">
        <v>0.0404500061844255</v>
      </c>
      <c r="P246" s="141" t="n">
        <v>0.0898257541598054</v>
      </c>
      <c r="Q246" s="141" t="n">
        <v>0</v>
      </c>
    </row>
    <row r="247" customFormat="false" ht="12.8" hidden="false" customHeight="false" outlineLevel="0" collapsed="false">
      <c r="A247" s="11" t="n">
        <v>245</v>
      </c>
      <c r="B247" s="141" t="s">
        <v>735</v>
      </c>
      <c r="C247" s="141" t="n">
        <v>1</v>
      </c>
      <c r="D247" s="141" t="s">
        <v>682</v>
      </c>
      <c r="E247" s="141" t="n">
        <v>-20</v>
      </c>
      <c r="F247" s="141" t="n">
        <v>-10</v>
      </c>
      <c r="G247" s="141" t="n">
        <v>42</v>
      </c>
      <c r="H247" s="141" t="n">
        <v>60</v>
      </c>
      <c r="I247" s="141" t="n">
        <v>0</v>
      </c>
      <c r="J247" s="141" t="n">
        <v>4</v>
      </c>
      <c r="K247" s="141" t="n">
        <v>0.144479440144367</v>
      </c>
      <c r="L247" s="141" t="n">
        <v>0.449582838932378</v>
      </c>
      <c r="M247" s="141" t="n">
        <v>0</v>
      </c>
      <c r="N247" s="141" t="n">
        <v>0.124156714597059</v>
      </c>
      <c r="O247" s="141" t="n">
        <v>0.0329238275941914</v>
      </c>
      <c r="P247" s="141" t="n">
        <v>0.0698628061118227</v>
      </c>
      <c r="Q247" s="141" t="n">
        <v>1</v>
      </c>
    </row>
    <row r="248" customFormat="false" ht="12.8" hidden="false" customHeight="false" outlineLevel="0" collapsed="false">
      <c r="A248" s="11" t="n">
        <v>246</v>
      </c>
      <c r="B248" s="141" t="s">
        <v>736</v>
      </c>
      <c r="C248" s="141" t="n">
        <v>0</v>
      </c>
      <c r="D248" s="141" t="s">
        <v>682</v>
      </c>
      <c r="E248" s="141" t="n">
        <v>-20</v>
      </c>
      <c r="F248" s="141" t="n">
        <v>-10</v>
      </c>
      <c r="G248" s="141" t="n">
        <v>42</v>
      </c>
      <c r="H248" s="141" t="n">
        <v>60</v>
      </c>
      <c r="I248" s="141" t="n">
        <v>0</v>
      </c>
      <c r="J248" s="141" t="n">
        <v>4</v>
      </c>
      <c r="K248" s="141"/>
      <c r="L248" s="141" t="n">
        <v>0.445778466736151</v>
      </c>
      <c r="M248" s="141" t="n">
        <v>0</v>
      </c>
      <c r="N248" s="141"/>
      <c r="O248" s="141" t="n">
        <v>0.0305756780686376</v>
      </c>
      <c r="P248" s="141" t="n">
        <v>0.0634023766187508</v>
      </c>
      <c r="Q248" s="141" t="n">
        <v>1</v>
      </c>
    </row>
    <row r="249" customFormat="false" ht="12.8" hidden="false" customHeight="false" outlineLevel="0" collapsed="false">
      <c r="A249" s="11" t="n">
        <v>247</v>
      </c>
      <c r="B249" s="141" t="s">
        <v>737</v>
      </c>
      <c r="C249" s="141" t="n">
        <v>0</v>
      </c>
      <c r="D249" s="141" t="s">
        <v>682</v>
      </c>
      <c r="E249" s="141" t="n">
        <v>-20</v>
      </c>
      <c r="F249" s="141" t="n">
        <v>-10</v>
      </c>
      <c r="G249" s="141" t="n">
        <v>42</v>
      </c>
      <c r="H249" s="141" t="n">
        <v>60</v>
      </c>
      <c r="I249" s="141" t="n">
        <v>0</v>
      </c>
      <c r="J249" s="141" t="n">
        <v>4</v>
      </c>
      <c r="K249" s="141"/>
      <c r="L249" s="141" t="n">
        <v>0.454692095915263</v>
      </c>
      <c r="M249" s="141" t="n">
        <v>0</v>
      </c>
      <c r="N249" s="141"/>
      <c r="O249" s="141" t="n">
        <v>0.0361458345305894</v>
      </c>
      <c r="P249" s="141" t="n">
        <v>0.0785391376581023</v>
      </c>
      <c r="Q249" s="141" t="n">
        <v>1</v>
      </c>
    </row>
    <row r="250" customFormat="false" ht="12.8" hidden="false" customHeight="false" outlineLevel="0" collapsed="false">
      <c r="A250" s="11" t="n">
        <v>248</v>
      </c>
      <c r="B250" s="141" t="s">
        <v>738</v>
      </c>
      <c r="C250" s="141" t="n">
        <v>1</v>
      </c>
      <c r="D250" s="141" t="s">
        <v>682</v>
      </c>
      <c r="E250" s="141" t="n">
        <v>-20</v>
      </c>
      <c r="F250" s="141" t="n">
        <v>-10</v>
      </c>
      <c r="G250" s="141" t="n">
        <v>42</v>
      </c>
      <c r="H250" s="141" t="n">
        <v>60</v>
      </c>
      <c r="I250" s="141" t="n">
        <v>0</v>
      </c>
      <c r="J250" s="141" t="n">
        <v>4</v>
      </c>
      <c r="K250" s="141" t="n">
        <v>0.126179971204594</v>
      </c>
      <c r="L250" s="141" t="n">
        <v>0.45746134803681</v>
      </c>
      <c r="M250" s="141" t="n">
        <v>0</v>
      </c>
      <c r="N250" s="141" t="n">
        <v>0.108031126019575</v>
      </c>
      <c r="O250" s="141" t="n">
        <v>0.0379239999679727</v>
      </c>
      <c r="P250" s="141" t="n">
        <v>0.0832417685146565</v>
      </c>
      <c r="Q250" s="141" t="n">
        <v>1</v>
      </c>
    </row>
    <row r="251" customFormat="false" ht="12.8" hidden="false" customHeight="false" outlineLevel="0" collapsed="false">
      <c r="A251" s="11" t="n">
        <v>249</v>
      </c>
      <c r="B251" s="141" t="s">
        <v>739</v>
      </c>
      <c r="C251" s="141" t="n">
        <v>1</v>
      </c>
      <c r="D251" s="141" t="s">
        <v>682</v>
      </c>
      <c r="E251" s="141" t="n">
        <v>-20</v>
      </c>
      <c r="F251" s="141" t="n">
        <v>-10</v>
      </c>
      <c r="G251" s="141" t="n">
        <v>42</v>
      </c>
      <c r="H251" s="141" t="n">
        <v>60</v>
      </c>
      <c r="I251" s="141" t="n">
        <v>0</v>
      </c>
      <c r="J251" s="141" t="n">
        <v>4</v>
      </c>
      <c r="K251" s="141" t="n">
        <v>0.112979947714938</v>
      </c>
      <c r="L251" s="141" t="n">
        <v>0.456061891747137</v>
      </c>
      <c r="M251" s="141" t="n">
        <v>0</v>
      </c>
      <c r="N251" s="141" t="n">
        <v>0.0964712527844698</v>
      </c>
      <c r="O251" s="141" t="n">
        <v>0.0370226455884795</v>
      </c>
      <c r="P251" s="141" t="n">
        <v>0.0808652689973286</v>
      </c>
      <c r="Q251" s="141" t="n">
        <v>1</v>
      </c>
    </row>
    <row r="252" customFormat="false" ht="12.8" hidden="false" customHeight="false" outlineLevel="0" collapsed="false">
      <c r="A252" s="11" t="n">
        <v>250</v>
      </c>
      <c r="B252" s="141" t="s">
        <v>740</v>
      </c>
      <c r="C252" s="141" t="n">
        <v>0</v>
      </c>
      <c r="D252" s="141" t="s">
        <v>682</v>
      </c>
      <c r="E252" s="141" t="n">
        <v>-20</v>
      </c>
      <c r="F252" s="141" t="n">
        <v>-10</v>
      </c>
      <c r="G252" s="141" t="n">
        <v>42</v>
      </c>
      <c r="H252" s="141" t="n">
        <v>60</v>
      </c>
      <c r="I252" s="141" t="n">
        <v>0</v>
      </c>
      <c r="J252" s="141" t="n">
        <v>4</v>
      </c>
      <c r="K252" s="141"/>
      <c r="L252" s="141" t="n">
        <v>0.46401781767632</v>
      </c>
      <c r="M252" s="141" t="n">
        <v>0</v>
      </c>
      <c r="N252" s="141"/>
      <c r="O252" s="141" t="n">
        <v>0.0422199063873626</v>
      </c>
      <c r="P252" s="141" t="n">
        <v>0.0943756974902533</v>
      </c>
      <c r="Q252" s="141" t="n">
        <v>1</v>
      </c>
    </row>
    <row r="253" customFormat="false" ht="12.8" hidden="false" customHeight="false" outlineLevel="0" collapsed="false">
      <c r="A253" s="11" t="n">
        <v>251</v>
      </c>
      <c r="B253" s="141" t="s">
        <v>741</v>
      </c>
      <c r="C253" s="141" t="n">
        <v>0</v>
      </c>
      <c r="D253" s="141" t="s">
        <v>682</v>
      </c>
      <c r="E253" s="141" t="n">
        <v>-20</v>
      </c>
      <c r="F253" s="141" t="n">
        <v>-10</v>
      </c>
      <c r="G253" s="141" t="n">
        <v>42</v>
      </c>
      <c r="H253" s="141" t="n">
        <v>60</v>
      </c>
      <c r="I253" s="141" t="n">
        <v>0</v>
      </c>
      <c r="J253" s="141" t="n">
        <v>4</v>
      </c>
      <c r="K253" s="141"/>
      <c r="L253" s="141" t="n">
        <v>0.472503738042913</v>
      </c>
      <c r="M253" s="141" t="n">
        <v>0</v>
      </c>
      <c r="N253" s="141"/>
      <c r="O253" s="141" t="n">
        <v>0.047951562954599</v>
      </c>
      <c r="P253" s="141" t="n">
        <v>0.108786140891813</v>
      </c>
      <c r="Q253" s="141" t="n">
        <v>1</v>
      </c>
    </row>
    <row r="254" customFormat="false" ht="12.8" hidden="false" customHeight="false" outlineLevel="0" collapsed="false">
      <c r="A254" s="11" t="n">
        <v>252</v>
      </c>
      <c r="B254" s="141" t="s">
        <v>742</v>
      </c>
      <c r="C254" s="141" t="n">
        <v>1</v>
      </c>
      <c r="D254" s="141" t="s">
        <v>682</v>
      </c>
      <c r="E254" s="141" t="n">
        <v>-20</v>
      </c>
      <c r="F254" s="141" t="n">
        <v>-10</v>
      </c>
      <c r="G254" s="141" t="n">
        <v>42</v>
      </c>
      <c r="H254" s="141" t="n">
        <v>60</v>
      </c>
      <c r="I254" s="141" t="n">
        <v>0</v>
      </c>
      <c r="J254" s="141" t="n">
        <v>4</v>
      </c>
      <c r="K254" s="141" t="n">
        <v>0.0856069333323921</v>
      </c>
      <c r="L254" s="141" t="n">
        <v>0.463677448359948</v>
      </c>
      <c r="M254" s="141" t="n">
        <v>0</v>
      </c>
      <c r="N254" s="141" t="n">
        <v>0.0726919016803068</v>
      </c>
      <c r="O254" s="141" t="n">
        <v>0.04199398458907</v>
      </c>
      <c r="P254" s="141" t="n">
        <v>0.0937976962178734</v>
      </c>
      <c r="Q254" s="141" t="n">
        <v>1</v>
      </c>
    </row>
    <row r="255" customFormat="false" ht="12.8" hidden="false" customHeight="false" outlineLevel="0" collapsed="false">
      <c r="A255" s="11" t="n">
        <v>253</v>
      </c>
      <c r="B255" s="141" t="s">
        <v>743</v>
      </c>
      <c r="C255" s="141" t="n">
        <v>1</v>
      </c>
      <c r="D255" s="141" t="s">
        <v>682</v>
      </c>
      <c r="E255" s="141" t="n">
        <v>-20</v>
      </c>
      <c r="F255" s="141" t="n">
        <v>-10</v>
      </c>
      <c r="G255" s="141" t="n">
        <v>42</v>
      </c>
      <c r="H255" s="141" t="n">
        <v>60</v>
      </c>
      <c r="I255" s="141" t="n">
        <v>0</v>
      </c>
      <c r="J255" s="141" t="n">
        <v>4</v>
      </c>
      <c r="K255" s="141" t="n">
        <v>0.099446151296543</v>
      </c>
      <c r="L255" s="141" t="n">
        <v>0.467435925421573</v>
      </c>
      <c r="M255" s="141" t="n">
        <v>0</v>
      </c>
      <c r="N255" s="141" t="n">
        <v>0.0846817807901393</v>
      </c>
      <c r="O255" s="141" t="n">
        <v>0.0445059008873643</v>
      </c>
      <c r="P255" s="141" t="n">
        <v>0.100180188467721</v>
      </c>
      <c r="Q255" s="141" t="n">
        <v>1</v>
      </c>
    </row>
    <row r="256" customFormat="false" ht="12.8" hidden="false" customHeight="false" outlineLevel="0" collapsed="false">
      <c r="A256" s="11" t="n">
        <v>254</v>
      </c>
      <c r="B256" s="141" t="s">
        <v>744</v>
      </c>
      <c r="C256" s="141" t="n">
        <v>0</v>
      </c>
      <c r="D256" s="141" t="s">
        <v>682</v>
      </c>
      <c r="E256" s="141" t="n">
        <v>-20</v>
      </c>
      <c r="F256" s="141" t="n">
        <v>-10</v>
      </c>
      <c r="G256" s="141" t="n">
        <v>42</v>
      </c>
      <c r="H256" s="141" t="n">
        <v>60</v>
      </c>
      <c r="I256" s="141" t="n">
        <v>0</v>
      </c>
      <c r="J256" s="141" t="n">
        <v>4</v>
      </c>
      <c r="K256" s="141"/>
      <c r="L256" s="141" t="n">
        <v>0.476060443044864</v>
      </c>
      <c r="M256" s="141" t="n">
        <v>0</v>
      </c>
      <c r="N256" s="141"/>
      <c r="O256" s="141" t="n">
        <v>0.0504088398853699</v>
      </c>
      <c r="P256" s="141" t="n">
        <v>0.114825992070293</v>
      </c>
      <c r="Q256" s="141" t="n">
        <v>1</v>
      </c>
    </row>
    <row r="257" customFormat="false" ht="12.8" hidden="false" customHeight="false" outlineLevel="0" collapsed="false">
      <c r="A257" s="11" t="n">
        <v>255</v>
      </c>
      <c r="B257" s="141" t="s">
        <v>745</v>
      </c>
      <c r="C257" s="141" t="n">
        <v>0</v>
      </c>
      <c r="D257" s="141" t="s">
        <v>682</v>
      </c>
      <c r="E257" s="141" t="n">
        <v>-20</v>
      </c>
      <c r="F257" s="141" t="n">
        <v>-10</v>
      </c>
      <c r="G257" s="141" t="n">
        <v>42</v>
      </c>
      <c r="H257" s="141" t="n">
        <v>60</v>
      </c>
      <c r="I257" s="141" t="n">
        <v>0</v>
      </c>
      <c r="J257" s="141" t="n">
        <v>4</v>
      </c>
      <c r="K257" s="141"/>
      <c r="L257" s="141" t="n">
        <v>0.482058028537437</v>
      </c>
      <c r="M257" s="141" t="n">
        <v>0</v>
      </c>
      <c r="N257" s="141"/>
      <c r="O257" s="141" t="n">
        <v>0.0546228926667647</v>
      </c>
      <c r="P257" s="141" t="n">
        <v>0.12501084681239</v>
      </c>
      <c r="Q257" s="141" t="n">
        <v>1</v>
      </c>
    </row>
    <row r="258" customFormat="false" ht="12.8" hidden="false" customHeight="false" outlineLevel="0" collapsed="false">
      <c r="A258" s="11" t="n">
        <v>256</v>
      </c>
      <c r="B258" s="141" t="s">
        <v>746</v>
      </c>
      <c r="C258" s="141" t="n">
        <v>1</v>
      </c>
      <c r="D258" s="141" t="s">
        <v>682</v>
      </c>
      <c r="E258" s="141" t="n">
        <v>-20</v>
      </c>
      <c r="F258" s="141" t="n">
        <v>-10</v>
      </c>
      <c r="G258" s="141" t="n">
        <v>42</v>
      </c>
      <c r="H258" s="141" t="n">
        <v>60</v>
      </c>
      <c r="I258" s="141" t="n">
        <v>0</v>
      </c>
      <c r="J258" s="141" t="n">
        <v>4</v>
      </c>
      <c r="K258" s="141" t="n">
        <v>0.08072606284794</v>
      </c>
      <c r="L258" s="141" t="n">
        <v>0.471723723694178</v>
      </c>
      <c r="M258" s="141" t="n">
        <v>0</v>
      </c>
      <c r="N258" s="141" t="n">
        <v>0.06847909786277</v>
      </c>
      <c r="O258" s="141" t="n">
        <v>0.04741692175635</v>
      </c>
      <c r="P258" s="141" t="n">
        <v>0.107461552380577</v>
      </c>
      <c r="Q258" s="141" t="n">
        <v>1</v>
      </c>
    </row>
    <row r="259" customFormat="false" ht="12.8" hidden="false" customHeight="false" outlineLevel="0" collapsed="false">
      <c r="A259" s="11" t="n">
        <v>257</v>
      </c>
      <c r="B259" s="141" t="s">
        <v>747</v>
      </c>
      <c r="C259" s="141" t="n">
        <v>1</v>
      </c>
      <c r="D259" s="141" t="s">
        <v>682</v>
      </c>
      <c r="E259" s="141" t="n">
        <v>-20</v>
      </c>
      <c r="F259" s="141" t="n">
        <v>-10</v>
      </c>
      <c r="G259" s="141" t="n">
        <v>42</v>
      </c>
      <c r="H259" s="141" t="n">
        <v>60</v>
      </c>
      <c r="I259" s="141" t="n">
        <v>0</v>
      </c>
      <c r="J259" s="141" t="n">
        <v>4</v>
      </c>
      <c r="K259" s="141" t="n">
        <v>0.0747752148375943</v>
      </c>
      <c r="L259" s="141" t="n">
        <v>0.480487775791788</v>
      </c>
      <c r="M259" s="141" t="n">
        <v>0</v>
      </c>
      <c r="N259" s="141" t="n">
        <v>0.0633539397052746</v>
      </c>
      <c r="O259" s="141" t="n">
        <v>0.0535112119303841</v>
      </c>
      <c r="P259" s="141" t="n">
        <v>0.12234430772885</v>
      </c>
      <c r="Q259" s="141" t="n">
        <v>1</v>
      </c>
    </row>
    <row r="260" customFormat="false" ht="12.8" hidden="false" customHeight="false" outlineLevel="0" collapsed="false">
      <c r="A260" s="11" t="n">
        <v>258</v>
      </c>
      <c r="B260" s="141" t="s">
        <v>748</v>
      </c>
      <c r="C260" s="141" t="n">
        <v>0</v>
      </c>
      <c r="D260" s="141" t="s">
        <v>682</v>
      </c>
      <c r="E260" s="141" t="n">
        <v>-20</v>
      </c>
      <c r="F260" s="141" t="n">
        <v>-10</v>
      </c>
      <c r="G260" s="141" t="n">
        <v>42</v>
      </c>
      <c r="H260" s="141" t="n">
        <v>60</v>
      </c>
      <c r="I260" s="141" t="n">
        <v>0</v>
      </c>
      <c r="J260" s="141" t="n">
        <v>4</v>
      </c>
      <c r="K260" s="141"/>
      <c r="L260" s="141" t="n">
        <v>0.467975037436687</v>
      </c>
      <c r="M260" s="141" t="n">
        <v>0</v>
      </c>
      <c r="N260" s="141"/>
      <c r="O260" s="141" t="n">
        <v>0.04486928062573</v>
      </c>
      <c r="P260" s="141" t="n">
        <v>0.101095686474453</v>
      </c>
      <c r="Q260" s="141" t="n">
        <v>1</v>
      </c>
    </row>
    <row r="261" customFormat="false" ht="12.8" hidden="false" customHeight="false" outlineLevel="0" collapsed="false">
      <c r="A261" s="11" t="n">
        <v>259</v>
      </c>
      <c r="B261" s="141" t="s">
        <v>749</v>
      </c>
      <c r="C261" s="141" t="n">
        <v>0</v>
      </c>
      <c r="D261" s="141" t="s">
        <v>682</v>
      </c>
      <c r="E261" s="141" t="n">
        <v>-20</v>
      </c>
      <c r="F261" s="141" t="n">
        <v>-10</v>
      </c>
      <c r="G261" s="141" t="n">
        <v>42</v>
      </c>
      <c r="H261" s="141" t="n">
        <v>60</v>
      </c>
      <c r="I261" s="141" t="n">
        <v>0</v>
      </c>
      <c r="J261" s="141" t="n">
        <v>4</v>
      </c>
      <c r="K261" s="141"/>
      <c r="L261" s="141" t="n">
        <v>0.468537426249811</v>
      </c>
      <c r="M261" s="141" t="n">
        <v>0</v>
      </c>
      <c r="N261" s="141"/>
      <c r="O261" s="141" t="n">
        <v>0.0452491615071838</v>
      </c>
      <c r="P261" s="141" t="n">
        <v>0.10205071218894</v>
      </c>
      <c r="Q261" s="141" t="n">
        <v>1</v>
      </c>
    </row>
    <row r="262" customFormat="false" ht="12.8" hidden="false" customHeight="false" outlineLevel="0" collapsed="false">
      <c r="A262" s="11" t="n">
        <v>260</v>
      </c>
      <c r="B262" s="141" t="s">
        <v>750</v>
      </c>
      <c r="C262" s="141" t="n">
        <v>1</v>
      </c>
      <c r="D262" s="141" t="s">
        <v>682</v>
      </c>
      <c r="E262" s="141" t="n">
        <v>-20</v>
      </c>
      <c r="F262" s="141" t="n">
        <v>-10</v>
      </c>
      <c r="G262" s="141" t="n">
        <v>42</v>
      </c>
      <c r="H262" s="141" t="n">
        <v>60</v>
      </c>
      <c r="I262" s="141" t="n">
        <v>0</v>
      </c>
      <c r="J262" s="141" t="n">
        <v>4</v>
      </c>
      <c r="K262" s="141" t="n">
        <v>0.101801798825232</v>
      </c>
      <c r="L262" s="141" t="n">
        <v>0.484000313748032</v>
      </c>
      <c r="M262" s="141" t="n">
        <v>0</v>
      </c>
      <c r="N262" s="141" t="n">
        <v>0.0867292537219857</v>
      </c>
      <c r="O262" s="141" t="n">
        <v>0.0560060342444186</v>
      </c>
      <c r="P262" s="141" t="n">
        <v>0.128309156234094</v>
      </c>
      <c r="Q262" s="141" t="n">
        <v>0</v>
      </c>
    </row>
    <row r="263" customFormat="false" ht="12.8" hidden="false" customHeight="false" outlineLevel="0" collapsed="false">
      <c r="A263" s="11" t="n">
        <v>261</v>
      </c>
      <c r="B263" s="141" t="s">
        <v>751</v>
      </c>
      <c r="C263" s="141" t="n">
        <v>1</v>
      </c>
      <c r="D263" s="141" t="s">
        <v>682</v>
      </c>
      <c r="E263" s="141" t="n">
        <v>-20</v>
      </c>
      <c r="F263" s="141" t="n">
        <v>-10</v>
      </c>
      <c r="G263" s="141" t="n">
        <v>42</v>
      </c>
      <c r="H263" s="141" t="n">
        <v>60</v>
      </c>
      <c r="I263" s="141" t="n">
        <v>0</v>
      </c>
      <c r="J263" s="141" t="n">
        <v>4</v>
      </c>
      <c r="K263" s="141" t="n">
        <v>0.117543670391859</v>
      </c>
      <c r="L263" s="141" t="n">
        <v>0.494242163211262</v>
      </c>
      <c r="M263" s="141" t="n">
        <v>0</v>
      </c>
      <c r="N263" s="141" t="n">
        <v>0.100461086161973</v>
      </c>
      <c r="O263" s="141" t="n">
        <v>0.063442712106899</v>
      </c>
      <c r="P263" s="141" t="n">
        <v>0.145701446715419</v>
      </c>
      <c r="Q263" s="141" t="n">
        <v>0</v>
      </c>
    </row>
    <row r="264" customFormat="false" ht="12.8" hidden="false" customHeight="false" outlineLevel="0" collapsed="false">
      <c r="A264" s="11" t="n">
        <v>262</v>
      </c>
      <c r="B264" s="141" t="s">
        <v>752</v>
      </c>
      <c r="C264" s="141" t="n">
        <v>0</v>
      </c>
      <c r="D264" s="141" t="s">
        <v>682</v>
      </c>
      <c r="E264" s="141" t="n">
        <v>-20</v>
      </c>
      <c r="F264" s="141" t="n">
        <v>-10</v>
      </c>
      <c r="G264" s="141" t="n">
        <v>42</v>
      </c>
      <c r="H264" s="141" t="n">
        <v>60</v>
      </c>
      <c r="I264" s="141" t="n">
        <v>0</v>
      </c>
      <c r="J264" s="141" t="n">
        <v>4</v>
      </c>
      <c r="K264" s="141"/>
      <c r="L264" s="141" t="n">
        <v>0.437647272791176</v>
      </c>
      <c r="M264" s="141" t="n">
        <v>0</v>
      </c>
      <c r="N264" s="141"/>
      <c r="O264" s="141" t="n">
        <v>0.0257094232356169</v>
      </c>
      <c r="P264" s="141" t="n">
        <v>0.0495943151393551</v>
      </c>
      <c r="Q264" s="141" t="n">
        <v>1</v>
      </c>
    </row>
    <row r="265" customFormat="false" ht="12.8" hidden="false" customHeight="false" outlineLevel="0" collapsed="false">
      <c r="A265" s="11" t="n">
        <v>263</v>
      </c>
      <c r="B265" s="141" t="s">
        <v>753</v>
      </c>
      <c r="C265" s="141" t="n">
        <v>0</v>
      </c>
      <c r="D265" s="141" t="s">
        <v>682</v>
      </c>
      <c r="E265" s="141" t="n">
        <v>-20</v>
      </c>
      <c r="F265" s="141" t="n">
        <v>-10</v>
      </c>
      <c r="G265" s="141" t="n">
        <v>42</v>
      </c>
      <c r="H265" s="141" t="n">
        <v>60</v>
      </c>
      <c r="I265" s="141" t="n">
        <v>0</v>
      </c>
      <c r="J265" s="141" t="n">
        <v>4</v>
      </c>
      <c r="K265" s="141"/>
      <c r="L265" s="141" t="n">
        <v>0.440346033948762</v>
      </c>
      <c r="M265" s="141" t="n">
        <v>0</v>
      </c>
      <c r="N265" s="141"/>
      <c r="O265" s="141" t="n">
        <v>0.0273009430456902</v>
      </c>
      <c r="P265" s="141" t="n">
        <v>0.0541772411197612</v>
      </c>
      <c r="Q265" s="141" t="n">
        <v>1</v>
      </c>
    </row>
    <row r="266" customFormat="false" ht="12.8" hidden="false" customHeight="false" outlineLevel="0" collapsed="false">
      <c r="A266" s="11" t="n">
        <v>264</v>
      </c>
      <c r="B266" s="141" t="s">
        <v>754</v>
      </c>
      <c r="C266" s="141" t="n">
        <v>1</v>
      </c>
      <c r="D266" s="141" t="s">
        <v>682</v>
      </c>
      <c r="E266" s="141" t="n">
        <v>-20</v>
      </c>
      <c r="F266" s="141" t="n">
        <v>-10</v>
      </c>
      <c r="G266" s="141" t="n">
        <v>42</v>
      </c>
      <c r="H266" s="141" t="n">
        <v>60</v>
      </c>
      <c r="I266" s="141" t="n">
        <v>0</v>
      </c>
      <c r="J266" s="141" t="n">
        <v>4</v>
      </c>
      <c r="K266" s="141" t="n">
        <v>0.0318876719670728</v>
      </c>
      <c r="L266" s="141" t="n">
        <v>0.438016384104776</v>
      </c>
      <c r="M266" s="141" t="n">
        <v>0</v>
      </c>
      <c r="N266" s="141" t="n">
        <v>0.0267801002560778</v>
      </c>
      <c r="O266" s="141" t="n">
        <v>0.0259256837763209</v>
      </c>
      <c r="P266" s="141" t="n">
        <v>0.0502211248976043</v>
      </c>
      <c r="Q266" s="141" t="n">
        <v>1</v>
      </c>
    </row>
    <row r="267" customFormat="false" ht="12.8" hidden="false" customHeight="false" outlineLevel="0" collapsed="false">
      <c r="A267" s="11" t="n">
        <v>265</v>
      </c>
      <c r="B267" s="141" t="s">
        <v>755</v>
      </c>
      <c r="C267" s="141" t="n">
        <v>1</v>
      </c>
      <c r="D267" s="141" t="s">
        <v>682</v>
      </c>
      <c r="E267" s="141" t="n">
        <v>-20</v>
      </c>
      <c r="F267" s="141" t="n">
        <v>-10</v>
      </c>
      <c r="G267" s="141" t="n">
        <v>42</v>
      </c>
      <c r="H267" s="141" t="n">
        <v>60</v>
      </c>
      <c r="I267" s="141" t="n">
        <v>0</v>
      </c>
      <c r="J267" s="141" t="n">
        <v>4</v>
      </c>
      <c r="K267" s="141" t="n">
        <v>0.0439748925695732</v>
      </c>
      <c r="L267" s="141" t="n">
        <v>0.444775963612225</v>
      </c>
      <c r="M267" s="141" t="n">
        <v>0</v>
      </c>
      <c r="N267" s="141" t="n">
        <v>0.0370233788816833</v>
      </c>
      <c r="O267" s="141" t="n">
        <v>0.0299643408845749</v>
      </c>
      <c r="P267" s="141" t="n">
        <v>0.0616999667559271</v>
      </c>
      <c r="Q267" s="141" t="n">
        <v>1</v>
      </c>
    </row>
    <row r="268" customFormat="false" ht="12.8" hidden="false" customHeight="false" outlineLevel="0" collapsed="false">
      <c r="A268" s="11" t="n">
        <v>266</v>
      </c>
      <c r="B268" s="141" t="s">
        <v>756</v>
      </c>
      <c r="C268" s="141" t="n">
        <v>0</v>
      </c>
      <c r="D268" s="141" t="s">
        <v>682</v>
      </c>
      <c r="E268" s="141" t="n">
        <v>-20</v>
      </c>
      <c r="F268" s="141" t="n">
        <v>-10</v>
      </c>
      <c r="G268" s="141" t="n">
        <v>42</v>
      </c>
      <c r="H268" s="141" t="n">
        <v>60</v>
      </c>
      <c r="I268" s="141" t="n">
        <v>0</v>
      </c>
      <c r="J268" s="141" t="n">
        <v>4</v>
      </c>
      <c r="K268" s="141"/>
      <c r="L268" s="141" t="n">
        <v>0.43480428478488</v>
      </c>
      <c r="M268" s="141" t="n">
        <v>0</v>
      </c>
      <c r="N268" s="141"/>
      <c r="O268" s="141" t="n">
        <v>0.024058952797115</v>
      </c>
      <c r="P268" s="141" t="n">
        <v>0.0447664690146918</v>
      </c>
      <c r="Q268" s="141" t="n">
        <v>1</v>
      </c>
    </row>
    <row r="269" customFormat="false" ht="12.8" hidden="false" customHeight="false" outlineLevel="0" collapsed="false">
      <c r="A269" s="11" t="n">
        <v>267</v>
      </c>
      <c r="B269" s="141" t="s">
        <v>757</v>
      </c>
      <c r="C269" s="141" t="n">
        <v>0</v>
      </c>
      <c r="D269" s="141" t="s">
        <v>682</v>
      </c>
      <c r="E269" s="141" t="n">
        <v>-20</v>
      </c>
      <c r="F269" s="141" t="n">
        <v>-10</v>
      </c>
      <c r="G269" s="141" t="n">
        <v>42</v>
      </c>
      <c r="H269" s="141" t="n">
        <v>60</v>
      </c>
      <c r="I269" s="141" t="n">
        <v>0</v>
      </c>
      <c r="J269" s="141" t="n">
        <v>4</v>
      </c>
      <c r="K269" s="141"/>
      <c r="L269" s="141" t="n">
        <v>0.434196174005345</v>
      </c>
      <c r="M269" s="141" t="n">
        <v>0</v>
      </c>
      <c r="N269" s="141"/>
      <c r="O269" s="141" t="n">
        <v>0.0237094534244093</v>
      </c>
      <c r="P269" s="141" t="n">
        <v>0.0437338001241303</v>
      </c>
      <c r="Q269" s="141" t="n">
        <v>1</v>
      </c>
    </row>
    <row r="270" customFormat="false" ht="12.8" hidden="false" customHeight="false" outlineLevel="0" collapsed="false">
      <c r="A270" s="11" t="n">
        <v>268</v>
      </c>
      <c r="B270" s="141" t="s">
        <v>758</v>
      </c>
      <c r="C270" s="141" t="n">
        <v>1</v>
      </c>
      <c r="D270" s="141" t="s">
        <v>682</v>
      </c>
      <c r="E270" s="141" t="n">
        <v>-20</v>
      </c>
      <c r="F270" s="141" t="n">
        <v>-10</v>
      </c>
      <c r="G270" s="141" t="n">
        <v>42</v>
      </c>
      <c r="H270" s="141" t="n">
        <v>60</v>
      </c>
      <c r="I270" s="141" t="n">
        <v>0</v>
      </c>
      <c r="J270" s="141" t="n">
        <v>4</v>
      </c>
      <c r="K270" s="141" t="n">
        <v>0.0510917764792394</v>
      </c>
      <c r="L270" s="141" t="n">
        <v>0.442965490000179</v>
      </c>
      <c r="M270" s="141" t="n">
        <v>0</v>
      </c>
      <c r="N270" s="141" t="n">
        <v>0.0430782461724348</v>
      </c>
      <c r="O270" s="141" t="n">
        <v>0.0288682855159058</v>
      </c>
      <c r="P270" s="141" t="n">
        <v>0.0586254944076923</v>
      </c>
      <c r="Q270" s="141" t="n">
        <v>0</v>
      </c>
    </row>
    <row r="271" customFormat="false" ht="12.8" hidden="false" customHeight="false" outlineLevel="0" collapsed="false">
      <c r="A271" s="11" t="n">
        <v>269</v>
      </c>
      <c r="B271" s="141" t="s">
        <v>759</v>
      </c>
      <c r="C271" s="141" t="n">
        <v>1</v>
      </c>
      <c r="D271" s="141" t="s">
        <v>682</v>
      </c>
      <c r="E271" s="141" t="n">
        <v>-20</v>
      </c>
      <c r="F271" s="141" t="n">
        <v>-10</v>
      </c>
      <c r="G271" s="141" t="n">
        <v>42</v>
      </c>
      <c r="H271" s="141" t="n">
        <v>60</v>
      </c>
      <c r="I271" s="141" t="n">
        <v>0</v>
      </c>
      <c r="J271" s="141" t="n">
        <v>4</v>
      </c>
      <c r="K271" s="141" t="n">
        <v>0.0676942433616749</v>
      </c>
      <c r="L271" s="141" t="n">
        <v>0.445231201814455</v>
      </c>
      <c r="M271" s="141" t="n">
        <v>0</v>
      </c>
      <c r="N271" s="141" t="n">
        <v>0.0572714563209063</v>
      </c>
      <c r="O271" s="141" t="n">
        <v>0.0302415614407675</v>
      </c>
      <c r="P271" s="141" t="n">
        <v>0.0624730336790259</v>
      </c>
      <c r="Q271" s="141" t="n">
        <v>0</v>
      </c>
    </row>
    <row r="272" customFormat="false" ht="12.8" hidden="false" customHeight="false" outlineLevel="0" collapsed="false">
      <c r="A272" s="11" t="n">
        <v>270</v>
      </c>
      <c r="B272" s="141" t="s">
        <v>760</v>
      </c>
      <c r="C272" s="141" t="n">
        <v>0</v>
      </c>
      <c r="D272" s="141" t="s">
        <v>682</v>
      </c>
      <c r="E272" s="141" t="n">
        <v>-20</v>
      </c>
      <c r="F272" s="141" t="n">
        <v>-10</v>
      </c>
      <c r="G272" s="141" t="n">
        <v>42</v>
      </c>
      <c r="H272" s="141" t="n">
        <v>60</v>
      </c>
      <c r="I272" s="141" t="n">
        <v>0</v>
      </c>
      <c r="J272" s="141" t="n">
        <v>4</v>
      </c>
      <c r="K272" s="141"/>
      <c r="L272" s="141" t="n">
        <v>0.429953282430012</v>
      </c>
      <c r="M272" s="141" t="n">
        <v>0</v>
      </c>
      <c r="N272" s="141"/>
      <c r="O272" s="141" t="n">
        <v>0.0213063044520326</v>
      </c>
      <c r="P272" s="141" t="n">
        <v>0.0365286949305926</v>
      </c>
      <c r="Q272" s="141" t="n">
        <v>1</v>
      </c>
    </row>
    <row r="273" customFormat="false" ht="12.8" hidden="false" customHeight="false" outlineLevel="0" collapsed="false">
      <c r="A273" s="11" t="n">
        <v>271</v>
      </c>
      <c r="B273" s="141" t="s">
        <v>761</v>
      </c>
      <c r="C273" s="141" t="n">
        <v>0</v>
      </c>
      <c r="D273" s="141" t="s">
        <v>682</v>
      </c>
      <c r="E273" s="141" t="n">
        <v>-20</v>
      </c>
      <c r="F273" s="141" t="n">
        <v>-10</v>
      </c>
      <c r="G273" s="141" t="n">
        <v>42</v>
      </c>
      <c r="H273" s="141" t="n">
        <v>60</v>
      </c>
      <c r="I273" s="141" t="n">
        <v>0</v>
      </c>
      <c r="J273" s="141" t="n">
        <v>4</v>
      </c>
      <c r="K273" s="141"/>
      <c r="L273" s="141" t="n">
        <v>0.43479788502813</v>
      </c>
      <c r="M273" s="141" t="n">
        <v>0</v>
      </c>
      <c r="N273" s="141"/>
      <c r="O273" s="141" t="n">
        <v>0.0240552681335865</v>
      </c>
      <c r="P273" s="141" t="n">
        <v>0.0447556012091457</v>
      </c>
      <c r="Q273" s="141" t="n">
        <v>1</v>
      </c>
    </row>
    <row r="274" customFormat="false" ht="12.8" hidden="false" customHeight="false" outlineLevel="0" collapsed="false">
      <c r="A274" s="11" t="n">
        <v>272</v>
      </c>
      <c r="B274" s="141" t="s">
        <v>762</v>
      </c>
      <c r="C274" s="141" t="n">
        <v>1</v>
      </c>
      <c r="D274" s="141" t="s">
        <v>682</v>
      </c>
      <c r="E274" s="141" t="n">
        <v>-20</v>
      </c>
      <c r="F274" s="141" t="n">
        <v>-10</v>
      </c>
      <c r="G274" s="141" t="n">
        <v>42</v>
      </c>
      <c r="H274" s="141" t="n">
        <v>60</v>
      </c>
      <c r="I274" s="141" t="n">
        <v>0</v>
      </c>
      <c r="J274" s="141" t="n">
        <v>4</v>
      </c>
      <c r="K274" s="141" t="n">
        <v>0.0871612302793312</v>
      </c>
      <c r="L274" s="141" t="n">
        <v>0.448672977202642</v>
      </c>
      <c r="M274" s="141" t="n">
        <v>0</v>
      </c>
      <c r="N274" s="141" t="n">
        <v>0.0740351883971037</v>
      </c>
      <c r="O274" s="141" t="n">
        <v>0.0323582187273175</v>
      </c>
      <c r="P274" s="141" t="n">
        <v>0.068317716081138</v>
      </c>
      <c r="Q274" s="141" t="n">
        <v>0</v>
      </c>
    </row>
    <row r="275" customFormat="false" ht="12.8" hidden="false" customHeight="false" outlineLevel="0" collapsed="false">
      <c r="A275" s="11" t="n">
        <v>273</v>
      </c>
      <c r="B275" s="141" t="s">
        <v>763</v>
      </c>
      <c r="C275" s="141" t="n">
        <v>1</v>
      </c>
      <c r="D275" s="141" t="s">
        <v>682</v>
      </c>
      <c r="E275" s="141" t="n">
        <v>-20</v>
      </c>
      <c r="F275" s="141" t="n">
        <v>-10</v>
      </c>
      <c r="G275" s="141" t="n">
        <v>42</v>
      </c>
      <c r="H275" s="141" t="n">
        <v>60</v>
      </c>
      <c r="I275" s="141" t="n">
        <v>0</v>
      </c>
      <c r="J275" s="141" t="n">
        <v>4</v>
      </c>
      <c r="K275" s="141" t="n">
        <v>0.0722192897837367</v>
      </c>
      <c r="L275" s="141" t="n">
        <v>0.452223589224478</v>
      </c>
      <c r="M275" s="141" t="n">
        <v>0</v>
      </c>
      <c r="N275" s="141" t="n">
        <v>0.0611564214206347</v>
      </c>
      <c r="O275" s="141" t="n">
        <v>0.0345795065115591</v>
      </c>
      <c r="P275" s="141" t="n">
        <v>0.0743472204096248</v>
      </c>
      <c r="Q275" s="141" t="n">
        <v>0</v>
      </c>
    </row>
    <row r="276" customFormat="false" ht="12.8" hidden="false" customHeight="false" outlineLevel="0" collapsed="false">
      <c r="A276" s="11" t="n">
        <v>274</v>
      </c>
      <c r="B276" s="141" t="s">
        <v>764</v>
      </c>
      <c r="C276" s="141" t="n">
        <v>0</v>
      </c>
      <c r="D276" s="141" t="s">
        <v>682</v>
      </c>
      <c r="E276" s="141" t="n">
        <v>-20</v>
      </c>
      <c r="F276" s="141" t="n">
        <v>-10</v>
      </c>
      <c r="G276" s="141" t="n">
        <v>42</v>
      </c>
      <c r="H276" s="141" t="n">
        <v>60</v>
      </c>
      <c r="I276" s="141" t="n">
        <v>0</v>
      </c>
      <c r="J276" s="141" t="n">
        <v>4</v>
      </c>
      <c r="K276" s="141"/>
      <c r="L276" s="141" t="n">
        <v>0.442306669475143</v>
      </c>
      <c r="M276" s="141" t="n">
        <v>0</v>
      </c>
      <c r="N276" s="141"/>
      <c r="O276" s="141" t="n">
        <v>0.0284720133868077</v>
      </c>
      <c r="P276" s="141" t="n">
        <v>0.0575067122983073</v>
      </c>
      <c r="Q276" s="141" t="n">
        <v>1</v>
      </c>
    </row>
    <row r="277" customFormat="false" ht="12.8" hidden="false" customHeight="false" outlineLevel="0" collapsed="false">
      <c r="A277" s="11" t="n">
        <v>275</v>
      </c>
      <c r="B277" s="141" t="s">
        <v>765</v>
      </c>
      <c r="C277" s="141" t="n">
        <v>0</v>
      </c>
      <c r="D277" s="141" t="s">
        <v>682</v>
      </c>
      <c r="E277" s="141" t="n">
        <v>-20</v>
      </c>
      <c r="F277" s="141" t="n">
        <v>-10</v>
      </c>
      <c r="G277" s="141" t="n">
        <v>42</v>
      </c>
      <c r="H277" s="141" t="n">
        <v>60</v>
      </c>
      <c r="I277" s="141" t="n">
        <v>0</v>
      </c>
      <c r="J277" s="141" t="n">
        <v>4</v>
      </c>
      <c r="K277" s="141"/>
      <c r="L277" s="141" t="n">
        <v>0.444900282301471</v>
      </c>
      <c r="M277" s="141" t="n">
        <v>0</v>
      </c>
      <c r="N277" s="141"/>
      <c r="O277" s="141" t="n">
        <v>0.0300399813232488</v>
      </c>
      <c r="P277" s="141" t="n">
        <v>0.0619110796768296</v>
      </c>
      <c r="Q277" s="141" t="n">
        <v>1</v>
      </c>
    </row>
    <row r="278" customFormat="false" ht="12.8" hidden="false" customHeight="false" outlineLevel="0" collapsed="false">
      <c r="A278" s="11" t="n">
        <v>276</v>
      </c>
      <c r="B278" s="141" t="s">
        <v>766</v>
      </c>
      <c r="C278" s="141" t="n">
        <v>1</v>
      </c>
      <c r="D278" s="141" t="s">
        <v>682</v>
      </c>
      <c r="E278" s="141" t="n">
        <v>-20</v>
      </c>
      <c r="F278" s="141" t="n">
        <v>-10</v>
      </c>
      <c r="G278" s="141" t="n">
        <v>42</v>
      </c>
      <c r="H278" s="141" t="n">
        <v>60</v>
      </c>
      <c r="I278" s="141" t="n">
        <v>0</v>
      </c>
      <c r="J278" s="141" t="n">
        <v>4</v>
      </c>
      <c r="K278" s="141" t="n">
        <v>0.0786548480569406</v>
      </c>
      <c r="L278" s="141" t="n">
        <v>0.455019934415107</v>
      </c>
      <c r="M278" s="141" t="n">
        <v>0</v>
      </c>
      <c r="N278" s="141" t="n">
        <v>0.0666938749356973</v>
      </c>
      <c r="O278" s="141" t="n">
        <v>0.0363551921546287</v>
      </c>
      <c r="P278" s="141" t="n">
        <v>0.0790958596096128</v>
      </c>
      <c r="Q278" s="141" t="n">
        <v>0</v>
      </c>
    </row>
    <row r="279" customFormat="false" ht="12.8" hidden="false" customHeight="false" outlineLevel="0" collapsed="false">
      <c r="A279" s="11" t="n">
        <v>277</v>
      </c>
      <c r="B279" s="141" t="s">
        <v>767</v>
      </c>
      <c r="C279" s="141" t="n">
        <v>1</v>
      </c>
      <c r="D279" s="141" t="s">
        <v>682</v>
      </c>
      <c r="E279" s="141" t="n">
        <v>-20</v>
      </c>
      <c r="F279" s="141" t="n">
        <v>-10</v>
      </c>
      <c r="G279" s="141" t="n">
        <v>42</v>
      </c>
      <c r="H279" s="141" t="n">
        <v>60</v>
      </c>
      <c r="I279" s="141" t="n">
        <v>0</v>
      </c>
      <c r="J279" s="141" t="n">
        <v>4</v>
      </c>
      <c r="K279" s="141" t="n">
        <v>0.090631140258811</v>
      </c>
      <c r="L279" s="141" t="n">
        <v>0.456702370247005</v>
      </c>
      <c r="M279" s="141" t="n">
        <v>0</v>
      </c>
      <c r="N279" s="141" t="n">
        <v>0.0770370471391393</v>
      </c>
      <c r="O279" s="141" t="n">
        <v>0.0374344680683569</v>
      </c>
      <c r="P279" s="141" t="n">
        <v>0.0819529034286631</v>
      </c>
      <c r="Q279" s="141" t="n">
        <v>0</v>
      </c>
    </row>
    <row r="280" customFormat="false" ht="12.8" hidden="false" customHeight="false" outlineLevel="0" collapsed="false">
      <c r="A280" s="11" t="n">
        <v>278</v>
      </c>
      <c r="B280" s="141" t="s">
        <v>768</v>
      </c>
      <c r="C280" s="141" t="n">
        <v>0</v>
      </c>
      <c r="D280" s="141" t="s">
        <v>682</v>
      </c>
      <c r="E280" s="141" t="n">
        <v>-20</v>
      </c>
      <c r="F280" s="141" t="n">
        <v>-10</v>
      </c>
      <c r="G280" s="141" t="n">
        <v>42</v>
      </c>
      <c r="H280" s="141" t="n">
        <v>60</v>
      </c>
      <c r="I280" s="141" t="n">
        <v>0</v>
      </c>
      <c r="J280" s="141" t="n">
        <v>4</v>
      </c>
      <c r="K280" s="141"/>
      <c r="L280" s="141" t="n">
        <v>0.441403681208362</v>
      </c>
      <c r="M280" s="141" t="n">
        <v>0</v>
      </c>
      <c r="N280" s="141"/>
      <c r="O280" s="141" t="n">
        <v>0.0279311303152829</v>
      </c>
      <c r="P280" s="141" t="n">
        <v>0.0559732945016996</v>
      </c>
      <c r="Q280" s="141" t="n">
        <v>1</v>
      </c>
    </row>
    <row r="281" customFormat="false" ht="12.8" hidden="false" customHeight="false" outlineLevel="0" collapsed="false">
      <c r="A281" s="11" t="n">
        <v>279</v>
      </c>
      <c r="B281" s="141" t="s">
        <v>769</v>
      </c>
      <c r="C281" s="141" t="n">
        <v>0</v>
      </c>
      <c r="D281" s="141" t="s">
        <v>682</v>
      </c>
      <c r="E281" s="141" t="n">
        <v>-20</v>
      </c>
      <c r="F281" s="141" t="n">
        <v>-10</v>
      </c>
      <c r="G281" s="141" t="n">
        <v>42</v>
      </c>
      <c r="H281" s="141" t="n">
        <v>60</v>
      </c>
      <c r="I281" s="141" t="n">
        <v>0</v>
      </c>
      <c r="J281" s="141" t="n">
        <v>4</v>
      </c>
      <c r="K281" s="141"/>
      <c r="L281" s="141" t="n">
        <v>0.440026079280446</v>
      </c>
      <c r="M281" s="141" t="n">
        <v>0</v>
      </c>
      <c r="N281" s="141"/>
      <c r="O281" s="141" t="n">
        <v>0.0271110148486955</v>
      </c>
      <c r="P281" s="141" t="n">
        <v>0.0536339071689753</v>
      </c>
      <c r="Q281" s="141" t="n">
        <v>1</v>
      </c>
    </row>
    <row r="282" customFormat="false" ht="12.8" hidden="false" customHeight="false" outlineLevel="0" collapsed="false">
      <c r="A282" s="11" t="n">
        <v>280</v>
      </c>
      <c r="B282" s="141" t="s">
        <v>770</v>
      </c>
      <c r="C282" s="141" t="n">
        <v>1</v>
      </c>
      <c r="D282" s="141" t="s">
        <v>682</v>
      </c>
      <c r="E282" s="141" t="n">
        <v>-20</v>
      </c>
      <c r="F282" s="141" t="n">
        <v>-10</v>
      </c>
      <c r="G282" s="141" t="n">
        <v>42</v>
      </c>
      <c r="H282" s="141" t="n">
        <v>60</v>
      </c>
      <c r="I282" s="141" t="n">
        <v>0</v>
      </c>
      <c r="J282" s="141" t="n">
        <v>4</v>
      </c>
      <c r="K282" s="141" t="n">
        <v>0.0657269996198832</v>
      </c>
      <c r="L282" s="141" t="n">
        <v>0.455378939664788</v>
      </c>
      <c r="M282" s="141" t="n">
        <v>0</v>
      </c>
      <c r="N282" s="141" t="n">
        <v>0.0555846984512848</v>
      </c>
      <c r="O282" s="141" t="n">
        <v>0.0365848093124508</v>
      </c>
      <c r="P282" s="141" t="n">
        <v>0.0797055076628465</v>
      </c>
      <c r="Q282" s="141" t="n">
        <v>0</v>
      </c>
    </row>
    <row r="283" customFormat="false" ht="12.8" hidden="false" customHeight="false" outlineLevel="0" collapsed="false">
      <c r="A283" s="11" t="n">
        <v>281</v>
      </c>
      <c r="B283" s="141" t="s">
        <v>771</v>
      </c>
      <c r="C283" s="141" t="n">
        <v>1</v>
      </c>
      <c r="D283" s="141" t="s">
        <v>682</v>
      </c>
      <c r="E283" s="141" t="n">
        <v>-20</v>
      </c>
      <c r="F283" s="141" t="n">
        <v>-10</v>
      </c>
      <c r="G283" s="141" t="n">
        <v>42</v>
      </c>
      <c r="H283" s="141" t="n">
        <v>60</v>
      </c>
      <c r="I283" s="141" t="n">
        <v>0</v>
      </c>
      <c r="J283" s="141" t="n">
        <v>4</v>
      </c>
      <c r="K283" s="141" t="n">
        <v>0.0636451627585845</v>
      </c>
      <c r="L283" s="141" t="n">
        <v>0.458617235682257</v>
      </c>
      <c r="M283" s="141" t="n">
        <v>0</v>
      </c>
      <c r="N283" s="141" t="n">
        <v>0.0538011467679739</v>
      </c>
      <c r="O283" s="141" t="n">
        <v>0.0386726713008272</v>
      </c>
      <c r="P283" s="141" t="n">
        <v>0.085204649707703</v>
      </c>
      <c r="Q283" s="141" t="n">
        <v>0</v>
      </c>
    </row>
    <row r="284" customFormat="false" ht="12.8" hidden="false" customHeight="false" outlineLevel="0" collapsed="false">
      <c r="A284" s="11" t="n">
        <v>282</v>
      </c>
      <c r="B284" s="141" t="s">
        <v>772</v>
      </c>
      <c r="C284" s="141" t="n">
        <v>0</v>
      </c>
      <c r="D284" s="141" t="s">
        <v>682</v>
      </c>
      <c r="E284" s="141" t="n">
        <v>-20</v>
      </c>
      <c r="F284" s="141" t="n">
        <v>-10</v>
      </c>
      <c r="G284" s="141" t="n">
        <v>42</v>
      </c>
      <c r="H284" s="141" t="n">
        <v>60</v>
      </c>
      <c r="I284" s="141" t="n">
        <v>0</v>
      </c>
      <c r="J284" s="141" t="n">
        <v>4</v>
      </c>
      <c r="K284" s="141"/>
      <c r="L284" s="141" t="n">
        <v>0.448871988062491</v>
      </c>
      <c r="M284" s="141" t="n">
        <v>0</v>
      </c>
      <c r="N284" s="141"/>
      <c r="O284" s="141" t="n">
        <v>0.0324817181414562</v>
      </c>
      <c r="P284" s="141" t="n">
        <v>0.0686556681957299</v>
      </c>
      <c r="Q284" s="141" t="n">
        <v>1</v>
      </c>
    </row>
    <row r="285" customFormat="false" ht="12.8" hidden="false" customHeight="false" outlineLevel="0" collapsed="false">
      <c r="A285" s="11" t="n">
        <v>283</v>
      </c>
      <c r="B285" s="141" t="s">
        <v>773</v>
      </c>
      <c r="C285" s="141" t="n">
        <v>0</v>
      </c>
      <c r="D285" s="141" t="s">
        <v>682</v>
      </c>
      <c r="E285" s="141" t="n">
        <v>-20</v>
      </c>
      <c r="F285" s="141" t="n">
        <v>-10</v>
      </c>
      <c r="G285" s="141" t="n">
        <v>42</v>
      </c>
      <c r="H285" s="141" t="n">
        <v>60</v>
      </c>
      <c r="I285" s="141" t="n">
        <v>0</v>
      </c>
      <c r="J285" s="141" t="n">
        <v>4</v>
      </c>
      <c r="K285" s="141"/>
      <c r="L285" s="141" t="n">
        <v>0.449835992905504</v>
      </c>
      <c r="M285" s="141" t="n">
        <v>0</v>
      </c>
      <c r="N285" s="141"/>
      <c r="O285" s="141" t="n">
        <v>0.0330816436374541</v>
      </c>
      <c r="P285" s="141" t="n">
        <v>0.0702927018501763</v>
      </c>
      <c r="Q285" s="141" t="n">
        <v>1</v>
      </c>
    </row>
    <row r="286" customFormat="false" ht="12.8" hidden="false" customHeight="false" outlineLevel="0" collapsed="false">
      <c r="A286" s="11" t="n">
        <v>284</v>
      </c>
      <c r="B286" s="141" t="s">
        <v>774</v>
      </c>
      <c r="C286" s="141" t="n">
        <v>1</v>
      </c>
      <c r="D286" s="141" t="s">
        <v>682</v>
      </c>
      <c r="E286" s="141" t="n">
        <v>-20</v>
      </c>
      <c r="F286" s="141" t="n">
        <v>-10</v>
      </c>
      <c r="G286" s="141" t="n">
        <v>42</v>
      </c>
      <c r="H286" s="141" t="n">
        <v>60</v>
      </c>
      <c r="I286" s="141" t="n">
        <v>0</v>
      </c>
      <c r="J286" s="141" t="n">
        <v>4</v>
      </c>
      <c r="K286" s="141" t="n">
        <v>0.064122203035049</v>
      </c>
      <c r="L286" s="141" t="n">
        <v>0.458266520163026</v>
      </c>
      <c r="M286" s="141" t="n">
        <v>0</v>
      </c>
      <c r="N286" s="141" t="n">
        <v>0.0542097041367358</v>
      </c>
      <c r="O286" s="141" t="n">
        <v>0.0384451133283652</v>
      </c>
      <c r="P286" s="141" t="n">
        <v>0.0846090789361665</v>
      </c>
      <c r="Q286" s="141" t="n">
        <v>0</v>
      </c>
    </row>
    <row r="287" customFormat="false" ht="12.8" hidden="false" customHeight="false" outlineLevel="0" collapsed="false">
      <c r="A287" s="11" t="n">
        <v>285</v>
      </c>
      <c r="B287" s="141" t="s">
        <v>775</v>
      </c>
      <c r="C287" s="141" t="n">
        <v>1</v>
      </c>
      <c r="D287" s="141" t="s">
        <v>682</v>
      </c>
      <c r="E287" s="141" t="n">
        <v>-20</v>
      </c>
      <c r="F287" s="141" t="n">
        <v>-10</v>
      </c>
      <c r="G287" s="141" t="n">
        <v>42</v>
      </c>
      <c r="H287" s="141" t="n">
        <v>60</v>
      </c>
      <c r="I287" s="141" t="n">
        <v>0</v>
      </c>
      <c r="J287" s="141" t="n">
        <v>4</v>
      </c>
      <c r="K287" s="141" t="n">
        <v>0.058752918488751</v>
      </c>
      <c r="L287" s="141" t="n">
        <v>0.459294791274896</v>
      </c>
      <c r="M287" s="141" t="n">
        <v>0</v>
      </c>
      <c r="N287" s="141" t="n">
        <v>0.0496157751063479</v>
      </c>
      <c r="O287" s="141" t="n">
        <v>0.0391132748907371</v>
      </c>
      <c r="P287" s="141" t="n">
        <v>0.0863552469437526</v>
      </c>
      <c r="Q287" s="141" t="n">
        <v>0</v>
      </c>
    </row>
    <row r="288" customFormat="false" ht="12.8" hidden="false" customHeight="false" outlineLevel="0" collapsed="false">
      <c r="A288" s="11" t="n">
        <v>286</v>
      </c>
      <c r="B288" s="141" t="s">
        <v>776</v>
      </c>
      <c r="C288" s="141" t="n">
        <v>0</v>
      </c>
      <c r="D288" s="141" t="s">
        <v>682</v>
      </c>
      <c r="E288" s="141" t="n">
        <v>-20</v>
      </c>
      <c r="F288" s="141" t="n">
        <v>-10</v>
      </c>
      <c r="G288" s="141" t="n">
        <v>42</v>
      </c>
      <c r="H288" s="141" t="n">
        <v>60</v>
      </c>
      <c r="I288" s="141" t="n">
        <v>0</v>
      </c>
      <c r="J288" s="141" t="n">
        <v>4</v>
      </c>
      <c r="K288" s="141"/>
      <c r="L288" s="141" t="n">
        <v>0.45513721208341</v>
      </c>
      <c r="M288" s="141" t="n">
        <v>0</v>
      </c>
      <c r="N288" s="141"/>
      <c r="O288" s="141" t="n">
        <v>0.0364301611678025</v>
      </c>
      <c r="P288" s="141" t="n">
        <v>0.0792950157563048</v>
      </c>
      <c r="Q288" s="141" t="n">
        <v>1</v>
      </c>
    </row>
    <row r="289" customFormat="false" ht="12.8" hidden="false" customHeight="false" outlineLevel="0" collapsed="false">
      <c r="A289" s="11" t="n">
        <v>287</v>
      </c>
      <c r="B289" s="141" t="s">
        <v>777</v>
      </c>
      <c r="C289" s="141" t="n">
        <v>0</v>
      </c>
      <c r="D289" s="141" t="s">
        <v>682</v>
      </c>
      <c r="E289" s="141" t="n">
        <v>-20</v>
      </c>
      <c r="F289" s="141" t="n">
        <v>-10</v>
      </c>
      <c r="G289" s="141" t="n">
        <v>42</v>
      </c>
      <c r="H289" s="141" t="n">
        <v>60</v>
      </c>
      <c r="I289" s="141" t="n">
        <v>0</v>
      </c>
      <c r="J289" s="141" t="n">
        <v>4</v>
      </c>
      <c r="K289" s="141"/>
      <c r="L289" s="141" t="n">
        <v>0.456450436968185</v>
      </c>
      <c r="M289" s="141" t="n">
        <v>0</v>
      </c>
      <c r="N289" s="141"/>
      <c r="O289" s="141" t="n">
        <v>0.0372723369996848</v>
      </c>
      <c r="P289" s="141" t="n">
        <v>0.0815250806235255</v>
      </c>
      <c r="Q289" s="141" t="n">
        <v>1</v>
      </c>
    </row>
    <row r="290" customFormat="false" ht="12.8" hidden="false" customHeight="false" outlineLevel="0" collapsed="false">
      <c r="A290" s="11" t="n">
        <v>288</v>
      </c>
      <c r="B290" s="141" t="s">
        <v>778</v>
      </c>
      <c r="C290" s="141" t="n">
        <v>1</v>
      </c>
      <c r="D290" s="141" t="s">
        <v>682</v>
      </c>
      <c r="E290" s="141" t="n">
        <v>-20</v>
      </c>
      <c r="F290" s="141" t="n">
        <v>-10</v>
      </c>
      <c r="G290" s="141" t="n">
        <v>42</v>
      </c>
      <c r="H290" s="141" t="n">
        <v>60</v>
      </c>
      <c r="I290" s="141" t="n">
        <v>0</v>
      </c>
      <c r="J290" s="141" t="n">
        <v>4</v>
      </c>
      <c r="K290" s="141" t="n">
        <v>0.0841503479392165</v>
      </c>
      <c r="L290" s="141" t="n">
        <v>0.45671047144098</v>
      </c>
      <c r="M290" s="141" t="n">
        <v>0</v>
      </c>
      <c r="N290" s="141" t="n">
        <v>0.0714338212930902</v>
      </c>
      <c r="O290" s="141" t="n">
        <v>0.0374396845808456</v>
      </c>
      <c r="P290" s="141" t="n">
        <v>0.081966660545419</v>
      </c>
      <c r="Q290" s="141" t="n">
        <v>1</v>
      </c>
    </row>
    <row r="291" customFormat="false" ht="12.8" hidden="false" customHeight="false" outlineLevel="0" collapsed="false">
      <c r="A291" s="11" t="n">
        <v>289</v>
      </c>
      <c r="B291" s="141" t="s">
        <v>779</v>
      </c>
      <c r="C291" s="141" t="n">
        <v>1</v>
      </c>
      <c r="D291" s="141" t="s">
        <v>682</v>
      </c>
      <c r="E291" s="141" t="n">
        <v>-20</v>
      </c>
      <c r="F291" s="141" t="n">
        <v>-10</v>
      </c>
      <c r="G291" s="141" t="n">
        <v>42</v>
      </c>
      <c r="H291" s="141" t="n">
        <v>60</v>
      </c>
      <c r="I291" s="141" t="n">
        <v>0</v>
      </c>
      <c r="J291" s="141" t="n">
        <v>4</v>
      </c>
      <c r="K291" s="141" t="n">
        <v>0.087117280319192</v>
      </c>
      <c r="L291" s="141" t="n">
        <v>0.459982655853344</v>
      </c>
      <c r="M291" s="141" t="n">
        <v>0</v>
      </c>
      <c r="N291" s="141" t="n">
        <v>0.0739971935481878</v>
      </c>
      <c r="O291" s="141" t="n">
        <v>0.0395618962308883</v>
      </c>
      <c r="P291" s="141" t="n">
        <v>0.0875233504784844</v>
      </c>
      <c r="Q291" s="141" t="n">
        <v>0</v>
      </c>
    </row>
    <row r="292" customFormat="false" ht="12.8" hidden="false" customHeight="false" outlineLevel="0" collapsed="false">
      <c r="A292" s="11" t="n">
        <v>290</v>
      </c>
      <c r="B292" s="141" t="s">
        <v>780</v>
      </c>
      <c r="C292" s="141" t="n">
        <v>0</v>
      </c>
      <c r="D292" s="141" t="s">
        <v>682</v>
      </c>
      <c r="E292" s="141" t="n">
        <v>-20</v>
      </c>
      <c r="F292" s="141" t="n">
        <v>-10</v>
      </c>
      <c r="G292" s="141" t="n">
        <v>42</v>
      </c>
      <c r="H292" s="141" t="n">
        <v>60</v>
      </c>
      <c r="I292" s="141" t="n">
        <v>0</v>
      </c>
      <c r="J292" s="141" t="n">
        <v>4</v>
      </c>
      <c r="K292" s="141"/>
      <c r="L292" s="141" t="n">
        <v>0.465249045928038</v>
      </c>
      <c r="M292" s="141" t="n">
        <v>0</v>
      </c>
      <c r="N292" s="141"/>
      <c r="O292" s="141" t="n">
        <v>0.0430397462971681</v>
      </c>
      <c r="P292" s="141" t="n">
        <v>0.0964665190239588</v>
      </c>
      <c r="Q292" s="141" t="n">
        <v>1</v>
      </c>
    </row>
    <row r="293" customFormat="false" ht="12.8" hidden="false" customHeight="false" outlineLevel="0" collapsed="false">
      <c r="A293" s="11" t="n">
        <v>291</v>
      </c>
      <c r="B293" s="141" t="s">
        <v>781</v>
      </c>
      <c r="C293" s="141" t="n">
        <v>0</v>
      </c>
      <c r="D293" s="141" t="s">
        <v>682</v>
      </c>
      <c r="E293" s="141" t="n">
        <v>-20</v>
      </c>
      <c r="F293" s="141" t="n">
        <v>-10</v>
      </c>
      <c r="G293" s="141" t="n">
        <v>42</v>
      </c>
      <c r="H293" s="141" t="n">
        <v>60</v>
      </c>
      <c r="I293" s="141" t="n">
        <v>0</v>
      </c>
      <c r="J293" s="141" t="n">
        <v>4</v>
      </c>
      <c r="K293" s="141"/>
      <c r="L293" s="141" t="n">
        <v>0.464872868328138</v>
      </c>
      <c r="M293" s="141" t="n">
        <v>0</v>
      </c>
      <c r="N293" s="141"/>
      <c r="O293" s="141" t="n">
        <v>0.0427888284034526</v>
      </c>
      <c r="P293" s="141" t="n">
        <v>0.0958277095869015</v>
      </c>
      <c r="Q293" s="141" t="n">
        <v>1</v>
      </c>
    </row>
    <row r="294" customFormat="false" ht="12.8" hidden="false" customHeight="false" outlineLevel="0" collapsed="false">
      <c r="A294" s="11" t="n">
        <v>292</v>
      </c>
      <c r="B294" s="141" t="s">
        <v>782</v>
      </c>
      <c r="C294" s="141" t="n">
        <v>1</v>
      </c>
      <c r="D294" s="141" t="s">
        <v>682</v>
      </c>
      <c r="E294" s="141" t="n">
        <v>-20</v>
      </c>
      <c r="F294" s="141" t="n">
        <v>-10</v>
      </c>
      <c r="G294" s="141" t="n">
        <v>42</v>
      </c>
      <c r="H294" s="141" t="n">
        <v>60</v>
      </c>
      <c r="I294" s="141" t="n">
        <v>0</v>
      </c>
      <c r="J294" s="141" t="n">
        <v>4</v>
      </c>
      <c r="K294" s="141" t="n">
        <v>0.131328036016794</v>
      </c>
      <c r="L294" s="141" t="n">
        <v>0.465794714210772</v>
      </c>
      <c r="M294" s="141" t="n">
        <v>0</v>
      </c>
      <c r="N294" s="141" t="n">
        <v>0.112555894741341</v>
      </c>
      <c r="O294" s="141" t="n">
        <v>0.0434043902992904</v>
      </c>
      <c r="P294" s="141" t="n">
        <v>0.0973931506166049</v>
      </c>
      <c r="Q294" s="141" t="n">
        <v>1</v>
      </c>
    </row>
    <row r="295" customFormat="false" ht="12.8" hidden="false" customHeight="false" outlineLevel="0" collapsed="false">
      <c r="A295" s="11" t="n">
        <v>293</v>
      </c>
      <c r="B295" s="141" t="s">
        <v>783</v>
      </c>
      <c r="C295" s="141" t="n">
        <v>1</v>
      </c>
      <c r="D295" s="141" t="s">
        <v>682</v>
      </c>
      <c r="E295" s="141" t="n">
        <v>-20</v>
      </c>
      <c r="F295" s="141" t="n">
        <v>-10</v>
      </c>
      <c r="G295" s="141" t="n">
        <v>42</v>
      </c>
      <c r="H295" s="141" t="n">
        <v>60</v>
      </c>
      <c r="I295" s="141" t="n">
        <v>0</v>
      </c>
      <c r="J295" s="141" t="n">
        <v>4</v>
      </c>
      <c r="K295" s="141" t="n">
        <v>0.137072309498645</v>
      </c>
      <c r="L295" s="141" t="n">
        <v>0.465113574397234</v>
      </c>
      <c r="M295" s="141" t="n">
        <v>0</v>
      </c>
      <c r="N295" s="141" t="n">
        <v>0.117615529979542</v>
      </c>
      <c r="O295" s="141" t="n">
        <v>0.042949340440941</v>
      </c>
      <c r="P295" s="141" t="n">
        <v>0.0962364668030051</v>
      </c>
      <c r="Q295" s="141" t="n">
        <v>1</v>
      </c>
    </row>
    <row r="296" customFormat="false" ht="12.8" hidden="false" customHeight="false" outlineLevel="0" collapsed="false">
      <c r="A296" s="11" t="n">
        <v>294</v>
      </c>
      <c r="B296" s="141" t="s">
        <v>784</v>
      </c>
      <c r="C296" s="141" t="n">
        <v>0</v>
      </c>
      <c r="D296" s="141" t="s">
        <v>682</v>
      </c>
      <c r="E296" s="141" t="n">
        <v>-20</v>
      </c>
      <c r="F296" s="141" t="n">
        <v>-10</v>
      </c>
      <c r="G296" s="141" t="n">
        <v>42</v>
      </c>
      <c r="H296" s="141" t="n">
        <v>60</v>
      </c>
      <c r="I296" s="141" t="n">
        <v>0</v>
      </c>
      <c r="J296" s="141" t="n">
        <v>4</v>
      </c>
      <c r="K296" s="141"/>
      <c r="L296" s="141" t="n">
        <v>0.468398972019979</v>
      </c>
      <c r="M296" s="141" t="n">
        <v>0</v>
      </c>
      <c r="N296" s="141"/>
      <c r="O296" s="141" t="n">
        <v>0.0451555620813653</v>
      </c>
      <c r="P296" s="141" t="n">
        <v>0.101815594870311</v>
      </c>
      <c r="Q296" s="141" t="n">
        <v>1</v>
      </c>
    </row>
    <row r="297" customFormat="false" ht="12.8" hidden="false" customHeight="false" outlineLevel="0" collapsed="false">
      <c r="A297" s="11" t="n">
        <v>295</v>
      </c>
      <c r="B297" s="141" t="s">
        <v>785</v>
      </c>
      <c r="C297" s="141" t="n">
        <v>0</v>
      </c>
      <c r="D297" s="141" t="s">
        <v>682</v>
      </c>
      <c r="E297" s="141" t="n">
        <v>-20</v>
      </c>
      <c r="F297" s="141" t="n">
        <v>-10</v>
      </c>
      <c r="G297" s="141" t="n">
        <v>42</v>
      </c>
      <c r="H297" s="141" t="n">
        <v>60</v>
      </c>
      <c r="I297" s="141" t="n">
        <v>0</v>
      </c>
      <c r="J297" s="141" t="n">
        <v>4</v>
      </c>
      <c r="K297" s="141"/>
      <c r="L297" s="141" t="n">
        <v>0.465192346780266</v>
      </c>
      <c r="M297" s="141" t="n">
        <v>0</v>
      </c>
      <c r="N297" s="141"/>
      <c r="O297" s="141" t="n">
        <v>0.0430019025924031</v>
      </c>
      <c r="P297" s="141" t="n">
        <v>0.0963702348468052</v>
      </c>
      <c r="Q297" s="141" t="n">
        <v>1</v>
      </c>
    </row>
    <row r="298" customFormat="false" ht="12.8" hidden="false" customHeight="false" outlineLevel="0" collapsed="false">
      <c r="A298" s="11" t="n">
        <v>296</v>
      </c>
      <c r="B298" s="141" t="s">
        <v>786</v>
      </c>
      <c r="C298" s="141" t="n">
        <v>1</v>
      </c>
      <c r="D298" s="141" t="s">
        <v>682</v>
      </c>
      <c r="E298" s="141" t="n">
        <v>-20</v>
      </c>
      <c r="F298" s="141" t="n">
        <v>-10</v>
      </c>
      <c r="G298" s="141" t="n">
        <v>42</v>
      </c>
      <c r="H298" s="141" t="n">
        <v>60</v>
      </c>
      <c r="I298" s="141" t="n">
        <v>0</v>
      </c>
      <c r="J298" s="141" t="n">
        <v>4</v>
      </c>
      <c r="K298" s="141" t="n">
        <v>0.245271685911264</v>
      </c>
      <c r="L298" s="141" t="n">
        <v>0.469350654654115</v>
      </c>
      <c r="M298" s="141" t="n">
        <v>0</v>
      </c>
      <c r="N298" s="141" t="n">
        <v>0.215055583600128</v>
      </c>
      <c r="O298" s="141" t="n">
        <v>0.0457999379322004</v>
      </c>
      <c r="P298" s="141" t="n">
        <v>0.103431703452881</v>
      </c>
      <c r="Q298" s="141" t="n">
        <v>1</v>
      </c>
    </row>
    <row r="299" customFormat="false" ht="12.8" hidden="false" customHeight="false" outlineLevel="0" collapsed="false">
      <c r="A299" s="11" t="n">
        <v>297</v>
      </c>
      <c r="B299" s="141" t="s">
        <v>787</v>
      </c>
      <c r="C299" s="141" t="n">
        <v>1</v>
      </c>
      <c r="D299" s="141" t="s">
        <v>682</v>
      </c>
      <c r="E299" s="141" t="n">
        <v>-20</v>
      </c>
      <c r="F299" s="141" t="n">
        <v>-10</v>
      </c>
      <c r="G299" s="141" t="n">
        <v>42</v>
      </c>
      <c r="H299" s="141" t="n">
        <v>60</v>
      </c>
      <c r="I299" s="141" t="n">
        <v>0</v>
      </c>
      <c r="J299" s="141" t="n">
        <v>4</v>
      </c>
      <c r="K299" s="141" t="n">
        <v>0.277171457634075</v>
      </c>
      <c r="L299" s="141" t="n">
        <v>0.47106232753577</v>
      </c>
      <c r="M299" s="141" t="n">
        <v>0</v>
      </c>
      <c r="N299" s="141" t="n">
        <v>0.244557749237558</v>
      </c>
      <c r="O299" s="141" t="n">
        <v>0.0469647994729563</v>
      </c>
      <c r="P299" s="141" t="n">
        <v>0.106338396435789</v>
      </c>
      <c r="Q299" s="141" t="n">
        <v>1</v>
      </c>
    </row>
    <row r="300" customFormat="false" ht="12.8" hidden="false" customHeight="false" outlineLevel="0" collapsed="false">
      <c r="A300" s="11" t="n">
        <v>298</v>
      </c>
      <c r="B300" s="141" t="s">
        <v>788</v>
      </c>
      <c r="C300" s="141" t="n">
        <v>1</v>
      </c>
      <c r="D300" s="141" t="s">
        <v>682</v>
      </c>
      <c r="E300" s="141" t="n">
        <v>-20</v>
      </c>
      <c r="F300" s="141" t="n">
        <v>-10</v>
      </c>
      <c r="G300" s="141" t="n">
        <v>42</v>
      </c>
      <c r="H300" s="141" t="n">
        <v>60</v>
      </c>
      <c r="I300" s="141" t="n">
        <v>0</v>
      </c>
      <c r="J300" s="141" t="n">
        <v>4</v>
      </c>
      <c r="K300" s="141" t="n">
        <v>0.0788865303971002</v>
      </c>
      <c r="L300" s="141" t="n">
        <v>0.48145523314162</v>
      </c>
      <c r="M300" s="141" t="n">
        <v>0</v>
      </c>
      <c r="N300" s="141" t="n">
        <v>0.0668934928850142</v>
      </c>
      <c r="O300" s="141" t="n">
        <v>0.0541954415215185</v>
      </c>
      <c r="P300" s="141" t="n">
        <v>0.123987204289377</v>
      </c>
      <c r="Q300" s="141" t="n">
        <v>0</v>
      </c>
    </row>
    <row r="301" customFormat="false" ht="12.8" hidden="false" customHeight="false" outlineLevel="0" collapsed="false">
      <c r="A301" s="11" t="n">
        <v>299</v>
      </c>
      <c r="B301" s="141" t="s">
        <v>789</v>
      </c>
      <c r="C301" s="141" t="n">
        <v>1</v>
      </c>
      <c r="D301" s="141" t="s">
        <v>682</v>
      </c>
      <c r="E301" s="141" t="n">
        <v>-20</v>
      </c>
      <c r="F301" s="141" t="n">
        <v>-10</v>
      </c>
      <c r="G301" s="141" t="n">
        <v>42</v>
      </c>
      <c r="H301" s="141" t="n">
        <v>60</v>
      </c>
      <c r="I301" s="141" t="n">
        <v>0</v>
      </c>
      <c r="J301" s="141" t="n">
        <v>4</v>
      </c>
      <c r="K301" s="141" t="n">
        <v>0.0823149945302642</v>
      </c>
      <c r="L301" s="141" t="n">
        <v>0.482049827301411</v>
      </c>
      <c r="M301" s="141" t="n">
        <v>0</v>
      </c>
      <c r="N301" s="141" t="n">
        <v>0.0698496388542383</v>
      </c>
      <c r="O301" s="141" t="n">
        <v>0.0546170712636709</v>
      </c>
      <c r="P301" s="141" t="n">
        <v>0.124996919808309</v>
      </c>
      <c r="Q301" s="141" t="n">
        <v>0</v>
      </c>
    </row>
    <row r="302" customFormat="false" ht="12.8" hidden="false" customHeight="false" outlineLevel="0" collapsed="false">
      <c r="A302" s="11" t="n">
        <v>300</v>
      </c>
      <c r="B302" s="141" t="s">
        <v>790</v>
      </c>
      <c r="C302" s="141" t="n">
        <v>1</v>
      </c>
      <c r="D302" s="141" t="s">
        <v>682</v>
      </c>
      <c r="E302" s="141" t="n">
        <v>-20</v>
      </c>
      <c r="F302" s="141" t="n">
        <v>-10</v>
      </c>
      <c r="G302" s="141" t="n">
        <v>42</v>
      </c>
      <c r="H302" s="141" t="n">
        <v>60</v>
      </c>
      <c r="I302" s="141" t="n">
        <v>0</v>
      </c>
      <c r="J302" s="141" t="n">
        <v>4</v>
      </c>
      <c r="K302" s="141" t="n">
        <v>0.0823503070756517</v>
      </c>
      <c r="L302" s="141" t="n">
        <v>0.48392957520812</v>
      </c>
      <c r="M302" s="141" t="n">
        <v>0</v>
      </c>
      <c r="N302" s="141" t="n">
        <v>0.0698801078071924</v>
      </c>
      <c r="O302" s="141" t="n">
        <v>0.0559555043814035</v>
      </c>
      <c r="P302" s="141" t="n">
        <v>0.128189030934578</v>
      </c>
      <c r="Q302" s="141" t="n">
        <v>0</v>
      </c>
    </row>
    <row r="303" customFormat="false" ht="12.8" hidden="false" customHeight="false" outlineLevel="0" collapsed="false">
      <c r="A303" s="11" t="n">
        <v>301</v>
      </c>
      <c r="B303" s="141" t="s">
        <v>791</v>
      </c>
      <c r="C303" s="141" t="n">
        <v>1</v>
      </c>
      <c r="D303" s="141" t="s">
        <v>682</v>
      </c>
      <c r="E303" s="141" t="n">
        <v>-20</v>
      </c>
      <c r="F303" s="141" t="n">
        <v>-10</v>
      </c>
      <c r="G303" s="141" t="n">
        <v>42</v>
      </c>
      <c r="H303" s="141" t="n">
        <v>60</v>
      </c>
      <c r="I303" s="141" t="n">
        <v>0</v>
      </c>
      <c r="J303" s="141" t="n">
        <v>4</v>
      </c>
      <c r="K303" s="141" t="n">
        <v>0.0961668656992573</v>
      </c>
      <c r="L303" s="141" t="n">
        <v>0.484365501522296</v>
      </c>
      <c r="M303" s="141" t="n">
        <v>0</v>
      </c>
      <c r="N303" s="141" t="n">
        <v>0.0818347059008144</v>
      </c>
      <c r="O303" s="141" t="n">
        <v>0.0562670806899413</v>
      </c>
      <c r="P303" s="141" t="n">
        <v>0.128929303198082</v>
      </c>
      <c r="Q303" s="141" t="n">
        <v>0</v>
      </c>
    </row>
    <row r="304" customFormat="false" ht="12.8" hidden="false" customHeight="false" outlineLevel="0" collapsed="false">
      <c r="A304" s="11" t="n">
        <v>302</v>
      </c>
      <c r="B304" s="141" t="s">
        <v>792</v>
      </c>
      <c r="C304" s="141" t="n">
        <v>0</v>
      </c>
      <c r="D304" s="141" t="s">
        <v>682</v>
      </c>
      <c r="E304" s="141" t="n">
        <v>-20</v>
      </c>
      <c r="F304" s="141" t="n">
        <v>-10</v>
      </c>
      <c r="G304" s="141" t="n">
        <v>42</v>
      </c>
      <c r="H304" s="141" t="n">
        <v>60</v>
      </c>
      <c r="I304" s="141" t="n">
        <v>0</v>
      </c>
      <c r="J304" s="141" t="n">
        <v>4</v>
      </c>
      <c r="K304" s="141"/>
      <c r="L304" s="141" t="n">
        <v>0.452285695205952</v>
      </c>
      <c r="M304" s="141" t="n">
        <v>0</v>
      </c>
      <c r="N304" s="141"/>
      <c r="O304" s="141" t="n">
        <v>0.0346186949296454</v>
      </c>
      <c r="P304" s="141" t="n">
        <v>0.0744526862509559</v>
      </c>
      <c r="Q304" s="141" t="n">
        <v>1</v>
      </c>
    </row>
    <row r="305" customFormat="false" ht="12.8" hidden="false" customHeight="false" outlineLevel="0" collapsed="false">
      <c r="A305" s="11" t="n">
        <v>303</v>
      </c>
      <c r="B305" s="141" t="s">
        <v>793</v>
      </c>
      <c r="C305" s="141" t="n">
        <v>0</v>
      </c>
      <c r="D305" s="141" t="s">
        <v>682</v>
      </c>
      <c r="E305" s="141" t="n">
        <v>-20</v>
      </c>
      <c r="F305" s="141" t="n">
        <v>-10</v>
      </c>
      <c r="G305" s="141" t="n">
        <v>42</v>
      </c>
      <c r="H305" s="141" t="n">
        <v>60</v>
      </c>
      <c r="I305" s="141" t="n">
        <v>0</v>
      </c>
      <c r="J305" s="141" t="n">
        <v>4</v>
      </c>
      <c r="K305" s="141"/>
      <c r="L305" s="141" t="n">
        <v>0.464089877401489</v>
      </c>
      <c r="M305" s="141" t="n">
        <v>0</v>
      </c>
      <c r="N305" s="141"/>
      <c r="O305" s="141" t="n">
        <v>0.042267776526196</v>
      </c>
      <c r="P305" s="141" t="n">
        <v>0.0944980663726154</v>
      </c>
      <c r="Q305" s="141" t="n">
        <v>1</v>
      </c>
    </row>
    <row r="306" customFormat="false" ht="12.8" hidden="false" customHeight="false" outlineLevel="0" collapsed="false">
      <c r="A306" s="11" t="n">
        <v>304</v>
      </c>
      <c r="B306" s="141" t="s">
        <v>794</v>
      </c>
      <c r="C306" s="141" t="n">
        <v>0</v>
      </c>
      <c r="D306" s="141" t="s">
        <v>682</v>
      </c>
      <c r="E306" s="141" t="n">
        <v>-20</v>
      </c>
      <c r="F306" s="141" t="n">
        <v>-10</v>
      </c>
      <c r="G306" s="141" t="n">
        <v>42</v>
      </c>
      <c r="H306" s="141" t="n">
        <v>60</v>
      </c>
      <c r="I306" s="141" t="n">
        <v>0</v>
      </c>
      <c r="J306" s="141" t="n">
        <v>4</v>
      </c>
      <c r="K306" s="141"/>
      <c r="L306" s="141" t="n">
        <v>0.470125119875614</v>
      </c>
      <c r="M306" s="141" t="n">
        <v>0</v>
      </c>
      <c r="N306" s="141"/>
      <c r="O306" s="141" t="n">
        <v>0.0463260564621142</v>
      </c>
      <c r="P306" s="141" t="n">
        <v>0.104746868662872</v>
      </c>
      <c r="Q306" s="141" t="n">
        <v>0</v>
      </c>
    </row>
    <row r="307" customFormat="false" ht="12.8" hidden="false" customHeight="false" outlineLevel="0" collapsed="false">
      <c r="A307" s="11" t="n">
        <v>305</v>
      </c>
      <c r="B307" s="141" t="s">
        <v>795</v>
      </c>
      <c r="C307" s="141" t="n">
        <v>0</v>
      </c>
      <c r="D307" s="141" t="s">
        <v>682</v>
      </c>
      <c r="E307" s="141" t="n">
        <v>-20</v>
      </c>
      <c r="F307" s="141" t="n">
        <v>-10</v>
      </c>
      <c r="G307" s="141" t="n">
        <v>42</v>
      </c>
      <c r="H307" s="141" t="n">
        <v>60</v>
      </c>
      <c r="I307" s="141" t="n">
        <v>0</v>
      </c>
      <c r="J307" s="141" t="n">
        <v>4</v>
      </c>
      <c r="K307" s="141"/>
      <c r="L307" s="141" t="n">
        <v>0.471517519589177</v>
      </c>
      <c r="M307" s="141" t="n">
        <v>0</v>
      </c>
      <c r="N307" s="141"/>
      <c r="O307" s="141" t="n">
        <v>0.0472758432476447</v>
      </c>
      <c r="P307" s="141" t="n">
        <v>0.107111384990841</v>
      </c>
      <c r="Q307" s="141" t="n">
        <v>0</v>
      </c>
    </row>
    <row r="308" customFormat="false" ht="12.8" hidden="false" customHeight="false" outlineLevel="0" collapsed="false">
      <c r="A308" s="11" t="n">
        <v>306</v>
      </c>
      <c r="B308" s="141" t="s">
        <v>796</v>
      </c>
      <c r="C308" s="141" t="n">
        <v>0</v>
      </c>
      <c r="D308" s="141" t="s">
        <v>682</v>
      </c>
      <c r="E308" s="141" t="n">
        <v>-20</v>
      </c>
      <c r="F308" s="141" t="n">
        <v>-10</v>
      </c>
      <c r="G308" s="141" t="n">
        <v>42</v>
      </c>
      <c r="H308" s="141" t="n">
        <v>60</v>
      </c>
      <c r="I308" s="141" t="n">
        <v>0</v>
      </c>
      <c r="J308" s="141" t="n">
        <v>4</v>
      </c>
      <c r="K308" s="141"/>
      <c r="L308" s="141" t="n">
        <v>0.489542579169222</v>
      </c>
      <c r="M308" s="141" t="n">
        <v>0</v>
      </c>
      <c r="N308" s="141"/>
      <c r="O308" s="141" t="n">
        <v>0.0600009040801993</v>
      </c>
      <c r="P308" s="141" t="n">
        <v>0.13772080502624</v>
      </c>
      <c r="Q308" s="141" t="n">
        <v>0</v>
      </c>
    </row>
    <row r="309" customFormat="false" ht="12.8" hidden="false" customHeight="false" outlineLevel="0" collapsed="false">
      <c r="A309" s="11" t="n">
        <v>307</v>
      </c>
      <c r="B309" s="141" t="s">
        <v>797</v>
      </c>
      <c r="C309" s="141" t="n">
        <v>0</v>
      </c>
      <c r="D309" s="141" t="s">
        <v>682</v>
      </c>
      <c r="E309" s="141" t="n">
        <v>-20</v>
      </c>
      <c r="F309" s="141" t="n">
        <v>-10</v>
      </c>
      <c r="G309" s="141" t="n">
        <v>42</v>
      </c>
      <c r="H309" s="141" t="n">
        <v>60</v>
      </c>
      <c r="I309" s="141" t="n">
        <v>0</v>
      </c>
      <c r="J309" s="141" t="n">
        <v>4</v>
      </c>
      <c r="K309" s="141"/>
      <c r="L309" s="141" t="n">
        <v>0.491795280274776</v>
      </c>
      <c r="M309" s="141" t="n">
        <v>0</v>
      </c>
      <c r="N309" s="141"/>
      <c r="O309" s="141" t="n">
        <v>0.0616445831525483</v>
      </c>
      <c r="P309" s="141" t="n">
        <v>0.141546250043378</v>
      </c>
      <c r="Q309" s="141" t="n">
        <v>0</v>
      </c>
    </row>
    <row r="310" customFormat="false" ht="12.8" hidden="false" customHeight="false" outlineLevel="0" collapsed="false">
      <c r="A310" s="11" t="n">
        <v>308</v>
      </c>
      <c r="B310" s="141" t="s">
        <v>798</v>
      </c>
      <c r="C310" s="141" t="n">
        <v>0</v>
      </c>
      <c r="D310" s="141" t="s">
        <v>682</v>
      </c>
      <c r="E310" s="141" t="n">
        <v>-20</v>
      </c>
      <c r="F310" s="141" t="n">
        <v>-10</v>
      </c>
      <c r="G310" s="141" t="n">
        <v>42</v>
      </c>
      <c r="H310" s="141" t="n">
        <v>60</v>
      </c>
      <c r="I310" s="141" t="n">
        <v>0</v>
      </c>
      <c r="J310" s="141" t="n">
        <v>4</v>
      </c>
      <c r="K310" s="141"/>
      <c r="L310" s="141" t="n">
        <v>0.499559259382589</v>
      </c>
      <c r="M310" s="141" t="n">
        <v>0</v>
      </c>
      <c r="N310" s="141"/>
      <c r="O310" s="141" t="n">
        <v>0.0673949425920749</v>
      </c>
      <c r="P310" s="141" t="n">
        <v>0.154730722283359</v>
      </c>
      <c r="Q310" s="141" t="n">
        <v>0</v>
      </c>
    </row>
    <row r="311" customFormat="false" ht="12.8" hidden="false" customHeight="false" outlineLevel="0" collapsed="false">
      <c r="A311" s="11" t="n">
        <v>309</v>
      </c>
      <c r="B311" s="141" t="s">
        <v>799</v>
      </c>
      <c r="C311" s="141" t="n">
        <v>0</v>
      </c>
      <c r="D311" s="141" t="s">
        <v>682</v>
      </c>
      <c r="E311" s="141" t="n">
        <v>-20</v>
      </c>
      <c r="F311" s="141" t="n">
        <v>-10</v>
      </c>
      <c r="G311" s="141" t="n">
        <v>42</v>
      </c>
      <c r="H311" s="141" t="n">
        <v>60</v>
      </c>
      <c r="I311" s="141" t="n">
        <v>0</v>
      </c>
      <c r="J311" s="141" t="n">
        <v>4</v>
      </c>
      <c r="K311" s="141"/>
      <c r="L311" s="141" t="n">
        <v>0.500718095817423</v>
      </c>
      <c r="M311" s="141" t="n">
        <v>0</v>
      </c>
      <c r="N311" s="141"/>
      <c r="O311" s="141" t="n">
        <v>0.0682643257080363</v>
      </c>
      <c r="P311" s="141" t="n">
        <v>0.156698610990115</v>
      </c>
      <c r="Q311" s="141" t="n">
        <v>0</v>
      </c>
    </row>
    <row r="312" customFormat="false" ht="12.8" hidden="false" customHeight="false" outlineLevel="0" collapsed="false">
      <c r="A312" s="11" t="n">
        <v>310</v>
      </c>
      <c r="B312" s="141" t="s">
        <v>800</v>
      </c>
      <c r="C312" s="141" t="n">
        <v>0</v>
      </c>
      <c r="D312" s="141" t="s">
        <v>682</v>
      </c>
      <c r="E312" s="141" t="n">
        <v>-20</v>
      </c>
      <c r="F312" s="141" t="n">
        <v>-10</v>
      </c>
      <c r="G312" s="141" t="n">
        <v>42</v>
      </c>
      <c r="H312" s="141" t="n">
        <v>60</v>
      </c>
      <c r="I312" s="141" t="n">
        <v>0</v>
      </c>
      <c r="J312" s="141" t="n">
        <v>4</v>
      </c>
      <c r="K312" s="141"/>
      <c r="L312" s="141" t="n">
        <v>0.498542551557748</v>
      </c>
      <c r="M312" s="141" t="n">
        <v>0</v>
      </c>
      <c r="N312" s="141"/>
      <c r="O312" s="141" t="n">
        <v>0.066634528835991</v>
      </c>
      <c r="P312" s="141" t="n">
        <v>0.153004190577563</v>
      </c>
      <c r="Q312" s="141" t="n">
        <v>0</v>
      </c>
    </row>
    <row r="313" customFormat="false" ht="12.8" hidden="false" customHeight="false" outlineLevel="0" collapsed="false">
      <c r="A313" s="11" t="n">
        <v>311</v>
      </c>
      <c r="B313" s="141" t="s">
        <v>801</v>
      </c>
      <c r="C313" s="141" t="n">
        <v>0</v>
      </c>
      <c r="D313" s="141" t="s">
        <v>682</v>
      </c>
      <c r="E313" s="141" t="n">
        <v>-20</v>
      </c>
      <c r="F313" s="141" t="n">
        <v>-10</v>
      </c>
      <c r="G313" s="141" t="n">
        <v>42</v>
      </c>
      <c r="H313" s="141" t="n">
        <v>60</v>
      </c>
      <c r="I313" s="141" t="n">
        <v>0</v>
      </c>
      <c r="J313" s="141" t="n">
        <v>4</v>
      </c>
      <c r="K313" s="141"/>
      <c r="L313" s="141" t="n">
        <v>0.514505477623724</v>
      </c>
      <c r="M313" s="141" t="n">
        <v>0</v>
      </c>
      <c r="N313" s="141"/>
      <c r="O313" s="141" t="n">
        <v>0.0788196911115749</v>
      </c>
      <c r="P313" s="141" t="n">
        <v>0.180111779696902</v>
      </c>
      <c r="Q313" s="141" t="n">
        <v>0</v>
      </c>
    </row>
    <row r="314" customFormat="false" ht="12.8" hidden="false" customHeight="false" outlineLevel="0" collapsed="false">
      <c r="A314" s="11" t="n">
        <v>312</v>
      </c>
      <c r="B314" s="141" t="s">
        <v>802</v>
      </c>
      <c r="C314" s="141" t="n">
        <v>-1</v>
      </c>
      <c r="D314" s="141" t="s">
        <v>682</v>
      </c>
      <c r="E314" s="141" t="n">
        <v>-20</v>
      </c>
      <c r="F314" s="141" t="n">
        <v>-10</v>
      </c>
      <c r="G314" s="141" t="n">
        <v>42</v>
      </c>
      <c r="H314" s="141" t="n">
        <v>60</v>
      </c>
      <c r="I314" s="141" t="n">
        <v>0</v>
      </c>
      <c r="J314" s="141" t="n">
        <v>4</v>
      </c>
      <c r="K314" s="141" t="n">
        <v>0</v>
      </c>
      <c r="L314" s="141" t="n">
        <v>0</v>
      </c>
      <c r="M314" s="141" t="n">
        <v>0</v>
      </c>
      <c r="N314" s="141"/>
      <c r="O314" s="141"/>
      <c r="P314" s="141"/>
      <c r="Q314" s="141" t="n">
        <v>0</v>
      </c>
    </row>
    <row r="315" customFormat="false" ht="12.8" hidden="false" customHeight="false" outlineLevel="0" collapsed="false">
      <c r="A315" s="11" t="n">
        <v>313</v>
      </c>
      <c r="B315" s="141" t="s">
        <v>803</v>
      </c>
      <c r="C315" s="141" t="n">
        <v>-1</v>
      </c>
      <c r="D315" s="141" t="s">
        <v>682</v>
      </c>
      <c r="E315" s="141" t="n">
        <v>-20</v>
      </c>
      <c r="F315" s="141" t="n">
        <v>-10</v>
      </c>
      <c r="G315" s="141" t="n">
        <v>42</v>
      </c>
      <c r="H315" s="141" t="n">
        <v>60</v>
      </c>
      <c r="I315" s="141" t="n">
        <v>0</v>
      </c>
      <c r="J315" s="141" t="n">
        <v>4</v>
      </c>
      <c r="K315" s="141" t="n">
        <v>0</v>
      </c>
      <c r="L315" s="141" t="n">
        <v>0</v>
      </c>
      <c r="M315" s="141" t="n">
        <v>0</v>
      </c>
      <c r="N315" s="141"/>
      <c r="O315" s="141"/>
      <c r="P315" s="141"/>
      <c r="Q315" s="141" t="n">
        <v>0</v>
      </c>
    </row>
    <row r="316" customFormat="false" ht="12.8" hidden="false" customHeight="false" outlineLevel="0" collapsed="false">
      <c r="A316" s="11" t="n">
        <v>314</v>
      </c>
      <c r="B316" s="141" t="s">
        <v>804</v>
      </c>
      <c r="C316" s="141" t="n">
        <v>1</v>
      </c>
      <c r="D316" s="141" t="s">
        <v>682</v>
      </c>
      <c r="E316" s="141" t="n">
        <v>-20</v>
      </c>
      <c r="F316" s="141" t="n">
        <v>-10</v>
      </c>
      <c r="G316" s="141" t="n">
        <v>42</v>
      </c>
      <c r="H316" s="141" t="n">
        <v>60</v>
      </c>
      <c r="I316" s="141" t="n">
        <v>0</v>
      </c>
      <c r="J316" s="141" t="n">
        <v>4</v>
      </c>
      <c r="K316" s="141" t="n">
        <v>0.244451791075793</v>
      </c>
      <c r="L316" s="141" t="n">
        <v>0.547665439017198</v>
      </c>
      <c r="M316" s="141" t="n">
        <v>0</v>
      </c>
      <c r="N316" s="141" t="n">
        <v>0.214301961619691</v>
      </c>
      <c r="O316" s="141" t="n">
        <v>0.105695426588985</v>
      </c>
      <c r="P316" s="141" t="n">
        <v>0.236422671882476</v>
      </c>
      <c r="Q316" s="141" t="n">
        <v>0</v>
      </c>
    </row>
    <row r="317" customFormat="false" ht="12.8" hidden="false" customHeight="false" outlineLevel="0" collapsed="false">
      <c r="A317" s="11" t="n">
        <v>315</v>
      </c>
      <c r="B317" s="141" t="s">
        <v>805</v>
      </c>
      <c r="C317" s="141" t="n">
        <v>1</v>
      </c>
      <c r="D317" s="141" t="s">
        <v>682</v>
      </c>
      <c r="E317" s="141" t="n">
        <v>-20</v>
      </c>
      <c r="F317" s="141" t="n">
        <v>-10</v>
      </c>
      <c r="G317" s="141" t="n">
        <v>42</v>
      </c>
      <c r="H317" s="141" t="n">
        <v>60</v>
      </c>
      <c r="I317" s="141" t="n">
        <v>0</v>
      </c>
      <c r="J317" s="141" t="n">
        <v>4</v>
      </c>
      <c r="K317" s="141" t="n">
        <v>0.235786145016396</v>
      </c>
      <c r="L317" s="141" t="n">
        <v>0.605565078739829</v>
      </c>
      <c r="M317" s="141" t="n">
        <v>0</v>
      </c>
      <c r="N317" s="141" t="n">
        <v>0.206351012688467</v>
      </c>
      <c r="O317" s="141" t="n">
        <v>0.157387647077804</v>
      </c>
      <c r="P317" s="141" t="n">
        <v>0.334745475438162</v>
      </c>
      <c r="Q317" s="141" t="n">
        <v>0</v>
      </c>
    </row>
    <row r="318" customFormat="false" ht="12.8" hidden="false" customHeight="false" outlineLevel="0" collapsed="false">
      <c r="A318" s="11" t="n">
        <v>316</v>
      </c>
      <c r="B318" s="141" t="s">
        <v>806</v>
      </c>
      <c r="C318" s="141" t="n">
        <v>-1</v>
      </c>
      <c r="D318" s="141" t="s">
        <v>682</v>
      </c>
      <c r="E318" s="141" t="n">
        <v>-20</v>
      </c>
      <c r="F318" s="141" t="n">
        <v>-10</v>
      </c>
      <c r="G318" s="141" t="n">
        <v>42</v>
      </c>
      <c r="H318" s="141" t="n">
        <v>60</v>
      </c>
      <c r="I318" s="141" t="n">
        <v>0</v>
      </c>
      <c r="J318" s="141" t="n">
        <v>4</v>
      </c>
      <c r="K318" s="141" t="n">
        <v>0</v>
      </c>
      <c r="L318" s="141" t="n">
        <v>0</v>
      </c>
      <c r="M318" s="141" t="n">
        <v>0</v>
      </c>
      <c r="N318" s="141"/>
      <c r="O318" s="141"/>
      <c r="P318" s="141"/>
      <c r="Q318" s="141" t="n">
        <v>0</v>
      </c>
    </row>
    <row r="319" customFormat="false" ht="12.8" hidden="false" customHeight="false" outlineLevel="0" collapsed="false">
      <c r="A319" s="11" t="n">
        <v>317</v>
      </c>
      <c r="B319" s="141" t="s">
        <v>807</v>
      </c>
      <c r="C319" s="141" t="n">
        <v>1</v>
      </c>
      <c r="D319" s="141" t="s">
        <v>682</v>
      </c>
      <c r="E319" s="141" t="n">
        <v>-20</v>
      </c>
      <c r="F319" s="141" t="n">
        <v>-10</v>
      </c>
      <c r="G319" s="141" t="n">
        <v>42</v>
      </c>
      <c r="H319" s="141" t="n">
        <v>60</v>
      </c>
      <c r="I319" s="141" t="n">
        <v>0</v>
      </c>
      <c r="J319" s="141" t="n">
        <v>4</v>
      </c>
      <c r="K319" s="141" t="n">
        <v>0.102887183262772</v>
      </c>
      <c r="L319" s="141" t="n">
        <v>0.499843575351022</v>
      </c>
      <c r="M319" s="141" t="n">
        <v>0</v>
      </c>
      <c r="N319" s="141" t="n">
        <v>0.0876732913668709</v>
      </c>
      <c r="O319" s="141" t="n">
        <v>0.0676079797819789</v>
      </c>
      <c r="P319" s="141" t="n">
        <v>0.155213536049488</v>
      </c>
      <c r="Q319" s="141" t="n">
        <v>0</v>
      </c>
    </row>
    <row r="320" customFormat="false" ht="12.8" hidden="false" customHeight="false" outlineLevel="0" collapsed="false">
      <c r="A320" s="11" t="n">
        <v>318</v>
      </c>
      <c r="B320" s="141" t="s">
        <v>808</v>
      </c>
      <c r="C320" s="141" t="n">
        <v>1</v>
      </c>
      <c r="D320" s="141" t="s">
        <v>682</v>
      </c>
      <c r="E320" s="141" t="n">
        <v>-20</v>
      </c>
      <c r="F320" s="141" t="n">
        <v>-10</v>
      </c>
      <c r="G320" s="141" t="n">
        <v>42</v>
      </c>
      <c r="H320" s="141" t="n">
        <v>60</v>
      </c>
      <c r="I320" s="141" t="n">
        <v>0</v>
      </c>
      <c r="J320" s="141" t="n">
        <v>4</v>
      </c>
      <c r="K320" s="141" t="n">
        <v>0.235144302236161</v>
      </c>
      <c r="L320" s="141" t="n">
        <v>0.468320977872764</v>
      </c>
      <c r="M320" s="141" t="n">
        <v>0</v>
      </c>
      <c r="N320" s="141" t="n">
        <v>0.205763141025716</v>
      </c>
      <c r="O320" s="141" t="n">
        <v>0.0451028576295296</v>
      </c>
      <c r="P320" s="141" t="n">
        <v>0.101683148394791</v>
      </c>
      <c r="Q320" s="141" t="n">
        <v>0</v>
      </c>
    </row>
    <row r="321" customFormat="false" ht="12.8" hidden="false" customHeight="false" outlineLevel="0" collapsed="false">
      <c r="A321" s="11" t="n">
        <v>319</v>
      </c>
      <c r="B321" s="141" t="s">
        <v>809</v>
      </c>
      <c r="C321" s="141" t="n">
        <v>1</v>
      </c>
      <c r="D321" s="141" t="s">
        <v>682</v>
      </c>
      <c r="E321" s="141" t="n">
        <v>-20</v>
      </c>
      <c r="F321" s="141" t="n">
        <v>-10</v>
      </c>
      <c r="G321" s="141" t="n">
        <v>42</v>
      </c>
      <c r="H321" s="141" t="n">
        <v>60</v>
      </c>
      <c r="I321" s="141" t="n">
        <v>0</v>
      </c>
      <c r="J321" s="141" t="n">
        <v>4</v>
      </c>
      <c r="K321" s="141" t="n">
        <v>0.221247877960306</v>
      </c>
      <c r="L321" s="141" t="n">
        <v>0.451459383038416</v>
      </c>
      <c r="M321" s="141" t="n">
        <v>0</v>
      </c>
      <c r="N321" s="141" t="n">
        <v>0.193070247635169</v>
      </c>
      <c r="O321" s="141" t="n">
        <v>0.0340982325965254</v>
      </c>
      <c r="P321" s="141" t="n">
        <v>0.0730494766746345</v>
      </c>
      <c r="Q321" s="141" t="n">
        <v>0</v>
      </c>
    </row>
    <row r="322" customFormat="false" ht="12.8" hidden="false" customHeight="false" outlineLevel="0" collapsed="false">
      <c r="A322" s="11" t="n">
        <v>320</v>
      </c>
      <c r="B322" s="141" t="s">
        <v>810</v>
      </c>
      <c r="C322" s="141" t="n">
        <v>1</v>
      </c>
      <c r="D322" s="141" t="s">
        <v>682</v>
      </c>
      <c r="E322" s="141" t="n">
        <v>-20</v>
      </c>
      <c r="F322" s="141" t="n">
        <v>-10</v>
      </c>
      <c r="G322" s="141" t="n">
        <v>42</v>
      </c>
      <c r="H322" s="141" t="n">
        <v>60</v>
      </c>
      <c r="I322" s="141" t="n">
        <v>0</v>
      </c>
      <c r="J322" s="141" t="n">
        <v>4</v>
      </c>
      <c r="K322" s="141" t="n">
        <v>0.0999238728366975</v>
      </c>
      <c r="L322" s="141" t="n">
        <v>0.463416281516373</v>
      </c>
      <c r="M322" s="141" t="n">
        <v>0</v>
      </c>
      <c r="N322" s="141" t="n">
        <v>0.0850968495445099</v>
      </c>
      <c r="O322" s="141" t="n">
        <v>0.0418208463841048</v>
      </c>
      <c r="P322" s="141" t="n">
        <v>0.093354193350167</v>
      </c>
      <c r="Q322" s="141" t="n">
        <v>0</v>
      </c>
    </row>
    <row r="323" customFormat="false" ht="12.8" hidden="false" customHeight="false" outlineLevel="0" collapsed="false">
      <c r="A323" s="11" t="n">
        <v>321</v>
      </c>
      <c r="B323" s="141" t="s">
        <v>811</v>
      </c>
      <c r="C323" s="141" t="n">
        <v>1</v>
      </c>
      <c r="D323" s="141" t="s">
        <v>682</v>
      </c>
      <c r="E323" s="141" t="n">
        <v>-20</v>
      </c>
      <c r="F323" s="141" t="n">
        <v>-10</v>
      </c>
      <c r="G323" s="141" t="n">
        <v>42</v>
      </c>
      <c r="H323" s="141" t="n">
        <v>60</v>
      </c>
      <c r="I323" s="141" t="n">
        <v>0</v>
      </c>
      <c r="J323" s="141" t="n">
        <v>4</v>
      </c>
      <c r="K323" s="141" t="n">
        <v>0.108423921360799</v>
      </c>
      <c r="L323" s="141" t="n">
        <v>0.499523213936668</v>
      </c>
      <c r="M323" s="141" t="n">
        <v>0</v>
      </c>
      <c r="N323" s="141" t="n">
        <v>0.0924953484984547</v>
      </c>
      <c r="O323" s="141" t="n">
        <v>0.0673679460581671</v>
      </c>
      <c r="P323" s="141" t="n">
        <v>0.154669511379193</v>
      </c>
      <c r="Q323" s="141" t="n">
        <v>0</v>
      </c>
    </row>
    <row r="324" customFormat="false" ht="12.8" hidden="false" customHeight="false" outlineLevel="0" collapsed="false">
      <c r="A324" s="11" t="n">
        <v>322</v>
      </c>
      <c r="B324" s="141" t="s">
        <v>812</v>
      </c>
      <c r="C324" s="141" t="n">
        <v>1</v>
      </c>
      <c r="D324" s="141" t="s">
        <v>682</v>
      </c>
      <c r="E324" s="141" t="n">
        <v>-20</v>
      </c>
      <c r="F324" s="141" t="n">
        <v>-10</v>
      </c>
      <c r="G324" s="141" t="n">
        <v>42</v>
      </c>
      <c r="H324" s="141" t="n">
        <v>60</v>
      </c>
      <c r="I324" s="141" t="n">
        <v>0</v>
      </c>
      <c r="J324" s="141" t="n">
        <v>4</v>
      </c>
      <c r="K324" s="141" t="n">
        <v>0.0964847173250229</v>
      </c>
      <c r="L324" s="141" t="n">
        <v>0.496242223492006</v>
      </c>
      <c r="M324" s="141" t="n">
        <v>0</v>
      </c>
      <c r="N324" s="141" t="n">
        <v>0.0821105014716409</v>
      </c>
      <c r="O324" s="141" t="n">
        <v>0.0649222220812502</v>
      </c>
      <c r="P324" s="141" t="n">
        <v>0.149097867401717</v>
      </c>
      <c r="Q324" s="141" t="n">
        <v>0</v>
      </c>
    </row>
    <row r="325" customFormat="false" ht="12.8" hidden="false" customHeight="false" outlineLevel="0" collapsed="false">
      <c r="A325" s="11" t="n">
        <v>323</v>
      </c>
      <c r="B325" s="141" t="s">
        <v>813</v>
      </c>
      <c r="C325" s="141" t="n">
        <v>1</v>
      </c>
      <c r="D325" s="141" t="s">
        <v>682</v>
      </c>
      <c r="E325" s="141" t="n">
        <v>-20</v>
      </c>
      <c r="F325" s="141" t="n">
        <v>-10</v>
      </c>
      <c r="G325" s="141" t="n">
        <v>42</v>
      </c>
      <c r="H325" s="141" t="n">
        <v>60</v>
      </c>
      <c r="I325" s="141" t="n">
        <v>0</v>
      </c>
      <c r="J325" s="141" t="n">
        <v>4</v>
      </c>
      <c r="K325" s="141" t="n">
        <v>0.110022077621896</v>
      </c>
      <c r="L325" s="141" t="n">
        <v>0.499469559503304</v>
      </c>
      <c r="M325" s="141" t="n">
        <v>0</v>
      </c>
      <c r="N325" s="141" t="n">
        <v>0.0938891911758303</v>
      </c>
      <c r="O325" s="141" t="n">
        <v>0.0673277662254246</v>
      </c>
      <c r="P325" s="141" t="n">
        <v>0.154578397611701</v>
      </c>
      <c r="Q325" s="141" t="n">
        <v>0</v>
      </c>
    </row>
    <row r="326" customFormat="false" ht="12.8" hidden="false" customHeight="false" outlineLevel="0" collapsed="false">
      <c r="A326" s="11" t="n">
        <v>324</v>
      </c>
      <c r="B326" s="141" t="s">
        <v>814</v>
      </c>
      <c r="C326" s="141" t="n">
        <v>1</v>
      </c>
      <c r="D326" s="141" t="s">
        <v>682</v>
      </c>
      <c r="E326" s="141" t="n">
        <v>-20</v>
      </c>
      <c r="F326" s="141" t="n">
        <v>-10</v>
      </c>
      <c r="G326" s="141" t="n">
        <v>42</v>
      </c>
      <c r="H326" s="141" t="n">
        <v>60</v>
      </c>
      <c r="I326" s="141" t="n">
        <v>0</v>
      </c>
      <c r="J326" s="141" t="n">
        <v>4</v>
      </c>
      <c r="K326" s="141" t="n">
        <v>0.112941362613986</v>
      </c>
      <c r="L326" s="141" t="n">
        <v>0.523586107184035</v>
      </c>
      <c r="M326" s="141" t="n">
        <v>0</v>
      </c>
      <c r="N326" s="141" t="n">
        <v>0.0964375505445804</v>
      </c>
      <c r="O326" s="141" t="n">
        <v>0.0859765749345811</v>
      </c>
      <c r="P326" s="141" t="n">
        <v>0.19553213396331</v>
      </c>
      <c r="Q326" s="141" t="n">
        <v>0</v>
      </c>
    </row>
    <row r="327" customFormat="false" ht="12.8" hidden="false" customHeight="false" outlineLevel="0" collapsed="false">
      <c r="A327" s="11" t="n">
        <v>325</v>
      </c>
      <c r="B327" s="141" t="s">
        <v>815</v>
      </c>
      <c r="C327" s="141" t="n">
        <v>1</v>
      </c>
      <c r="D327" s="141" t="s">
        <v>682</v>
      </c>
      <c r="E327" s="141" t="n">
        <v>-20</v>
      </c>
      <c r="F327" s="141" t="n">
        <v>-10</v>
      </c>
      <c r="G327" s="141" t="n">
        <v>42</v>
      </c>
      <c r="H327" s="141" t="n">
        <v>60</v>
      </c>
      <c r="I327" s="141" t="n">
        <v>0</v>
      </c>
      <c r="J327" s="141" t="n">
        <v>4</v>
      </c>
      <c r="K327" s="141" t="n">
        <v>0.239375221726347</v>
      </c>
      <c r="L327" s="141" t="n">
        <v>0.522097619371041</v>
      </c>
      <c r="M327" s="141" t="n">
        <v>0</v>
      </c>
      <c r="N327" s="141" t="n">
        <v>0.209640923577665</v>
      </c>
      <c r="O327" s="141" t="n">
        <v>0.0847926347784717</v>
      </c>
      <c r="P327" s="141" t="n">
        <v>0.193004444749126</v>
      </c>
      <c r="Q327" s="141" t="n">
        <v>0</v>
      </c>
    </row>
    <row r="328" customFormat="false" ht="12.8" hidden="false" customHeight="false" outlineLevel="0" collapsed="false">
      <c r="A328" s="11" t="n">
        <v>326</v>
      </c>
      <c r="B328" s="141" t="s">
        <v>816</v>
      </c>
      <c r="C328" s="141" t="n">
        <v>1</v>
      </c>
      <c r="D328" s="141" t="s">
        <v>682</v>
      </c>
      <c r="E328" s="141" t="n">
        <v>-20</v>
      </c>
      <c r="F328" s="141" t="n">
        <v>-10</v>
      </c>
      <c r="G328" s="141" t="n">
        <v>42</v>
      </c>
      <c r="H328" s="141" t="n">
        <v>60</v>
      </c>
      <c r="I328" s="141" t="n">
        <v>0</v>
      </c>
      <c r="J328" s="141" t="n">
        <v>4</v>
      </c>
      <c r="K328" s="141" t="n">
        <v>0.207955463643104</v>
      </c>
      <c r="L328" s="141" t="n">
        <v>0.542208836187366</v>
      </c>
      <c r="M328" s="141" t="n">
        <v>0</v>
      </c>
      <c r="N328" s="141" t="n">
        <v>0.18099168411051</v>
      </c>
      <c r="O328" s="141" t="n">
        <v>0.101135142772676</v>
      </c>
      <c r="P328" s="141" t="n">
        <v>0.227156491804515</v>
      </c>
      <c r="Q328" s="141" t="n">
        <v>0</v>
      </c>
    </row>
    <row r="329" customFormat="false" ht="12.8" hidden="false" customHeight="false" outlineLevel="0" collapsed="false">
      <c r="A329" s="11" t="n">
        <v>327</v>
      </c>
      <c r="B329" s="141" t="s">
        <v>817</v>
      </c>
      <c r="C329" s="141" t="n">
        <v>-1</v>
      </c>
      <c r="D329" s="141" t="s">
        <v>682</v>
      </c>
      <c r="E329" s="141" t="n">
        <v>-20</v>
      </c>
      <c r="F329" s="141" t="n">
        <v>-10</v>
      </c>
      <c r="G329" s="141" t="n">
        <v>42</v>
      </c>
      <c r="H329" s="141" t="n">
        <v>60</v>
      </c>
      <c r="I329" s="141" t="n">
        <v>0</v>
      </c>
      <c r="J329" s="141" t="n">
        <v>4</v>
      </c>
      <c r="K329" s="141" t="n">
        <v>0</v>
      </c>
      <c r="L329" s="141" t="n">
        <v>0</v>
      </c>
      <c r="M329" s="141" t="n">
        <v>0</v>
      </c>
      <c r="N329" s="141"/>
      <c r="O329" s="141"/>
      <c r="P329" s="141"/>
      <c r="Q329" s="141" t="n">
        <v>0</v>
      </c>
    </row>
    <row r="330" customFormat="false" ht="12.8" hidden="false" customHeight="false" outlineLevel="0" collapsed="false">
      <c r="A330" s="11" t="n">
        <v>328</v>
      </c>
      <c r="B330" s="141" t="s">
        <v>818</v>
      </c>
      <c r="C330" s="141" t="n">
        <v>1</v>
      </c>
      <c r="D330" s="141" t="s">
        <v>682</v>
      </c>
      <c r="E330" s="141" t="n">
        <v>-20</v>
      </c>
      <c r="F330" s="141" t="n">
        <v>-10</v>
      </c>
      <c r="G330" s="141" t="n">
        <v>42</v>
      </c>
      <c r="H330" s="141" t="n">
        <v>60</v>
      </c>
      <c r="I330" s="141" t="n">
        <v>0</v>
      </c>
      <c r="J330" s="141" t="n">
        <v>4</v>
      </c>
      <c r="K330" s="141" t="n">
        <v>0.0917944668115466</v>
      </c>
      <c r="L330" s="141" t="n">
        <v>0.451814553538512</v>
      </c>
      <c r="M330" s="141" t="n">
        <v>0</v>
      </c>
      <c r="N330" s="141" t="n">
        <v>0.0780443883038529</v>
      </c>
      <c r="O330" s="141" t="n">
        <v>0.0343216929510446</v>
      </c>
      <c r="P330" s="141" t="n">
        <v>0.0736526127127346</v>
      </c>
      <c r="Q330" s="141" t="n">
        <v>0</v>
      </c>
    </row>
    <row r="331" customFormat="false" ht="12.8" hidden="false" customHeight="false" outlineLevel="0" collapsed="false">
      <c r="A331" s="11" t="n">
        <v>329</v>
      </c>
      <c r="B331" s="141" t="s">
        <v>819</v>
      </c>
      <c r="C331" s="141" t="n">
        <v>1</v>
      </c>
      <c r="D331" s="141" t="s">
        <v>682</v>
      </c>
      <c r="E331" s="141" t="n">
        <v>-20</v>
      </c>
      <c r="F331" s="141" t="n">
        <v>-10</v>
      </c>
      <c r="G331" s="141" t="n">
        <v>42</v>
      </c>
      <c r="H331" s="141" t="n">
        <v>60</v>
      </c>
      <c r="I331" s="141" t="n">
        <v>0</v>
      </c>
      <c r="J331" s="141" t="n">
        <v>4</v>
      </c>
      <c r="K331" s="141" t="n">
        <v>0.140954509747539</v>
      </c>
      <c r="L331" s="141" t="n">
        <v>0.475057762010225</v>
      </c>
      <c r="M331" s="141" t="n">
        <v>0</v>
      </c>
      <c r="N331" s="141" t="n">
        <v>0.12104150200506</v>
      </c>
      <c r="O331" s="141" t="n">
        <v>0.0497129028685627</v>
      </c>
      <c r="P331" s="141" t="n">
        <v>0.113123280086763</v>
      </c>
      <c r="Q331" s="141" t="n">
        <v>0</v>
      </c>
    </row>
    <row r="332" customFormat="false" ht="12.8" hidden="false" customHeight="false" outlineLevel="0" collapsed="false">
      <c r="A332" s="11" t="n">
        <v>330</v>
      </c>
      <c r="B332" s="141" t="s">
        <v>820</v>
      </c>
      <c r="C332" s="141" t="n">
        <v>1</v>
      </c>
      <c r="D332" s="141" t="s">
        <v>682</v>
      </c>
      <c r="E332" s="141" t="n">
        <v>-20</v>
      </c>
      <c r="F332" s="141" t="n">
        <v>-10</v>
      </c>
      <c r="G332" s="141" t="n">
        <v>42</v>
      </c>
      <c r="H332" s="141" t="n">
        <v>60</v>
      </c>
      <c r="I332" s="141" t="n">
        <v>0</v>
      </c>
      <c r="J332" s="141" t="n">
        <v>4</v>
      </c>
      <c r="K332" s="141" t="n">
        <v>0.266423485196176</v>
      </c>
      <c r="L332" s="141" t="n">
        <v>0.466554141365987</v>
      </c>
      <c r="M332" s="141" t="n">
        <v>0</v>
      </c>
      <c r="N332" s="141" t="n">
        <v>0.234578203050494</v>
      </c>
      <c r="O332" s="141" t="n">
        <v>0.0439131985870547</v>
      </c>
      <c r="P332" s="141" t="n">
        <v>0.0986827787965859</v>
      </c>
      <c r="Q332" s="141" t="n">
        <v>0</v>
      </c>
    </row>
    <row r="333" customFormat="false" ht="12.8" hidden="false" customHeight="false" outlineLevel="0" collapsed="false">
      <c r="A333" s="11" t="n">
        <v>331</v>
      </c>
      <c r="B333" s="141" t="s">
        <v>821</v>
      </c>
      <c r="C333" s="141" t="n">
        <v>1</v>
      </c>
      <c r="D333" s="141" t="s">
        <v>682</v>
      </c>
      <c r="E333" s="141" t="n">
        <v>-20</v>
      </c>
      <c r="F333" s="141" t="n">
        <v>-10</v>
      </c>
      <c r="G333" s="141" t="n">
        <v>42</v>
      </c>
      <c r="H333" s="141" t="n">
        <v>60</v>
      </c>
      <c r="I333" s="141" t="n">
        <v>0</v>
      </c>
      <c r="J333" s="141" t="n">
        <v>4</v>
      </c>
      <c r="K333" s="141" t="n">
        <v>0.252589427600296</v>
      </c>
      <c r="L333" s="141" t="n">
        <v>0.464157710447592</v>
      </c>
      <c r="M333" s="141" t="n">
        <v>0</v>
      </c>
      <c r="N333" s="141" t="n">
        <v>0.22179214534844</v>
      </c>
      <c r="O333" s="141" t="n">
        <v>0.0423128516338607</v>
      </c>
      <c r="P333" s="141" t="n">
        <v>0.0946132576812052</v>
      </c>
      <c r="Q333" s="141" t="n">
        <v>0</v>
      </c>
    </row>
    <row r="334" customFormat="false" ht="12.8" hidden="false" customHeight="false" outlineLevel="0" collapsed="false">
      <c r="A334" s="11" t="n">
        <v>332</v>
      </c>
      <c r="B334" s="141" t="s">
        <v>822</v>
      </c>
      <c r="C334" s="141" t="n">
        <v>1</v>
      </c>
      <c r="D334" s="141" t="s">
        <v>682</v>
      </c>
      <c r="E334" s="141" t="n">
        <v>-20</v>
      </c>
      <c r="F334" s="141" t="n">
        <v>-10</v>
      </c>
      <c r="G334" s="141" t="n">
        <v>42</v>
      </c>
      <c r="H334" s="141" t="n">
        <v>60</v>
      </c>
      <c r="I334" s="141" t="n">
        <v>0</v>
      </c>
      <c r="J334" s="141" t="n">
        <v>4</v>
      </c>
      <c r="K334" s="141" t="n">
        <v>0.194317038448162</v>
      </c>
      <c r="L334" s="141" t="n">
        <v>0.459965523435351</v>
      </c>
      <c r="M334" s="141" t="n">
        <v>0</v>
      </c>
      <c r="N334" s="141" t="n">
        <v>0.16866235918834</v>
      </c>
      <c r="O334" s="141" t="n">
        <v>0.0395507065446369</v>
      </c>
      <c r="P334" s="141" t="n">
        <v>0.0874942569059362</v>
      </c>
      <c r="Q334" s="141" t="n">
        <v>0</v>
      </c>
    </row>
    <row r="335" customFormat="false" ht="12.8" hidden="false" customHeight="false" outlineLevel="0" collapsed="false">
      <c r="A335" s="11" t="n">
        <v>333</v>
      </c>
      <c r="B335" s="141" t="s">
        <v>823</v>
      </c>
      <c r="C335" s="141" t="n">
        <v>1</v>
      </c>
      <c r="D335" s="141" t="s">
        <v>682</v>
      </c>
      <c r="E335" s="141" t="n">
        <v>-20</v>
      </c>
      <c r="F335" s="141" t="n">
        <v>-10</v>
      </c>
      <c r="G335" s="141" t="n">
        <v>42</v>
      </c>
      <c r="H335" s="141" t="n">
        <v>60</v>
      </c>
      <c r="I335" s="141" t="n">
        <v>0</v>
      </c>
      <c r="J335" s="141" t="n">
        <v>4</v>
      </c>
      <c r="K335" s="141" t="n">
        <v>0.145696827235097</v>
      </c>
      <c r="L335" s="141" t="n">
        <v>0.457676365137413</v>
      </c>
      <c r="M335" s="141" t="n">
        <v>0</v>
      </c>
      <c r="N335" s="141" t="n">
        <v>0.125233600057564</v>
      </c>
      <c r="O335" s="141" t="n">
        <v>0.0380629810591337</v>
      </c>
      <c r="P335" s="141" t="n">
        <v>0.0836069017736029</v>
      </c>
      <c r="Q335" s="141" t="n">
        <v>0</v>
      </c>
    </row>
    <row r="336" customFormat="false" ht="12.8" hidden="false" customHeight="false" outlineLevel="0" collapsed="false">
      <c r="A336" s="11" t="n">
        <v>334</v>
      </c>
      <c r="B336" s="141" t="s">
        <v>824</v>
      </c>
      <c r="C336" s="141" t="n">
        <v>1</v>
      </c>
      <c r="D336" s="141" t="s">
        <v>682</v>
      </c>
      <c r="E336" s="141" t="n">
        <v>-20</v>
      </c>
      <c r="F336" s="141" t="n">
        <v>-10</v>
      </c>
      <c r="G336" s="141" t="n">
        <v>42</v>
      </c>
      <c r="H336" s="141" t="n">
        <v>60</v>
      </c>
      <c r="I336" s="141" t="n">
        <v>0</v>
      </c>
      <c r="J336" s="141" t="n">
        <v>4</v>
      </c>
      <c r="K336" s="141" t="n">
        <v>0.0959595034846916</v>
      </c>
      <c r="L336" s="141" t="n">
        <v>0.452772234872286</v>
      </c>
      <c r="M336" s="141" t="n">
        <v>0</v>
      </c>
      <c r="N336" s="141" t="n">
        <v>0.0816547993766329</v>
      </c>
      <c r="O336" s="141" t="n">
        <v>0.034926091611689</v>
      </c>
      <c r="P336" s="141" t="n">
        <v>0.0752789080420432</v>
      </c>
      <c r="Q336" s="141" t="n">
        <v>0</v>
      </c>
    </row>
    <row r="337" customFormat="false" ht="12.8" hidden="false" customHeight="false" outlineLevel="0" collapsed="false">
      <c r="A337" s="11" t="n">
        <v>335</v>
      </c>
      <c r="B337" s="141" t="s">
        <v>825</v>
      </c>
      <c r="C337" s="141" t="n">
        <v>1</v>
      </c>
      <c r="D337" s="141" t="s">
        <v>682</v>
      </c>
      <c r="E337" s="141" t="n">
        <v>-20</v>
      </c>
      <c r="F337" s="141" t="n">
        <v>-10</v>
      </c>
      <c r="G337" s="141" t="n">
        <v>42</v>
      </c>
      <c r="H337" s="141" t="n">
        <v>60</v>
      </c>
      <c r="I337" s="141" t="n">
        <v>0</v>
      </c>
      <c r="J337" s="141" t="n">
        <v>4</v>
      </c>
      <c r="K337" s="141" t="n">
        <v>0.23478220218372</v>
      </c>
      <c r="L337" s="141" t="n">
        <v>0.45735503737713</v>
      </c>
      <c r="M337" s="141" t="n">
        <v>0</v>
      </c>
      <c r="N337" s="141" t="n">
        <v>0.205431552152583</v>
      </c>
      <c r="O337" s="141" t="n">
        <v>0.0378553321592515</v>
      </c>
      <c r="P337" s="141" t="n">
        <v>0.0830612360941152</v>
      </c>
      <c r="Q337" s="141" t="n">
        <v>0</v>
      </c>
    </row>
    <row r="338" customFormat="false" ht="12.8" hidden="false" customHeight="false" outlineLevel="0" collapsed="false">
      <c r="A338" s="11" t="n">
        <v>336</v>
      </c>
      <c r="B338" s="141" t="s">
        <v>826</v>
      </c>
      <c r="C338" s="141" t="n">
        <v>1</v>
      </c>
      <c r="D338" s="141" t="s">
        <v>682</v>
      </c>
      <c r="E338" s="141" t="n">
        <v>-20</v>
      </c>
      <c r="F338" s="141" t="n">
        <v>-10</v>
      </c>
      <c r="G338" s="141" t="n">
        <v>42</v>
      </c>
      <c r="H338" s="141" t="n">
        <v>60</v>
      </c>
      <c r="I338" s="141" t="n">
        <v>0</v>
      </c>
      <c r="J338" s="141" t="n">
        <v>4</v>
      </c>
      <c r="K338" s="141" t="n">
        <v>0.0667533891324926</v>
      </c>
      <c r="L338" s="141" t="n">
        <v>0.455657962781637</v>
      </c>
      <c r="M338" s="141" t="n">
        <v>0</v>
      </c>
      <c r="N338" s="141" t="n">
        <v>0.0564645799459234</v>
      </c>
      <c r="O338" s="141" t="n">
        <v>0.0367635271878319</v>
      </c>
      <c r="P338" s="141" t="n">
        <v>0.0801793333245764</v>
      </c>
      <c r="Q338" s="141" t="n">
        <v>0</v>
      </c>
    </row>
    <row r="339" customFormat="false" ht="12.8" hidden="false" customHeight="false" outlineLevel="0" collapsed="false">
      <c r="A339" s="11" t="n">
        <v>337</v>
      </c>
      <c r="B339" s="141" t="s">
        <v>827</v>
      </c>
      <c r="C339" s="141" t="n">
        <v>1</v>
      </c>
      <c r="D339" s="141" t="s">
        <v>682</v>
      </c>
      <c r="E339" s="141" t="n">
        <v>-20</v>
      </c>
      <c r="F339" s="141" t="n">
        <v>-10</v>
      </c>
      <c r="G339" s="141" t="n">
        <v>42</v>
      </c>
      <c r="H339" s="141" t="n">
        <v>60</v>
      </c>
      <c r="I339" s="141" t="n">
        <v>0</v>
      </c>
      <c r="J339" s="141" t="n">
        <v>4</v>
      </c>
      <c r="K339" s="141" t="n">
        <v>0.0848454530401234</v>
      </c>
      <c r="L339" s="141" t="n">
        <v>0.473758923616666</v>
      </c>
      <c r="M339" s="141" t="n">
        <v>0</v>
      </c>
      <c r="N339" s="141" t="n">
        <v>0.0720341050026194</v>
      </c>
      <c r="O339" s="141" t="n">
        <v>0.0488151329364669</v>
      </c>
      <c r="P339" s="141" t="n">
        <v>0.110917645771382</v>
      </c>
      <c r="Q339" s="141" t="n">
        <v>0</v>
      </c>
    </row>
    <row r="340" customFormat="false" ht="12.8" hidden="false" customHeight="false" outlineLevel="0" collapsed="false">
      <c r="A340" s="11" t="n">
        <v>338</v>
      </c>
      <c r="B340" s="141" t="s">
        <v>828</v>
      </c>
      <c r="C340" s="141" t="n">
        <v>1</v>
      </c>
      <c r="D340" s="141" t="s">
        <v>682</v>
      </c>
      <c r="E340" s="141" t="n">
        <v>-20</v>
      </c>
      <c r="F340" s="141" t="n">
        <v>-10</v>
      </c>
      <c r="G340" s="141" t="n">
        <v>42</v>
      </c>
      <c r="H340" s="141" t="n">
        <v>60</v>
      </c>
      <c r="I340" s="141" t="n">
        <v>0</v>
      </c>
      <c r="J340" s="141" t="n">
        <v>4</v>
      </c>
      <c r="K340" s="141" t="n">
        <v>0.067711700495656</v>
      </c>
      <c r="L340" s="141" t="n">
        <v>0.456802514634004</v>
      </c>
      <c r="M340" s="141" t="n">
        <v>0</v>
      </c>
      <c r="N340" s="141" t="n">
        <v>0.0572864304542753</v>
      </c>
      <c r="O340" s="141" t="n">
        <v>0.0374989660897014</v>
      </c>
      <c r="P340" s="141" t="n">
        <v>0.0821229645367675</v>
      </c>
      <c r="Q340" s="141" t="n">
        <v>0</v>
      </c>
    </row>
    <row r="341" customFormat="false" ht="12.8" hidden="false" customHeight="false" outlineLevel="0" collapsed="false">
      <c r="A341" s="11" t="n">
        <v>339</v>
      </c>
      <c r="B341" s="141" t="s">
        <v>829</v>
      </c>
      <c r="C341" s="141" t="n">
        <v>1</v>
      </c>
      <c r="D341" s="141" t="s">
        <v>682</v>
      </c>
      <c r="E341" s="141" t="n">
        <v>-20</v>
      </c>
      <c r="F341" s="141" t="n">
        <v>-10</v>
      </c>
      <c r="G341" s="141" t="n">
        <v>42</v>
      </c>
      <c r="H341" s="141" t="n">
        <v>60</v>
      </c>
      <c r="I341" s="141" t="n">
        <v>0</v>
      </c>
      <c r="J341" s="141" t="n">
        <v>4</v>
      </c>
      <c r="K341" s="141" t="n">
        <v>0.0828491628429272</v>
      </c>
      <c r="L341" s="141" t="n">
        <v>0.4727865030314</v>
      </c>
      <c r="M341" s="141" t="n">
        <v>0</v>
      </c>
      <c r="N341" s="141" t="n">
        <v>0.0703105849495822</v>
      </c>
      <c r="O341" s="141" t="n">
        <v>0.0481457585135238</v>
      </c>
      <c r="P341" s="141" t="n">
        <v>0.10926632084714</v>
      </c>
      <c r="Q341" s="141" t="n">
        <v>0</v>
      </c>
    </row>
    <row r="342" customFormat="false" ht="12.8" hidden="false" customHeight="false" outlineLevel="0" collapsed="false">
      <c r="A342" s="11" t="n">
        <v>340</v>
      </c>
      <c r="B342" s="141" t="s">
        <v>830</v>
      </c>
      <c r="C342" s="141" t="n">
        <v>1</v>
      </c>
      <c r="D342" s="141" t="s">
        <v>682</v>
      </c>
      <c r="E342" s="141" t="n">
        <v>-20</v>
      </c>
      <c r="F342" s="141" t="n">
        <v>-10</v>
      </c>
      <c r="G342" s="141" t="n">
        <v>42</v>
      </c>
      <c r="H342" s="141" t="n">
        <v>60</v>
      </c>
      <c r="I342" s="141" t="n">
        <v>0</v>
      </c>
      <c r="J342" s="141" t="n">
        <v>4</v>
      </c>
      <c r="K342" s="141" t="n">
        <v>0.109229575416582</v>
      </c>
      <c r="L342" s="141" t="n">
        <v>0.455024364323899</v>
      </c>
      <c r="M342" s="141" t="n">
        <v>0</v>
      </c>
      <c r="N342" s="141" t="n">
        <v>0.0931978944253017</v>
      </c>
      <c r="O342" s="141" t="n">
        <v>0.0363580232235289</v>
      </c>
      <c r="P342" s="141" t="n">
        <v>0.0791033822998064</v>
      </c>
      <c r="Q342" s="141" t="n">
        <v>0</v>
      </c>
    </row>
    <row r="343" customFormat="false" ht="12.8" hidden="false" customHeight="false" outlineLevel="0" collapsed="false">
      <c r="A343" s="11" t="n">
        <v>341</v>
      </c>
      <c r="B343" s="141" t="s">
        <v>831</v>
      </c>
      <c r="C343" s="141" t="n">
        <v>1</v>
      </c>
      <c r="D343" s="141" t="s">
        <v>682</v>
      </c>
      <c r="E343" s="141" t="n">
        <v>-20</v>
      </c>
      <c r="F343" s="141" t="n">
        <v>-10</v>
      </c>
      <c r="G343" s="141" t="n">
        <v>42</v>
      </c>
      <c r="H343" s="141" t="n">
        <v>60</v>
      </c>
      <c r="I343" s="141" t="n">
        <v>0</v>
      </c>
      <c r="J343" s="141" t="n">
        <v>4</v>
      </c>
      <c r="K343" s="141" t="n">
        <v>0.0926325332256284</v>
      </c>
      <c r="L343" s="141" t="n">
        <v>0.482633697619629</v>
      </c>
      <c r="M343" s="141" t="n">
        <v>0</v>
      </c>
      <c r="N343" s="141" t="n">
        <v>0.0787703727206462</v>
      </c>
      <c r="O343" s="141" t="n">
        <v>0.0550319118913288</v>
      </c>
      <c r="P343" s="141" t="n">
        <v>0.125988424537443</v>
      </c>
      <c r="Q343" s="141" t="n">
        <v>0</v>
      </c>
    </row>
    <row r="344" customFormat="false" ht="12.8" hidden="false" customHeight="false" outlineLevel="0" collapsed="false">
      <c r="A344" s="11" t="n">
        <v>342</v>
      </c>
      <c r="B344" s="141" t="s">
        <v>832</v>
      </c>
      <c r="C344" s="141" t="n">
        <v>1</v>
      </c>
      <c r="D344" s="141" t="s">
        <v>682</v>
      </c>
      <c r="E344" s="141" t="n">
        <v>-20</v>
      </c>
      <c r="F344" s="141" t="n">
        <v>-10</v>
      </c>
      <c r="G344" s="141" t="n">
        <v>42</v>
      </c>
      <c r="H344" s="141" t="n">
        <v>60</v>
      </c>
      <c r="I344" s="141" t="n">
        <v>0</v>
      </c>
      <c r="J344" s="141" t="n">
        <v>4</v>
      </c>
      <c r="K344" s="141" t="n">
        <v>0.059968037619667</v>
      </c>
      <c r="L344" s="141" t="n">
        <v>0.453473768379659</v>
      </c>
      <c r="M344" s="141" t="n">
        <v>0</v>
      </c>
      <c r="N344" s="141" t="n">
        <v>0.0506545492734689</v>
      </c>
      <c r="O344" s="141" t="n">
        <v>0.0353705471989904</v>
      </c>
      <c r="P344" s="141" t="n">
        <v>0.076470223593637</v>
      </c>
      <c r="Q344" s="141" t="n">
        <v>0</v>
      </c>
    </row>
    <row r="345" customFormat="false" ht="12.8" hidden="false" customHeight="false" outlineLevel="0" collapsed="false">
      <c r="A345" s="11" t="n">
        <v>343</v>
      </c>
      <c r="B345" s="141" t="s">
        <v>833</v>
      </c>
      <c r="C345" s="141" t="n">
        <v>1</v>
      </c>
      <c r="D345" s="141" t="s">
        <v>682</v>
      </c>
      <c r="E345" s="141" t="n">
        <v>-20</v>
      </c>
      <c r="F345" s="141" t="n">
        <v>-10</v>
      </c>
      <c r="G345" s="141" t="n">
        <v>42</v>
      </c>
      <c r="H345" s="141" t="n">
        <v>60</v>
      </c>
      <c r="I345" s="141" t="n">
        <v>0</v>
      </c>
      <c r="J345" s="141" t="n">
        <v>4</v>
      </c>
      <c r="K345" s="141" t="n">
        <v>0.0900213750608939</v>
      </c>
      <c r="L345" s="141" t="n">
        <v>0.487708043762254</v>
      </c>
      <c r="M345" s="141" t="n">
        <v>0</v>
      </c>
      <c r="N345" s="141" t="n">
        <v>0.0765092300661329</v>
      </c>
      <c r="O345" s="141" t="n">
        <v>0.058670779949855</v>
      </c>
      <c r="P345" s="141" t="n">
        <v>0.134605471920552</v>
      </c>
      <c r="Q345" s="141" t="n">
        <v>0</v>
      </c>
    </row>
    <row r="346" customFormat="false" ht="12.8" hidden="false" customHeight="false" outlineLevel="0" collapsed="false">
      <c r="A346" s="11" t="n">
        <v>344</v>
      </c>
      <c r="B346" s="141" t="s">
        <v>834</v>
      </c>
      <c r="C346" s="141" t="n">
        <v>1</v>
      </c>
      <c r="D346" s="141" t="s">
        <v>682</v>
      </c>
      <c r="E346" s="141" t="n">
        <v>-20</v>
      </c>
      <c r="F346" s="141" t="n">
        <v>-10</v>
      </c>
      <c r="G346" s="141" t="n">
        <v>42</v>
      </c>
      <c r="H346" s="141" t="n">
        <v>60</v>
      </c>
      <c r="I346" s="141" t="n">
        <v>0</v>
      </c>
      <c r="J346" s="141" t="n">
        <v>4</v>
      </c>
      <c r="K346" s="141" t="n">
        <v>0.0394848167239423</v>
      </c>
      <c r="L346" s="141" t="n">
        <v>0.47101839215838</v>
      </c>
      <c r="M346" s="141" t="n">
        <v>0</v>
      </c>
      <c r="N346" s="141" t="n">
        <v>0.0332123660880588</v>
      </c>
      <c r="O346" s="141" t="n">
        <v>0.0469348054283655</v>
      </c>
      <c r="P346" s="141" t="n">
        <v>0.106263787172225</v>
      </c>
      <c r="Q346" s="141" t="n">
        <v>0</v>
      </c>
    </row>
    <row r="347" customFormat="false" ht="12.8" hidden="false" customHeight="false" outlineLevel="0" collapsed="false">
      <c r="A347" s="11" t="n">
        <v>345</v>
      </c>
      <c r="B347" s="141" t="s">
        <v>835</v>
      </c>
      <c r="C347" s="141" t="n">
        <v>1</v>
      </c>
      <c r="D347" s="141" t="s">
        <v>682</v>
      </c>
      <c r="E347" s="141" t="n">
        <v>-20</v>
      </c>
      <c r="F347" s="141" t="n">
        <v>-10</v>
      </c>
      <c r="G347" s="141" t="n">
        <v>42</v>
      </c>
      <c r="H347" s="141" t="n">
        <v>60</v>
      </c>
      <c r="I347" s="141" t="n">
        <v>0</v>
      </c>
      <c r="J347" s="141" t="n">
        <v>4</v>
      </c>
      <c r="K347" s="141" t="n">
        <v>0.183369591155262</v>
      </c>
      <c r="L347" s="141" t="n">
        <v>0.482279191220491</v>
      </c>
      <c r="M347" s="141" t="n">
        <v>0</v>
      </c>
      <c r="N347" s="141" t="n">
        <v>0.158812359627081</v>
      </c>
      <c r="O347" s="141" t="n">
        <v>0.0547799384752553</v>
      </c>
      <c r="P347" s="141" t="n">
        <v>0.125386416248468</v>
      </c>
      <c r="Q347" s="141" t="n">
        <v>0</v>
      </c>
    </row>
    <row r="348" customFormat="false" ht="12.8" hidden="false" customHeight="false" outlineLevel="0" collapsed="false">
      <c r="A348" s="11" t="n">
        <v>346</v>
      </c>
      <c r="B348" s="141" t="s">
        <v>836</v>
      </c>
      <c r="C348" s="141" t="n">
        <v>1</v>
      </c>
      <c r="D348" s="141" t="s">
        <v>682</v>
      </c>
      <c r="E348" s="141" t="n">
        <v>-20</v>
      </c>
      <c r="F348" s="141" t="n">
        <v>-10</v>
      </c>
      <c r="G348" s="141" t="n">
        <v>42</v>
      </c>
      <c r="H348" s="141" t="n">
        <v>60</v>
      </c>
      <c r="I348" s="141" t="n">
        <v>0</v>
      </c>
      <c r="J348" s="141" t="n">
        <v>4</v>
      </c>
      <c r="K348" s="141" t="n">
        <v>0.250578333481822</v>
      </c>
      <c r="L348" s="141" t="n">
        <v>0.468046206198483</v>
      </c>
      <c r="M348" s="141" t="n">
        <v>0</v>
      </c>
      <c r="N348" s="141" t="n">
        <v>0.219938924183669</v>
      </c>
      <c r="O348" s="141" t="n">
        <v>0.0449173077653295</v>
      </c>
      <c r="P348" s="141" t="n">
        <v>0.101216542359203</v>
      </c>
      <c r="Q348" s="141" t="n">
        <v>0</v>
      </c>
    </row>
    <row r="349" customFormat="false" ht="12.8" hidden="false" customHeight="false" outlineLevel="0" collapsed="false">
      <c r="A349" s="11" t="n">
        <v>347</v>
      </c>
      <c r="B349" s="141" t="s">
        <v>837</v>
      </c>
      <c r="C349" s="141" t="n">
        <v>1</v>
      </c>
      <c r="D349" s="141" t="s">
        <v>682</v>
      </c>
      <c r="E349" s="141" t="n">
        <v>-20</v>
      </c>
      <c r="F349" s="141" t="n">
        <v>-10</v>
      </c>
      <c r="G349" s="141" t="n">
        <v>42</v>
      </c>
      <c r="H349" s="141" t="n">
        <v>60</v>
      </c>
      <c r="I349" s="141" t="n">
        <v>0</v>
      </c>
      <c r="J349" s="141" t="n">
        <v>4</v>
      </c>
      <c r="K349" s="141" t="n">
        <v>0.132213101009477</v>
      </c>
      <c r="L349" s="141" t="n">
        <v>0.460382598411441</v>
      </c>
      <c r="M349" s="141" t="n">
        <v>0</v>
      </c>
      <c r="N349" s="141" t="n">
        <v>0.113334726869018</v>
      </c>
      <c r="O349" s="141" t="n">
        <v>0.0398233424046116</v>
      </c>
      <c r="P349" s="141" t="n">
        <v>0.0882025165969892</v>
      </c>
      <c r="Q349" s="141" t="n">
        <v>0</v>
      </c>
    </row>
    <row r="350" customFormat="false" ht="12.8" hidden="false" customHeight="false" outlineLevel="0" collapsed="false">
      <c r="A350" s="11" t="n">
        <v>348</v>
      </c>
      <c r="B350" s="141" t="s">
        <v>838</v>
      </c>
      <c r="C350" s="141" t="n">
        <v>1</v>
      </c>
      <c r="D350" s="141" t="s">
        <v>682</v>
      </c>
      <c r="E350" s="141" t="n">
        <v>-20</v>
      </c>
      <c r="F350" s="141" t="n">
        <v>-10</v>
      </c>
      <c r="G350" s="141" t="n">
        <v>42</v>
      </c>
      <c r="H350" s="141" t="n">
        <v>60</v>
      </c>
      <c r="I350" s="141" t="n">
        <v>0</v>
      </c>
      <c r="J350" s="141" t="n">
        <v>4</v>
      </c>
      <c r="K350" s="141" t="n">
        <v>0.0748964027307121</v>
      </c>
      <c r="L350" s="141" t="n">
        <v>0.451553484825271</v>
      </c>
      <c r="M350" s="141" t="n">
        <v>0</v>
      </c>
      <c r="N350" s="141" t="n">
        <v>0.0634581901471419</v>
      </c>
      <c r="O350" s="141" t="n">
        <v>0.0341574015500868</v>
      </c>
      <c r="P350" s="141" t="n">
        <v>0.0732092764859547</v>
      </c>
      <c r="Q350" s="141" t="n">
        <v>0</v>
      </c>
    </row>
    <row r="351" customFormat="false" ht="12.8" hidden="false" customHeight="false" outlineLevel="0" collapsed="false">
      <c r="A351" s="11" t="n">
        <v>349</v>
      </c>
      <c r="B351" s="141" t="s">
        <v>839</v>
      </c>
      <c r="C351" s="141" t="n">
        <v>1</v>
      </c>
      <c r="D351" s="141" t="s">
        <v>682</v>
      </c>
      <c r="E351" s="141" t="n">
        <v>-20</v>
      </c>
      <c r="F351" s="141" t="n">
        <v>-10</v>
      </c>
      <c r="G351" s="141" t="n">
        <v>42</v>
      </c>
      <c r="H351" s="141" t="n">
        <v>60</v>
      </c>
      <c r="I351" s="141" t="n">
        <v>0</v>
      </c>
      <c r="J351" s="141" t="n">
        <v>4</v>
      </c>
      <c r="K351" s="141" t="n">
        <v>0.0874659263298089</v>
      </c>
      <c r="L351" s="141" t="n">
        <v>0.448043562793785</v>
      </c>
      <c r="M351" s="141" t="n">
        <v>0</v>
      </c>
      <c r="N351" s="141" t="n">
        <v>0.0742986172939308</v>
      </c>
      <c r="O351" s="141" t="n">
        <v>0.0319684181843831</v>
      </c>
      <c r="P351" s="141" t="n">
        <v>0.0672488702373014</v>
      </c>
      <c r="Q351" s="141" t="n">
        <v>0</v>
      </c>
    </row>
    <row r="352" customFormat="false" ht="12.8" hidden="false" customHeight="false" outlineLevel="0" collapsed="false">
      <c r="A352" s="11" t="n">
        <v>350</v>
      </c>
      <c r="B352" s="141" t="s">
        <v>840</v>
      </c>
      <c r="C352" s="141" t="n">
        <v>1</v>
      </c>
      <c r="D352" s="141" t="s">
        <v>682</v>
      </c>
      <c r="E352" s="141" t="n">
        <v>-20</v>
      </c>
      <c r="F352" s="141" t="n">
        <v>-10</v>
      </c>
      <c r="G352" s="141" t="n">
        <v>42</v>
      </c>
      <c r="H352" s="141" t="n">
        <v>60</v>
      </c>
      <c r="I352" s="141" t="n">
        <v>0</v>
      </c>
      <c r="J352" s="141" t="n">
        <v>4</v>
      </c>
      <c r="K352" s="141" t="n">
        <v>0.0972357402389296</v>
      </c>
      <c r="L352" s="141" t="n">
        <v>0.453333458575206</v>
      </c>
      <c r="M352" s="141" t="n">
        <v>0</v>
      </c>
      <c r="N352" s="141" t="n">
        <v>0.0827622930462004</v>
      </c>
      <c r="O352" s="141" t="n">
        <v>0.0352815386557285</v>
      </c>
      <c r="P352" s="141" t="n">
        <v>0.0762319552139666</v>
      </c>
      <c r="Q352" s="141" t="n">
        <v>0</v>
      </c>
    </row>
    <row r="353" customFormat="false" ht="12.8" hidden="false" customHeight="false" outlineLevel="0" collapsed="false">
      <c r="A353" s="11" t="n">
        <v>351</v>
      </c>
      <c r="B353" s="141" t="s">
        <v>841</v>
      </c>
      <c r="C353" s="141" t="n">
        <v>-1</v>
      </c>
      <c r="D353" s="141" t="s">
        <v>682</v>
      </c>
      <c r="E353" s="141" t="n">
        <v>-20</v>
      </c>
      <c r="F353" s="141" t="n">
        <v>-10</v>
      </c>
      <c r="G353" s="141" t="n">
        <v>42</v>
      </c>
      <c r="H353" s="141" t="n">
        <v>60</v>
      </c>
      <c r="I353" s="141" t="n">
        <v>0</v>
      </c>
      <c r="J353" s="141" t="n">
        <v>4</v>
      </c>
      <c r="K353" s="141" t="n">
        <v>0</v>
      </c>
      <c r="L353" s="141" t="n">
        <v>0</v>
      </c>
      <c r="M353" s="141" t="n">
        <v>0</v>
      </c>
      <c r="N353" s="141"/>
      <c r="O353" s="141"/>
      <c r="P353" s="141"/>
      <c r="Q353" s="141" t="n">
        <v>0</v>
      </c>
    </row>
    <row r="354" customFormat="false" ht="12.8" hidden="false" customHeight="false" outlineLevel="0" collapsed="false">
      <c r="A354" s="11" t="n">
        <v>352</v>
      </c>
      <c r="B354" s="141" t="s">
        <v>842</v>
      </c>
      <c r="C354" s="141" t="n">
        <v>-1</v>
      </c>
      <c r="D354" s="141" t="s">
        <v>682</v>
      </c>
      <c r="E354" s="141" t="n">
        <v>-20</v>
      </c>
      <c r="F354" s="141" t="n">
        <v>-10</v>
      </c>
      <c r="G354" s="141" t="n">
        <v>42</v>
      </c>
      <c r="H354" s="141" t="n">
        <v>60</v>
      </c>
      <c r="I354" s="141" t="n">
        <v>0</v>
      </c>
      <c r="J354" s="141" t="n">
        <v>4</v>
      </c>
      <c r="K354" s="141" t="n">
        <v>0</v>
      </c>
      <c r="L354" s="141" t="n">
        <v>0</v>
      </c>
      <c r="M354" s="141" t="n">
        <v>0</v>
      </c>
      <c r="N354" s="141"/>
      <c r="O354" s="141"/>
      <c r="P354" s="141"/>
      <c r="Q354" s="141" t="n">
        <v>0</v>
      </c>
    </row>
    <row r="355" customFormat="false" ht="12.8" hidden="false" customHeight="false" outlineLevel="0" collapsed="false">
      <c r="A355" s="11" t="n">
        <v>353</v>
      </c>
      <c r="B355" s="141" t="s">
        <v>843</v>
      </c>
      <c r="C355" s="141" t="n">
        <v>-1</v>
      </c>
      <c r="D355" s="141" t="s">
        <v>682</v>
      </c>
      <c r="E355" s="141" t="n">
        <v>-20</v>
      </c>
      <c r="F355" s="141" t="n">
        <v>-10</v>
      </c>
      <c r="G355" s="141" t="n">
        <v>42</v>
      </c>
      <c r="H355" s="141" t="n">
        <v>60</v>
      </c>
      <c r="I355" s="141" t="n">
        <v>0</v>
      </c>
      <c r="J355" s="141" t="n">
        <v>4</v>
      </c>
      <c r="K355" s="141" t="n">
        <v>0</v>
      </c>
      <c r="L355" s="141" t="n">
        <v>0</v>
      </c>
      <c r="M355" s="141" t="n">
        <v>0</v>
      </c>
      <c r="N355" s="141"/>
      <c r="O355" s="141"/>
      <c r="P355" s="141"/>
      <c r="Q355" s="141" t="n">
        <v>0</v>
      </c>
    </row>
    <row r="356" customFormat="false" ht="12.8" hidden="false" customHeight="false" outlineLevel="0" collapsed="false">
      <c r="A356" s="11" t="n">
        <v>354</v>
      </c>
      <c r="B356" s="141" t="s">
        <v>844</v>
      </c>
      <c r="C356" s="141" t="n">
        <v>-1</v>
      </c>
      <c r="D356" s="141" t="s">
        <v>682</v>
      </c>
      <c r="E356" s="141" t="n">
        <v>-20</v>
      </c>
      <c r="F356" s="141" t="n">
        <v>-10</v>
      </c>
      <c r="G356" s="141" t="n">
        <v>42</v>
      </c>
      <c r="H356" s="141" t="n">
        <v>60</v>
      </c>
      <c r="I356" s="141" t="n">
        <v>0</v>
      </c>
      <c r="J356" s="141" t="n">
        <v>4</v>
      </c>
      <c r="K356" s="141" t="n">
        <v>0</v>
      </c>
      <c r="L356" s="141" t="n">
        <v>0</v>
      </c>
      <c r="M356" s="141" t="n">
        <v>0</v>
      </c>
      <c r="N356" s="141"/>
      <c r="O356" s="141"/>
      <c r="P356" s="141"/>
      <c r="Q356" s="141" t="n">
        <v>0</v>
      </c>
    </row>
    <row r="357" customFormat="false" ht="12.8" hidden="false" customHeight="false" outlineLevel="0" collapsed="false">
      <c r="A357" s="11" t="n">
        <v>355</v>
      </c>
      <c r="B357" s="141" t="s">
        <v>845</v>
      </c>
      <c r="C357" s="141" t="n">
        <v>-1</v>
      </c>
      <c r="D357" s="141" t="s">
        <v>682</v>
      </c>
      <c r="E357" s="141" t="n">
        <v>-20</v>
      </c>
      <c r="F357" s="141" t="n">
        <v>-10</v>
      </c>
      <c r="G357" s="141" t="n">
        <v>42</v>
      </c>
      <c r="H357" s="141" t="n">
        <v>60</v>
      </c>
      <c r="I357" s="141" t="n">
        <v>0</v>
      </c>
      <c r="J357" s="141" t="n">
        <v>4</v>
      </c>
      <c r="K357" s="141" t="n">
        <v>0</v>
      </c>
      <c r="L357" s="141" t="n">
        <v>0</v>
      </c>
      <c r="M357" s="141" t="n">
        <v>0</v>
      </c>
      <c r="N357" s="141"/>
      <c r="O357" s="141"/>
      <c r="P357" s="141"/>
      <c r="Q357" s="141" t="n">
        <v>0</v>
      </c>
    </row>
    <row r="358" customFormat="false" ht="12.8" hidden="false" customHeight="false" outlineLevel="0" collapsed="false">
      <c r="A358" s="11" t="n">
        <v>356</v>
      </c>
      <c r="B358" s="141" t="s">
        <v>846</v>
      </c>
      <c r="C358" s="141" t="n">
        <v>-1</v>
      </c>
      <c r="D358" s="141" t="s">
        <v>682</v>
      </c>
      <c r="E358" s="141" t="n">
        <v>-20</v>
      </c>
      <c r="F358" s="141" t="n">
        <v>-10</v>
      </c>
      <c r="G358" s="141" t="n">
        <v>42</v>
      </c>
      <c r="H358" s="141" t="n">
        <v>60</v>
      </c>
      <c r="I358" s="141" t="n">
        <v>0</v>
      </c>
      <c r="J358" s="141" t="n">
        <v>4</v>
      </c>
      <c r="K358" s="141" t="n">
        <v>0</v>
      </c>
      <c r="L358" s="141" t="n">
        <v>0</v>
      </c>
      <c r="M358" s="141" t="n">
        <v>0</v>
      </c>
      <c r="N358" s="141"/>
      <c r="O358" s="141"/>
      <c r="P358" s="141"/>
      <c r="Q358" s="141" t="n">
        <v>0</v>
      </c>
    </row>
    <row r="359" customFormat="false" ht="12.8" hidden="false" customHeight="false" outlineLevel="0" collapsed="false">
      <c r="A359" s="11" t="n">
        <v>357</v>
      </c>
      <c r="B359" s="141" t="s">
        <v>847</v>
      </c>
      <c r="C359" s="141" t="n">
        <v>-1</v>
      </c>
      <c r="D359" s="141" t="s">
        <v>682</v>
      </c>
      <c r="E359" s="141" t="n">
        <v>-20</v>
      </c>
      <c r="F359" s="141" t="n">
        <v>-10</v>
      </c>
      <c r="G359" s="141" t="n">
        <v>42</v>
      </c>
      <c r="H359" s="141" t="n">
        <v>60</v>
      </c>
      <c r="I359" s="141" t="n">
        <v>0</v>
      </c>
      <c r="J359" s="141" t="n">
        <v>4</v>
      </c>
      <c r="K359" s="141" t="n">
        <v>0</v>
      </c>
      <c r="L359" s="141" t="n">
        <v>0</v>
      </c>
      <c r="M359" s="141" t="n">
        <v>0</v>
      </c>
      <c r="N359" s="141"/>
      <c r="O359" s="141"/>
      <c r="P359" s="141"/>
      <c r="Q359" s="141" t="n">
        <v>0</v>
      </c>
    </row>
    <row r="360" customFormat="false" ht="12.8" hidden="false" customHeight="false" outlineLevel="0" collapsed="false">
      <c r="A360" s="11" t="n">
        <v>358</v>
      </c>
      <c r="B360" s="141" t="s">
        <v>848</v>
      </c>
      <c r="C360" s="141" t="n">
        <v>1</v>
      </c>
      <c r="D360" s="141" t="s">
        <v>682</v>
      </c>
      <c r="E360" s="141" t="n">
        <v>-20</v>
      </c>
      <c r="F360" s="141" t="n">
        <v>-10</v>
      </c>
      <c r="G360" s="141" t="n">
        <v>42</v>
      </c>
      <c r="H360" s="141" t="n">
        <v>60</v>
      </c>
      <c r="I360" s="141" t="n">
        <v>0</v>
      </c>
      <c r="J360" s="141" t="n">
        <v>4</v>
      </c>
      <c r="K360" s="141" t="n">
        <v>0.425473491486544</v>
      </c>
      <c r="L360" s="141" t="n">
        <v>0.697714037986551</v>
      </c>
      <c r="M360" s="141" t="n">
        <v>0</v>
      </c>
      <c r="N360" s="141" t="n">
        <v>0.386344632963501</v>
      </c>
      <c r="O360" s="141" t="n">
        <v>0.255485589609267</v>
      </c>
      <c r="P360" s="141" t="n">
        <v>0.49122907466745</v>
      </c>
      <c r="Q360" s="141" t="n">
        <v>0</v>
      </c>
    </row>
    <row r="361" customFormat="false" ht="12.8" hidden="false" customHeight="false" outlineLevel="0" collapsed="false">
      <c r="A361" s="11" t="n">
        <v>359</v>
      </c>
      <c r="B361" s="141" t="s">
        <v>849</v>
      </c>
      <c r="C361" s="141" t="n">
        <v>1</v>
      </c>
      <c r="D361" s="141" t="s">
        <v>682</v>
      </c>
      <c r="E361" s="141" t="n">
        <v>-20</v>
      </c>
      <c r="F361" s="141" t="n">
        <v>-10</v>
      </c>
      <c r="G361" s="141" t="n">
        <v>42</v>
      </c>
      <c r="H361" s="141" t="n">
        <v>60</v>
      </c>
      <c r="I361" s="141" t="n">
        <v>0</v>
      </c>
      <c r="J361" s="141" t="n">
        <v>4</v>
      </c>
      <c r="K361" s="141" t="n">
        <v>0.311264573609996</v>
      </c>
      <c r="L361" s="141" t="n">
        <v>0.646634440979801</v>
      </c>
      <c r="M361" s="141" t="n">
        <v>0</v>
      </c>
      <c r="N361" s="141" t="n">
        <v>0.276478314270993</v>
      </c>
      <c r="O361" s="141" t="n">
        <v>0.198180798554059</v>
      </c>
      <c r="P361" s="141" t="n">
        <v>0.404487789121329</v>
      </c>
      <c r="Q361" s="141" t="n">
        <v>0</v>
      </c>
    </row>
    <row r="362" customFormat="false" ht="12.8" hidden="false" customHeight="false" outlineLevel="0" collapsed="false">
      <c r="A362" s="11" t="n">
        <v>360</v>
      </c>
      <c r="B362" s="141" t="s">
        <v>850</v>
      </c>
      <c r="C362" s="141" t="n">
        <v>1</v>
      </c>
      <c r="D362" s="141" t="s">
        <v>682</v>
      </c>
      <c r="E362" s="141" t="n">
        <v>-20</v>
      </c>
      <c r="F362" s="141" t="n">
        <v>-10</v>
      </c>
      <c r="G362" s="141" t="n">
        <v>42</v>
      </c>
      <c r="H362" s="141" t="n">
        <v>60</v>
      </c>
      <c r="I362" s="141" t="n">
        <v>0</v>
      </c>
      <c r="J362" s="141" t="n">
        <v>4</v>
      </c>
      <c r="K362" s="141" t="n">
        <v>0.398742708894265</v>
      </c>
      <c r="L362" s="141" t="n">
        <v>0.691445108616398</v>
      </c>
      <c r="M362" s="141" t="n">
        <v>0</v>
      </c>
      <c r="N362" s="141" t="n">
        <v>0.36022500514092</v>
      </c>
      <c r="O362" s="141" t="n">
        <v>0.247967485103421</v>
      </c>
      <c r="P362" s="141" t="n">
        <v>0.480583434834131</v>
      </c>
      <c r="Q362" s="141" t="n">
        <v>0</v>
      </c>
    </row>
    <row r="363" customFormat="false" ht="12.8" hidden="false" customHeight="false" outlineLevel="0" collapsed="false">
      <c r="A363" s="11" t="n">
        <v>361</v>
      </c>
      <c r="B363" s="141" t="s">
        <v>851</v>
      </c>
      <c r="C363" s="141" t="n">
        <v>1</v>
      </c>
      <c r="D363" s="141" t="s">
        <v>682</v>
      </c>
      <c r="E363" s="141" t="n">
        <v>-20</v>
      </c>
      <c r="F363" s="141" t="n">
        <v>-10</v>
      </c>
      <c r="G363" s="141" t="n">
        <v>42</v>
      </c>
      <c r="H363" s="141" t="n">
        <v>60</v>
      </c>
      <c r="I363" s="141" t="n">
        <v>0</v>
      </c>
      <c r="J363" s="141" t="n">
        <v>4</v>
      </c>
      <c r="K363" s="141" t="n">
        <v>0.301891021467026</v>
      </c>
      <c r="L363" s="141" t="n">
        <v>0.634196452457878</v>
      </c>
      <c r="M363" s="141" t="n">
        <v>0</v>
      </c>
      <c r="N363" s="141" t="n">
        <v>0.267661927336329</v>
      </c>
      <c r="O363" s="141" t="n">
        <v>0.185404862765503</v>
      </c>
      <c r="P363" s="141" t="n">
        <v>0.38336610498085</v>
      </c>
      <c r="Q363" s="141" t="n">
        <v>0</v>
      </c>
    </row>
    <row r="364" customFormat="false" ht="12.8" hidden="false" customHeight="false" outlineLevel="0" collapsed="false">
      <c r="A364" s="11" t="n">
        <v>362</v>
      </c>
      <c r="B364" s="141" t="s">
        <v>852</v>
      </c>
      <c r="C364" s="141" t="n">
        <v>1</v>
      </c>
      <c r="D364" s="141" t="s">
        <v>682</v>
      </c>
      <c r="E364" s="141" t="n">
        <v>-20</v>
      </c>
      <c r="F364" s="141" t="n">
        <v>-10</v>
      </c>
      <c r="G364" s="141" t="n">
        <v>42</v>
      </c>
      <c r="H364" s="141" t="n">
        <v>60</v>
      </c>
      <c r="I364" s="141" t="n">
        <v>0</v>
      </c>
      <c r="J364" s="141" t="n">
        <v>4</v>
      </c>
      <c r="K364" s="141" t="n">
        <v>0.086507762509897</v>
      </c>
      <c r="L364" s="141" t="n">
        <v>0.489149956325423</v>
      </c>
      <c r="M364" s="141" t="n">
        <v>0</v>
      </c>
      <c r="N364" s="141" t="n">
        <v>0.0734703329244825</v>
      </c>
      <c r="O364" s="141" t="n">
        <v>0.0597155931408143</v>
      </c>
      <c r="P364" s="141" t="n">
        <v>0.137054068947618</v>
      </c>
      <c r="Q364" s="141" t="n">
        <v>0</v>
      </c>
    </row>
    <row r="365" customFormat="false" ht="12.8" hidden="false" customHeight="false" outlineLevel="0" collapsed="false">
      <c r="A365" s="11" t="n">
        <v>363</v>
      </c>
      <c r="B365" s="141" t="s">
        <v>853</v>
      </c>
      <c r="C365" s="141" t="n">
        <v>1</v>
      </c>
      <c r="D365" s="141" t="s">
        <v>682</v>
      </c>
      <c r="E365" s="141" t="n">
        <v>-20</v>
      </c>
      <c r="F365" s="141" t="n">
        <v>-10</v>
      </c>
      <c r="G365" s="141" t="n">
        <v>42</v>
      </c>
      <c r="H365" s="141" t="n">
        <v>60</v>
      </c>
      <c r="I365" s="141" t="n">
        <v>0</v>
      </c>
      <c r="J365" s="141" t="n">
        <v>4</v>
      </c>
      <c r="K365" s="141" t="n">
        <v>0.0948188067601175</v>
      </c>
      <c r="L365" s="141" t="n">
        <v>0.499653502154249</v>
      </c>
      <c r="M365" s="141" t="n">
        <v>0</v>
      </c>
      <c r="N365" s="141" t="n">
        <v>0.0806654025197671</v>
      </c>
      <c r="O365" s="141" t="n">
        <v>0.0674655394932859</v>
      </c>
      <c r="P365" s="141" t="n">
        <v>0.154890761509317</v>
      </c>
      <c r="Q365" s="141" t="n">
        <v>0</v>
      </c>
    </row>
    <row r="366" customFormat="false" ht="12.8" hidden="false" customHeight="false" outlineLevel="0" collapsed="false">
      <c r="A366" s="11" t="n">
        <v>364</v>
      </c>
      <c r="B366" s="141" t="s">
        <v>854</v>
      </c>
      <c r="C366" s="141" t="n">
        <v>1</v>
      </c>
      <c r="D366" s="141" t="s">
        <v>682</v>
      </c>
      <c r="E366" s="141" t="n">
        <v>-20</v>
      </c>
      <c r="F366" s="141" t="n">
        <v>-10</v>
      </c>
      <c r="G366" s="141" t="n">
        <v>42</v>
      </c>
      <c r="H366" s="141" t="n">
        <v>60</v>
      </c>
      <c r="I366" s="141" t="n">
        <v>0</v>
      </c>
      <c r="J366" s="141" t="n">
        <v>4</v>
      </c>
      <c r="K366" s="141" t="n">
        <v>0.10157672428108</v>
      </c>
      <c r="L366" s="141" t="n">
        <v>0.461501195189782</v>
      </c>
      <c r="M366" s="141" t="n">
        <v>0</v>
      </c>
      <c r="N366" s="141" t="n">
        <v>0.0865335411653914</v>
      </c>
      <c r="O366" s="141" t="n">
        <v>0.0405569320903558</v>
      </c>
      <c r="P366" s="141" t="n">
        <v>0.0901020719624767</v>
      </c>
      <c r="Q366" s="141" t="n">
        <v>0</v>
      </c>
    </row>
    <row r="367" customFormat="false" ht="12.8" hidden="false" customHeight="false" outlineLevel="0" collapsed="false">
      <c r="A367" s="11" t="n">
        <v>365</v>
      </c>
      <c r="B367" s="141" t="s">
        <v>855</v>
      </c>
      <c r="C367" s="141" t="n">
        <v>1</v>
      </c>
      <c r="D367" s="141" t="s">
        <v>682</v>
      </c>
      <c r="E367" s="141" t="n">
        <v>-20</v>
      </c>
      <c r="F367" s="141" t="n">
        <v>-10</v>
      </c>
      <c r="G367" s="141" t="n">
        <v>42</v>
      </c>
      <c r="H367" s="141" t="n">
        <v>60</v>
      </c>
      <c r="I367" s="141" t="n">
        <v>0</v>
      </c>
      <c r="J367" s="141" t="n">
        <v>4</v>
      </c>
      <c r="K367" s="141" t="n">
        <v>0.0937023095881249</v>
      </c>
      <c r="L367" s="141" t="n">
        <v>0.489040732193878</v>
      </c>
      <c r="M367" s="141" t="n">
        <v>0</v>
      </c>
      <c r="N367" s="141" t="n">
        <v>0.079697432174451</v>
      </c>
      <c r="O367" s="141" t="n">
        <v>0.059636284093487</v>
      </c>
      <c r="P367" s="141" t="n">
        <v>0.13686858898814</v>
      </c>
      <c r="Q367" s="141" t="n">
        <v>0</v>
      </c>
    </row>
    <row r="368" customFormat="false" ht="12.8" hidden="false" customHeight="false" outlineLevel="0" collapsed="false">
      <c r="A368" s="11" t="n">
        <v>366</v>
      </c>
      <c r="B368" s="141" t="s">
        <v>856</v>
      </c>
      <c r="C368" s="141" t="n">
        <v>1</v>
      </c>
      <c r="D368" s="141" t="s">
        <v>682</v>
      </c>
      <c r="E368" s="141" t="n">
        <v>-20</v>
      </c>
      <c r="F368" s="141" t="n">
        <v>-10</v>
      </c>
      <c r="G368" s="141" t="n">
        <v>42</v>
      </c>
      <c r="H368" s="141" t="n">
        <v>60</v>
      </c>
      <c r="I368" s="141" t="n">
        <v>0</v>
      </c>
      <c r="J368" s="141" t="n">
        <v>4</v>
      </c>
      <c r="K368" s="141" t="n">
        <v>0.13670619191485</v>
      </c>
      <c r="L368" s="141" t="n">
        <v>0.446349206647292</v>
      </c>
      <c r="M368" s="141" t="n">
        <v>0</v>
      </c>
      <c r="N368" s="141" t="n">
        <v>0.117292707332491</v>
      </c>
      <c r="O368" s="141" t="n">
        <v>0.03092511785643</v>
      </c>
      <c r="P368" s="141" t="n">
        <v>0.0643715838268313</v>
      </c>
      <c r="Q368" s="141" t="n">
        <v>0</v>
      </c>
    </row>
    <row r="369" customFormat="false" ht="12.8" hidden="false" customHeight="false" outlineLevel="0" collapsed="false">
      <c r="A369" s="11" t="n">
        <v>367</v>
      </c>
      <c r="B369" s="141" t="s">
        <v>857</v>
      </c>
      <c r="C369" s="141" t="n">
        <v>1</v>
      </c>
      <c r="D369" s="141" t="s">
        <v>682</v>
      </c>
      <c r="E369" s="141" t="n">
        <v>-20</v>
      </c>
      <c r="F369" s="141" t="n">
        <v>-10</v>
      </c>
      <c r="G369" s="141" t="n">
        <v>42</v>
      </c>
      <c r="H369" s="141" t="n">
        <v>60</v>
      </c>
      <c r="I369" s="141" t="n">
        <v>0</v>
      </c>
      <c r="J369" s="141" t="n">
        <v>4</v>
      </c>
      <c r="K369" s="141" t="n">
        <v>0.0768542196144205</v>
      </c>
      <c r="L369" s="141" t="n">
        <v>0.47304975058945</v>
      </c>
      <c r="M369" s="141" t="n">
        <v>0</v>
      </c>
      <c r="N369" s="141" t="n">
        <v>0.0651430841911825</v>
      </c>
      <c r="O369" s="141" t="n">
        <v>0.0483267318595949</v>
      </c>
      <c r="P369" s="141" t="n">
        <v>0.10971335709919</v>
      </c>
      <c r="Q369" s="141" t="n">
        <v>0</v>
      </c>
    </row>
    <row r="370" customFormat="false" ht="12.8" hidden="false" customHeight="false" outlineLevel="0" collapsed="false">
      <c r="A370" s="11" t="n">
        <v>368</v>
      </c>
      <c r="B370" s="141" t="s">
        <v>858</v>
      </c>
      <c r="C370" s="141" t="n">
        <v>1</v>
      </c>
      <c r="D370" s="141" t="s">
        <v>682</v>
      </c>
      <c r="E370" s="141" t="n">
        <v>-20</v>
      </c>
      <c r="F370" s="141" t="n">
        <v>-10</v>
      </c>
      <c r="G370" s="141" t="n">
        <v>42</v>
      </c>
      <c r="H370" s="141" t="n">
        <v>60</v>
      </c>
      <c r="I370" s="141" t="n">
        <v>0</v>
      </c>
      <c r="J370" s="141" t="n">
        <v>4</v>
      </c>
      <c r="K370" s="141" t="n">
        <v>0.0614884274313283</v>
      </c>
      <c r="L370" s="141" t="n">
        <v>0.455019133229378</v>
      </c>
      <c r="M370" s="141" t="n">
        <v>0</v>
      </c>
      <c r="N370" s="141" t="n">
        <v>0.0519550122744497</v>
      </c>
      <c r="O370" s="141" t="n">
        <v>0.036354680138407</v>
      </c>
      <c r="P370" s="141" t="n">
        <v>0.0790944990687279</v>
      </c>
      <c r="Q370" s="141" t="n">
        <v>0</v>
      </c>
    </row>
    <row r="371" customFormat="false" ht="12.8" hidden="false" customHeight="false" outlineLevel="0" collapsed="false">
      <c r="A371" s="11" t="n">
        <v>369</v>
      </c>
      <c r="B371" s="141" t="s">
        <v>859</v>
      </c>
      <c r="C371" s="141" t="n">
        <v>1</v>
      </c>
      <c r="D371" s="141" t="s">
        <v>682</v>
      </c>
      <c r="E371" s="141" t="n">
        <v>-20</v>
      </c>
      <c r="F371" s="141" t="n">
        <v>-10</v>
      </c>
      <c r="G371" s="141" t="n">
        <v>42</v>
      </c>
      <c r="H371" s="141" t="n">
        <v>60</v>
      </c>
      <c r="I371" s="141" t="n">
        <v>0</v>
      </c>
      <c r="J371" s="141" t="n">
        <v>4</v>
      </c>
      <c r="K371" s="141" t="n">
        <v>0.0869277217362115</v>
      </c>
      <c r="L371" s="141" t="n">
        <v>0.459612640735207</v>
      </c>
      <c r="M371" s="141" t="n">
        <v>0</v>
      </c>
      <c r="N371" s="141" t="n">
        <v>0.0738333273566441</v>
      </c>
      <c r="O371" s="141" t="n">
        <v>0.0393204103694258</v>
      </c>
      <c r="P371" s="141" t="n">
        <v>0.0868950059162812</v>
      </c>
      <c r="Q371" s="141" t="n">
        <v>0</v>
      </c>
    </row>
    <row r="372" customFormat="false" ht="12.8" hidden="false" customHeight="false" outlineLevel="0" collapsed="false">
      <c r="A372" s="11" t="n">
        <v>370</v>
      </c>
      <c r="B372" s="141" t="s">
        <v>860</v>
      </c>
      <c r="C372" s="141" t="n">
        <v>1</v>
      </c>
      <c r="D372" s="141" t="s">
        <v>682</v>
      </c>
      <c r="E372" s="141" t="n">
        <v>-20</v>
      </c>
      <c r="F372" s="141" t="n">
        <v>-10</v>
      </c>
      <c r="G372" s="141" t="n">
        <v>42</v>
      </c>
      <c r="H372" s="141" t="n">
        <v>60</v>
      </c>
      <c r="I372" s="141" t="n">
        <v>0</v>
      </c>
      <c r="J372" s="141" t="n">
        <v>4</v>
      </c>
      <c r="K372" s="141" t="n">
        <v>0.0915677605921779</v>
      </c>
      <c r="L372" s="141" t="n">
        <v>0.452828785157825</v>
      </c>
      <c r="M372" s="141" t="n">
        <v>0</v>
      </c>
      <c r="N372" s="141" t="n">
        <v>0.0778480433354049</v>
      </c>
      <c r="O372" s="141" t="n">
        <v>0.0349618654176025</v>
      </c>
      <c r="P372" s="141" t="n">
        <v>0.075374939427433</v>
      </c>
      <c r="Q372" s="141" t="n">
        <v>0</v>
      </c>
    </row>
    <row r="373" customFormat="false" ht="12.8" hidden="false" customHeight="false" outlineLevel="0" collapsed="false">
      <c r="A373" s="11" t="n">
        <v>371</v>
      </c>
      <c r="B373" s="141" t="s">
        <v>861</v>
      </c>
      <c r="C373" s="141" t="n">
        <v>1</v>
      </c>
      <c r="D373" s="141" t="s">
        <v>682</v>
      </c>
      <c r="E373" s="141" t="n">
        <v>-20</v>
      </c>
      <c r="F373" s="141" t="n">
        <v>-10</v>
      </c>
      <c r="G373" s="141" t="n">
        <v>42</v>
      </c>
      <c r="H373" s="141" t="n">
        <v>60</v>
      </c>
      <c r="I373" s="141" t="n">
        <v>0</v>
      </c>
      <c r="J373" s="141" t="n">
        <v>4</v>
      </c>
      <c r="K373" s="141" t="n">
        <v>0.165100986781282</v>
      </c>
      <c r="L373" s="141" t="n">
        <v>0.469155614092674</v>
      </c>
      <c r="M373" s="141" t="n">
        <v>0</v>
      </c>
      <c r="N373" s="141" t="n">
        <v>0.142467622872028</v>
      </c>
      <c r="O373" s="141" t="n">
        <v>0.0456676857147216</v>
      </c>
      <c r="P373" s="141" t="n">
        <v>0.103100493536899</v>
      </c>
      <c r="Q373" s="141" t="n">
        <v>0</v>
      </c>
    </row>
    <row r="374" customFormat="false" ht="12.8" hidden="false" customHeight="false" outlineLevel="0" collapsed="false">
      <c r="A374" s="11" t="n">
        <v>372</v>
      </c>
      <c r="B374" s="141" t="s">
        <v>862</v>
      </c>
      <c r="C374" s="141" t="n">
        <v>1</v>
      </c>
      <c r="D374" s="141" t="s">
        <v>682</v>
      </c>
      <c r="E374" s="141" t="n">
        <v>-20</v>
      </c>
      <c r="F374" s="141" t="n">
        <v>-10</v>
      </c>
      <c r="G374" s="141" t="n">
        <v>42</v>
      </c>
      <c r="H374" s="141" t="n">
        <v>60</v>
      </c>
      <c r="I374" s="141" t="n">
        <v>0</v>
      </c>
      <c r="J374" s="141" t="n">
        <v>4</v>
      </c>
      <c r="K374" s="141" t="n">
        <v>0.197525122954108</v>
      </c>
      <c r="L374" s="141" t="n">
        <v>0.459724140652961</v>
      </c>
      <c r="M374" s="141" t="n">
        <v>0</v>
      </c>
      <c r="N374" s="141" t="n">
        <v>0.171556713069132</v>
      </c>
      <c r="O374" s="141" t="n">
        <v>0.0393931392534319</v>
      </c>
      <c r="P374" s="141" t="n">
        <v>0.0870843505229547</v>
      </c>
      <c r="Q374" s="141" t="n">
        <v>0</v>
      </c>
    </row>
    <row r="375" customFormat="false" ht="12.8" hidden="false" customHeight="false" outlineLevel="0" collapsed="false">
      <c r="A375" s="11" t="n">
        <v>373</v>
      </c>
      <c r="B375" s="141" t="s">
        <v>863</v>
      </c>
      <c r="C375" s="141" t="n">
        <v>1</v>
      </c>
      <c r="D375" s="141" t="s">
        <v>682</v>
      </c>
      <c r="E375" s="141" t="n">
        <v>-20</v>
      </c>
      <c r="F375" s="141" t="n">
        <v>-10</v>
      </c>
      <c r="G375" s="141" t="n">
        <v>42</v>
      </c>
      <c r="H375" s="141" t="n">
        <v>60</v>
      </c>
      <c r="I375" s="141" t="n">
        <v>0</v>
      </c>
      <c r="J375" s="141" t="n">
        <v>4</v>
      </c>
      <c r="K375" s="141" t="n">
        <v>0.0964113094888689</v>
      </c>
      <c r="L375" s="141" t="n">
        <v>0.472868859554138</v>
      </c>
      <c r="M375" s="141" t="n">
        <v>0</v>
      </c>
      <c r="N375" s="141" t="n">
        <v>0.0820468033720855</v>
      </c>
      <c r="O375" s="141" t="n">
        <v>0.0482023568670641</v>
      </c>
      <c r="P375" s="141" t="n">
        <v>0.109406175330613</v>
      </c>
      <c r="Q375" s="141" t="n">
        <v>0</v>
      </c>
    </row>
    <row r="376" customFormat="false" ht="12.8" hidden="false" customHeight="false" outlineLevel="0" collapsed="false">
      <c r="A376" s="11" t="n">
        <v>374</v>
      </c>
      <c r="B376" s="141" t="s">
        <v>864</v>
      </c>
      <c r="C376" s="141" t="n">
        <v>1</v>
      </c>
      <c r="D376" s="141" t="s">
        <v>682</v>
      </c>
      <c r="E376" s="141" t="n">
        <v>-20</v>
      </c>
      <c r="F376" s="141" t="n">
        <v>-10</v>
      </c>
      <c r="G376" s="141" t="n">
        <v>42</v>
      </c>
      <c r="H376" s="141" t="n">
        <v>60</v>
      </c>
      <c r="I376" s="141" t="n">
        <v>0</v>
      </c>
      <c r="J376" s="141" t="n">
        <v>4</v>
      </c>
      <c r="K376" s="141" t="n">
        <v>0.186945834036174</v>
      </c>
      <c r="L376" s="141" t="n">
        <v>0.495330193234542</v>
      </c>
      <c r="M376" s="141" t="n">
        <v>0</v>
      </c>
      <c r="N376" s="141" t="n">
        <v>0.162025526821221</v>
      </c>
      <c r="O376" s="141" t="n">
        <v>0.0642464852485133</v>
      </c>
      <c r="P376" s="141" t="n">
        <v>0.147549094865808</v>
      </c>
      <c r="Q376" s="141" t="n">
        <v>0</v>
      </c>
    </row>
    <row r="377" customFormat="false" ht="12.8" hidden="false" customHeight="false" outlineLevel="0" collapsed="false">
      <c r="A377" s="11" t="n">
        <v>375</v>
      </c>
      <c r="B377" s="141" t="s">
        <v>865</v>
      </c>
      <c r="C377" s="141" t="n">
        <v>1</v>
      </c>
      <c r="D377" s="141" t="s">
        <v>682</v>
      </c>
      <c r="E377" s="141" t="n">
        <v>-20</v>
      </c>
      <c r="F377" s="141" t="n">
        <v>-10</v>
      </c>
      <c r="G377" s="141" t="n">
        <v>42</v>
      </c>
      <c r="H377" s="141" t="n">
        <v>60</v>
      </c>
      <c r="I377" s="141" t="n">
        <v>0</v>
      </c>
      <c r="J377" s="141" t="n">
        <v>4</v>
      </c>
      <c r="K377" s="141" t="n">
        <v>0.157137863419797</v>
      </c>
      <c r="L377" s="141" t="n">
        <v>0.453738525026865</v>
      </c>
      <c r="M377" s="141" t="n">
        <v>0</v>
      </c>
      <c r="N377" s="141" t="n">
        <v>0.135379296448357</v>
      </c>
      <c r="O377" s="141" t="n">
        <v>0.0355386581291141</v>
      </c>
      <c r="P377" s="141" t="n">
        <v>0.0769198225192594</v>
      </c>
      <c r="Q377" s="141" t="n">
        <v>0</v>
      </c>
    </row>
    <row r="378" customFormat="false" ht="12.8" hidden="false" customHeight="false" outlineLevel="0" collapsed="false">
      <c r="A378" s="11" t="n">
        <v>376</v>
      </c>
      <c r="B378" s="141" t="s">
        <v>866</v>
      </c>
      <c r="C378" s="141" t="n">
        <v>1</v>
      </c>
      <c r="D378" s="141" t="s">
        <v>682</v>
      </c>
      <c r="E378" s="141" t="n">
        <v>-20</v>
      </c>
      <c r="F378" s="141" t="n">
        <v>-10</v>
      </c>
      <c r="G378" s="141" t="n">
        <v>42</v>
      </c>
      <c r="H378" s="141" t="n">
        <v>60</v>
      </c>
      <c r="I378" s="141" t="n">
        <v>0</v>
      </c>
      <c r="J378" s="141" t="n">
        <v>4</v>
      </c>
      <c r="K378" s="141" t="n">
        <v>0.171446318612509</v>
      </c>
      <c r="L378" s="141" t="n">
        <v>0.46794498791326</v>
      </c>
      <c r="M378" s="141" t="n">
        <v>0</v>
      </c>
      <c r="N378" s="141" t="n">
        <v>0.148131616119147</v>
      </c>
      <c r="O378" s="141" t="n">
        <v>0.0448490061546658</v>
      </c>
      <c r="P378" s="141" t="n">
        <v>0.101044657600992</v>
      </c>
      <c r="Q378" s="141" t="n">
        <v>0</v>
      </c>
    </row>
    <row r="379" customFormat="false" ht="12.8" hidden="false" customHeight="false" outlineLevel="0" collapsed="false">
      <c r="A379" s="11" t="n">
        <v>377</v>
      </c>
      <c r="B379" s="141" t="s">
        <v>867</v>
      </c>
      <c r="C379" s="141" t="n">
        <v>1</v>
      </c>
      <c r="D379" s="141" t="s">
        <v>682</v>
      </c>
      <c r="E379" s="141" t="n">
        <v>-20</v>
      </c>
      <c r="F379" s="141" t="n">
        <v>-10</v>
      </c>
      <c r="G379" s="141" t="n">
        <v>42</v>
      </c>
      <c r="H379" s="141" t="n">
        <v>60</v>
      </c>
      <c r="I379" s="141" t="n">
        <v>0</v>
      </c>
      <c r="J379" s="141" t="n">
        <v>4</v>
      </c>
      <c r="K379" s="141" t="n">
        <v>0.0831774714462319</v>
      </c>
      <c r="L379" s="141" t="n">
        <v>0.473774976531973</v>
      </c>
      <c r="M379" s="141" t="n">
        <v>0</v>
      </c>
      <c r="N379" s="141" t="n">
        <v>0.0705939390489388</v>
      </c>
      <c r="O379" s="141" t="n">
        <v>0.0488262030836916</v>
      </c>
      <c r="P379" s="141" t="n">
        <v>0.110944906176555</v>
      </c>
      <c r="Q379" s="141" t="n">
        <v>0</v>
      </c>
    </row>
    <row r="380" customFormat="false" ht="12.8" hidden="false" customHeight="false" outlineLevel="0" collapsed="false">
      <c r="A380" s="11" t="n">
        <v>378</v>
      </c>
      <c r="B380" s="141" t="s">
        <v>868</v>
      </c>
      <c r="C380" s="141" t="n">
        <v>1</v>
      </c>
      <c r="D380" s="141" t="s">
        <v>682</v>
      </c>
      <c r="E380" s="141" t="n">
        <v>-20</v>
      </c>
      <c r="F380" s="141" t="n">
        <v>-10</v>
      </c>
      <c r="G380" s="141" t="n">
        <v>42</v>
      </c>
      <c r="H380" s="141" t="n">
        <v>60</v>
      </c>
      <c r="I380" s="141" t="n">
        <v>0</v>
      </c>
      <c r="J380" s="141" t="n">
        <v>4</v>
      </c>
      <c r="K380" s="141" t="n">
        <v>0.104561558040308</v>
      </c>
      <c r="L380" s="141" t="n">
        <v>0.487998226284534</v>
      </c>
      <c r="M380" s="141" t="n">
        <v>0</v>
      </c>
      <c r="N380" s="141" t="n">
        <v>0.0891304174684836</v>
      </c>
      <c r="O380" s="141" t="n">
        <v>0.0588806671994495</v>
      </c>
      <c r="P380" s="141" t="n">
        <v>0.135098248028835</v>
      </c>
      <c r="Q380" s="141" t="n">
        <v>0</v>
      </c>
    </row>
    <row r="381" customFormat="false" ht="12.8" hidden="false" customHeight="false" outlineLevel="0" collapsed="false">
      <c r="A381" s="11" t="n">
        <v>379</v>
      </c>
      <c r="B381" s="141" t="s">
        <v>869</v>
      </c>
      <c r="C381" s="141" t="n">
        <v>1</v>
      </c>
      <c r="D381" s="141" t="s">
        <v>682</v>
      </c>
      <c r="E381" s="141" t="n">
        <v>-20</v>
      </c>
      <c r="F381" s="141" t="n">
        <v>-10</v>
      </c>
      <c r="G381" s="141" t="n">
        <v>42</v>
      </c>
      <c r="H381" s="141" t="n">
        <v>60</v>
      </c>
      <c r="I381" s="141" t="n">
        <v>0</v>
      </c>
      <c r="J381" s="141" t="n">
        <v>4</v>
      </c>
      <c r="K381" s="141" t="n">
        <v>0.0948030510818165</v>
      </c>
      <c r="L381" s="141" t="n">
        <v>0.497357124754455</v>
      </c>
      <c r="M381" s="141" t="n">
        <v>0</v>
      </c>
      <c r="N381" s="141" t="n">
        <v>0.0806517398026427</v>
      </c>
      <c r="O381" s="141" t="n">
        <v>0.0657507089947394</v>
      </c>
      <c r="P381" s="141" t="n">
        <v>0.15099114719304</v>
      </c>
      <c r="Q381" s="141" t="n">
        <v>0</v>
      </c>
    </row>
    <row r="382" customFormat="false" ht="12.8" hidden="false" customHeight="false" outlineLevel="0" collapsed="false">
      <c r="A382" s="11" t="n">
        <v>380</v>
      </c>
      <c r="B382" s="141" t="s">
        <v>870</v>
      </c>
      <c r="C382" s="141" t="n">
        <v>1</v>
      </c>
      <c r="D382" s="141" t="s">
        <v>682</v>
      </c>
      <c r="E382" s="141" t="n">
        <v>-20</v>
      </c>
      <c r="F382" s="141" t="n">
        <v>-10</v>
      </c>
      <c r="G382" s="141" t="n">
        <v>42</v>
      </c>
      <c r="H382" s="141" t="n">
        <v>60</v>
      </c>
      <c r="I382" s="141" t="n">
        <v>0</v>
      </c>
      <c r="J382" s="141" t="n">
        <v>4</v>
      </c>
      <c r="K382" s="141" t="n">
        <v>0.318670795642425</v>
      </c>
      <c r="L382" s="141" t="n">
        <v>0.566741667069979</v>
      </c>
      <c r="M382" s="141" t="n">
        <v>0</v>
      </c>
      <c r="N382" s="141" t="n">
        <v>0.283465846274473</v>
      </c>
      <c r="O382" s="141" t="n">
        <v>0.1220529863748</v>
      </c>
      <c r="P382" s="141" t="n">
        <v>0.268817143288556</v>
      </c>
      <c r="Q382" s="141" t="n">
        <v>0</v>
      </c>
    </row>
    <row r="383" customFormat="false" ht="12.8" hidden="false" customHeight="false" outlineLevel="0" collapsed="false">
      <c r="A383" s="11" t="n">
        <v>381</v>
      </c>
      <c r="B383" s="141" t="s">
        <v>871</v>
      </c>
      <c r="C383" s="141" t="n">
        <v>1</v>
      </c>
      <c r="D383" s="141" t="s">
        <v>682</v>
      </c>
      <c r="E383" s="141" t="n">
        <v>-20</v>
      </c>
      <c r="F383" s="141" t="n">
        <v>-10</v>
      </c>
      <c r="G383" s="141" t="n">
        <v>42</v>
      </c>
      <c r="H383" s="141" t="n">
        <v>60</v>
      </c>
      <c r="I383" s="141" t="n">
        <v>0</v>
      </c>
      <c r="J383" s="141" t="n">
        <v>4</v>
      </c>
      <c r="K383" s="141" t="n">
        <v>0.249054247804581</v>
      </c>
      <c r="L383" s="141" t="n">
        <v>0.548506535249637</v>
      </c>
      <c r="M383" s="141" t="n">
        <v>0</v>
      </c>
      <c r="N383" s="141" t="n">
        <v>0.218535414523331</v>
      </c>
      <c r="O383" s="141" t="n">
        <v>0.106403073035838</v>
      </c>
      <c r="P383" s="141" t="n">
        <v>0.237850987154035</v>
      </c>
      <c r="Q383" s="141" t="n">
        <v>0</v>
      </c>
    </row>
    <row r="384" customFormat="false" ht="12.8" hidden="false" customHeight="false" outlineLevel="0" collapsed="false">
      <c r="A384" s="11" t="n">
        <v>382</v>
      </c>
      <c r="B384" s="141" t="s">
        <v>872</v>
      </c>
      <c r="C384" s="141" t="n">
        <v>1</v>
      </c>
      <c r="D384" s="141" t="s">
        <v>682</v>
      </c>
      <c r="E384" s="141" t="n">
        <v>-20</v>
      </c>
      <c r="F384" s="141" t="n">
        <v>-10</v>
      </c>
      <c r="G384" s="141" t="n">
        <v>42</v>
      </c>
      <c r="H384" s="141" t="n">
        <v>60</v>
      </c>
      <c r="I384" s="141" t="n">
        <v>0</v>
      </c>
      <c r="J384" s="141" t="n">
        <v>4</v>
      </c>
      <c r="K384" s="141" t="n">
        <v>0.209473313844591</v>
      </c>
      <c r="L384" s="141" t="n">
        <v>0.489154304326051</v>
      </c>
      <c r="M384" s="141" t="n">
        <v>0</v>
      </c>
      <c r="N384" s="141" t="n">
        <v>0.182367828435161</v>
      </c>
      <c r="O384" s="141" t="n">
        <v>0.0597187508379665</v>
      </c>
      <c r="P384" s="141" t="n">
        <v>0.137061452544711</v>
      </c>
      <c r="Q384" s="141" t="n">
        <v>0</v>
      </c>
    </row>
    <row r="385" customFormat="false" ht="12.8" hidden="false" customHeight="false" outlineLevel="0" collapsed="false">
      <c r="A385" s="11" t="n">
        <v>383</v>
      </c>
      <c r="B385" s="141" t="s">
        <v>873</v>
      </c>
      <c r="C385" s="141" t="n">
        <v>1</v>
      </c>
      <c r="D385" s="141" t="s">
        <v>682</v>
      </c>
      <c r="E385" s="141" t="n">
        <v>-20</v>
      </c>
      <c r="F385" s="141" t="n">
        <v>-10</v>
      </c>
      <c r="G385" s="141" t="n">
        <v>42</v>
      </c>
      <c r="H385" s="141" t="n">
        <v>60</v>
      </c>
      <c r="I385" s="141" t="n">
        <v>0</v>
      </c>
      <c r="J385" s="141" t="n">
        <v>4</v>
      </c>
      <c r="K385" s="141" t="n">
        <v>0.224597793869502</v>
      </c>
      <c r="L385" s="141" t="n">
        <v>0.51932768474745</v>
      </c>
      <c r="M385" s="141" t="n">
        <v>0</v>
      </c>
      <c r="N385" s="141" t="n">
        <v>0.19612391391494</v>
      </c>
      <c r="O385" s="141" t="n">
        <v>0.0826006224549091</v>
      </c>
      <c r="P385" s="141" t="n">
        <v>0.188300654895475</v>
      </c>
      <c r="Q385" s="141" t="n">
        <v>0</v>
      </c>
    </row>
    <row r="386" customFormat="false" ht="12.8" hidden="false" customHeight="false" outlineLevel="0" collapsed="false">
      <c r="A386" s="11" t="n">
        <v>384</v>
      </c>
      <c r="B386" s="141" t="s">
        <v>874</v>
      </c>
      <c r="C386" s="141" t="n">
        <v>1</v>
      </c>
      <c r="D386" s="141" t="s">
        <v>682</v>
      </c>
      <c r="E386" s="141" t="n">
        <v>-20</v>
      </c>
      <c r="F386" s="141" t="n">
        <v>-10</v>
      </c>
      <c r="G386" s="141" t="n">
        <v>42</v>
      </c>
      <c r="H386" s="141" t="n">
        <v>60</v>
      </c>
      <c r="I386" s="141" t="n">
        <v>0</v>
      </c>
      <c r="J386" s="141" t="n">
        <v>4</v>
      </c>
      <c r="K386" s="141" t="n">
        <v>0.0773173739800657</v>
      </c>
      <c r="L386" s="141" t="n">
        <v>0.456121236433677</v>
      </c>
      <c r="M386" s="141" t="n">
        <v>0</v>
      </c>
      <c r="N386" s="141" t="n">
        <v>0.0655418684076816</v>
      </c>
      <c r="O386" s="141" t="n">
        <v>0.0370607543698518</v>
      </c>
      <c r="P386" s="141" t="n">
        <v>0.0809660457203741</v>
      </c>
      <c r="Q386" s="141" t="n">
        <v>0</v>
      </c>
    </row>
    <row r="387" customFormat="false" ht="12.8" hidden="false" customHeight="false" outlineLevel="0" collapsed="false">
      <c r="A387" s="11" t="n">
        <v>385</v>
      </c>
      <c r="B387" s="141" t="s">
        <v>875</v>
      </c>
      <c r="C387" s="141" t="n">
        <v>1</v>
      </c>
      <c r="D387" s="141" t="s">
        <v>682</v>
      </c>
      <c r="E387" s="141" t="n">
        <v>-20</v>
      </c>
      <c r="F387" s="141" t="n">
        <v>-10</v>
      </c>
      <c r="G387" s="141" t="n">
        <v>42</v>
      </c>
      <c r="H387" s="141" t="n">
        <v>60</v>
      </c>
      <c r="I387" s="141" t="n">
        <v>0</v>
      </c>
      <c r="J387" s="141" t="n">
        <v>4</v>
      </c>
      <c r="K387" s="141" t="n">
        <v>0.182495595177088</v>
      </c>
      <c r="L387" s="141" t="n">
        <v>0.477762849174522</v>
      </c>
      <c r="M387" s="141" t="n">
        <v>0</v>
      </c>
      <c r="N387" s="141" t="n">
        <v>0.158027769559736</v>
      </c>
      <c r="O387" s="141" t="n">
        <v>0.0515961201577255</v>
      </c>
      <c r="P387" s="141" t="n">
        <v>0.117716948633413</v>
      </c>
      <c r="Q387" s="141" t="n">
        <v>0</v>
      </c>
    </row>
    <row r="388" customFormat="false" ht="12.8" hidden="false" customHeight="false" outlineLevel="0" collapsed="false">
      <c r="A388" s="11" t="n">
        <v>386</v>
      </c>
      <c r="B388" s="141" t="s">
        <v>876</v>
      </c>
      <c r="C388" s="141" t="n">
        <v>1</v>
      </c>
      <c r="D388" s="141" t="s">
        <v>682</v>
      </c>
      <c r="E388" s="141" t="n">
        <v>-20</v>
      </c>
      <c r="F388" s="141" t="n">
        <v>-10</v>
      </c>
      <c r="G388" s="141" t="n">
        <v>42</v>
      </c>
      <c r="H388" s="141" t="n">
        <v>60</v>
      </c>
      <c r="I388" s="141" t="n">
        <v>0</v>
      </c>
      <c r="J388" s="141" t="n">
        <v>4</v>
      </c>
      <c r="K388" s="141" t="n">
        <v>0.0740368751975098</v>
      </c>
      <c r="L388" s="141" t="n">
        <v>0.451809842159766</v>
      </c>
      <c r="M388" s="141" t="n">
        <v>0</v>
      </c>
      <c r="N388" s="141" t="n">
        <v>0.0627189018027482</v>
      </c>
      <c r="O388" s="141" t="n">
        <v>0.0343187262736968</v>
      </c>
      <c r="P388" s="141" t="n">
        <v>0.0736446120417612</v>
      </c>
      <c r="Q388" s="141" t="n">
        <v>0</v>
      </c>
    </row>
    <row r="389" customFormat="false" ht="12.8" hidden="false" customHeight="false" outlineLevel="0" collapsed="false">
      <c r="A389" s="11" t="n">
        <v>387</v>
      </c>
      <c r="B389" s="141" t="s">
        <v>877</v>
      </c>
      <c r="C389" s="141" t="n">
        <v>1</v>
      </c>
      <c r="D389" s="141" t="s">
        <v>682</v>
      </c>
      <c r="E389" s="141" t="n">
        <v>-20</v>
      </c>
      <c r="F389" s="141" t="n">
        <v>-10</v>
      </c>
      <c r="G389" s="141" t="n">
        <v>42</v>
      </c>
      <c r="H389" s="141" t="n">
        <v>60</v>
      </c>
      <c r="I389" s="141" t="n">
        <v>0</v>
      </c>
      <c r="J389" s="141" t="n">
        <v>4</v>
      </c>
      <c r="K389" s="141" t="n">
        <v>0.0782232874236217</v>
      </c>
      <c r="L389" s="141" t="n">
        <v>0.475055663579111</v>
      </c>
      <c r="M389" s="141" t="n">
        <v>0</v>
      </c>
      <c r="N389" s="141" t="n">
        <v>0.0663220910686332</v>
      </c>
      <c r="O389" s="141" t="n">
        <v>0.0497114490152348</v>
      </c>
      <c r="P389" s="141" t="n">
        <v>0.113119716616746</v>
      </c>
      <c r="Q389" s="141" t="n">
        <v>0</v>
      </c>
    </row>
    <row r="390" customFormat="false" ht="12.8" hidden="false" customHeight="false" outlineLevel="0" collapsed="false">
      <c r="A390" s="11" t="n">
        <v>388</v>
      </c>
      <c r="B390" s="141" t="s">
        <v>878</v>
      </c>
      <c r="C390" s="141" t="n">
        <v>1</v>
      </c>
      <c r="D390" s="141" t="s">
        <v>682</v>
      </c>
      <c r="E390" s="141" t="n">
        <v>-20</v>
      </c>
      <c r="F390" s="141" t="n">
        <v>-10</v>
      </c>
      <c r="G390" s="141" t="n">
        <v>42</v>
      </c>
      <c r="H390" s="141" t="n">
        <v>60</v>
      </c>
      <c r="I390" s="141" t="n">
        <v>0</v>
      </c>
      <c r="J390" s="141" t="n">
        <v>4</v>
      </c>
      <c r="K390" s="141" t="n">
        <v>0.0678832890187622</v>
      </c>
      <c r="L390" s="141" t="n">
        <v>0.451365275076846</v>
      </c>
      <c r="M390" s="141" t="n">
        <v>0</v>
      </c>
      <c r="N390" s="141" t="n">
        <v>0.0574336188511766</v>
      </c>
      <c r="O390" s="141" t="n">
        <v>0.0340390860822138</v>
      </c>
      <c r="P390" s="141" t="n">
        <v>0.0728896663776661</v>
      </c>
      <c r="Q390" s="141" t="n">
        <v>0</v>
      </c>
    </row>
    <row r="391" customFormat="false" ht="12.8" hidden="false" customHeight="false" outlineLevel="0" collapsed="false">
      <c r="A391" s="11" t="n">
        <v>389</v>
      </c>
      <c r="B391" s="141" t="s">
        <v>879</v>
      </c>
      <c r="C391" s="141" t="n">
        <v>1</v>
      </c>
      <c r="D391" s="141" t="s">
        <v>682</v>
      </c>
      <c r="E391" s="141" t="n">
        <v>-20</v>
      </c>
      <c r="F391" s="141" t="n">
        <v>-10</v>
      </c>
      <c r="G391" s="141" t="n">
        <v>42</v>
      </c>
      <c r="H391" s="141" t="n">
        <v>60</v>
      </c>
      <c r="I391" s="141" t="n">
        <v>0</v>
      </c>
      <c r="J391" s="141" t="n">
        <v>4</v>
      </c>
      <c r="K391" s="141" t="n">
        <v>0.0962772642330281</v>
      </c>
      <c r="L391" s="141" t="n">
        <v>0.471984503906952</v>
      </c>
      <c r="M391" s="141" t="n">
        <v>0</v>
      </c>
      <c r="N391" s="141" t="n">
        <v>0.0819304932513157</v>
      </c>
      <c r="O391" s="141" t="n">
        <v>0.0475954947959751</v>
      </c>
      <c r="P391" s="141" t="n">
        <v>0.107904398687647</v>
      </c>
      <c r="Q391" s="141" t="n">
        <v>0</v>
      </c>
    </row>
    <row r="392" customFormat="false" ht="12.8" hidden="false" customHeight="false" outlineLevel="0" collapsed="false">
      <c r="A392" s="11" t="n">
        <v>390</v>
      </c>
      <c r="B392" s="141" t="s">
        <v>880</v>
      </c>
      <c r="C392" s="141" t="n">
        <v>1</v>
      </c>
      <c r="D392" s="141" t="s">
        <v>682</v>
      </c>
      <c r="E392" s="141" t="n">
        <v>-20</v>
      </c>
      <c r="F392" s="141" t="n">
        <v>-10</v>
      </c>
      <c r="G392" s="141" t="n">
        <v>42</v>
      </c>
      <c r="H392" s="141" t="n">
        <v>60</v>
      </c>
      <c r="I392" s="141" t="n">
        <v>0</v>
      </c>
      <c r="J392" s="141" t="n">
        <v>4</v>
      </c>
      <c r="K392" s="141" t="n">
        <v>0.0848034984458451</v>
      </c>
      <c r="L392" s="141" t="n">
        <v>0.450548903495638</v>
      </c>
      <c r="M392" s="141" t="n">
        <v>0</v>
      </c>
      <c r="N392" s="141" t="n">
        <v>0.0719978688126904</v>
      </c>
      <c r="O392" s="141" t="n">
        <v>0.0335271069672178</v>
      </c>
      <c r="P392" s="141" t="n">
        <v>0.0715033374990731</v>
      </c>
      <c r="Q392" s="141" t="n">
        <v>0</v>
      </c>
    </row>
    <row r="393" customFormat="false" ht="12.8" hidden="false" customHeight="false" outlineLevel="0" collapsed="false">
      <c r="A393" s="11" t="n">
        <v>391</v>
      </c>
      <c r="B393" s="141" t="s">
        <v>881</v>
      </c>
      <c r="C393" s="141" t="n">
        <v>1</v>
      </c>
      <c r="D393" s="141" t="s">
        <v>682</v>
      </c>
      <c r="E393" s="141" t="n">
        <v>-20</v>
      </c>
      <c r="F393" s="141" t="n">
        <v>-10</v>
      </c>
      <c r="G393" s="141" t="n">
        <v>42</v>
      </c>
      <c r="H393" s="141" t="n">
        <v>60</v>
      </c>
      <c r="I393" s="141" t="n">
        <v>0</v>
      </c>
      <c r="J393" s="141" t="n">
        <v>4</v>
      </c>
      <c r="K393" s="141" t="n">
        <v>0.127902715715064</v>
      </c>
      <c r="L393" s="141" t="n">
        <v>0.463877767596334</v>
      </c>
      <c r="M393" s="141" t="n">
        <v>0</v>
      </c>
      <c r="N393" s="141" t="n">
        <v>0.109544268563385</v>
      </c>
      <c r="O393" s="141" t="n">
        <v>0.0421269095465915</v>
      </c>
      <c r="P393" s="141" t="n">
        <v>0.0941378701640658</v>
      </c>
      <c r="Q393" s="141" t="n">
        <v>0</v>
      </c>
    </row>
    <row r="394" customFormat="false" ht="12.8" hidden="false" customHeight="false" outlineLevel="0" collapsed="false">
      <c r="A394" s="11" t="n">
        <v>392</v>
      </c>
      <c r="B394" s="141" t="s">
        <v>882</v>
      </c>
      <c r="C394" s="141" t="n">
        <v>1</v>
      </c>
      <c r="D394" s="141" t="s">
        <v>682</v>
      </c>
      <c r="E394" s="141" t="n">
        <v>-20</v>
      </c>
      <c r="F394" s="141" t="n">
        <v>-10</v>
      </c>
      <c r="G394" s="141" t="n">
        <v>42</v>
      </c>
      <c r="H394" s="141" t="n">
        <v>60</v>
      </c>
      <c r="I394" s="141" t="n">
        <v>0</v>
      </c>
      <c r="J394" s="141" t="n">
        <v>4</v>
      </c>
      <c r="K394" s="141" t="n">
        <v>0.0949189679123746</v>
      </c>
      <c r="L394" s="141" t="n">
        <v>0.493487996485052</v>
      </c>
      <c r="M394" s="141" t="n">
        <v>0</v>
      </c>
      <c r="N394" s="141" t="n">
        <v>0.0807522604236672</v>
      </c>
      <c r="O394" s="141" t="n">
        <v>0.0628870959210837</v>
      </c>
      <c r="P394" s="141" t="n">
        <v>0.144420751581139</v>
      </c>
      <c r="Q394" s="141" t="n">
        <v>0</v>
      </c>
    </row>
    <row r="395" customFormat="false" ht="12.8" hidden="false" customHeight="false" outlineLevel="0" collapsed="false">
      <c r="A395" s="11" t="n">
        <v>393</v>
      </c>
      <c r="B395" s="141" t="s">
        <v>883</v>
      </c>
      <c r="C395" s="141" t="n">
        <v>1</v>
      </c>
      <c r="D395" s="141" t="s">
        <v>682</v>
      </c>
      <c r="E395" s="141" t="n">
        <v>-20</v>
      </c>
      <c r="F395" s="141" t="n">
        <v>-10</v>
      </c>
      <c r="G395" s="141" t="n">
        <v>42</v>
      </c>
      <c r="H395" s="141" t="n">
        <v>60</v>
      </c>
      <c r="I395" s="141" t="n">
        <v>0</v>
      </c>
      <c r="J395" s="141" t="n">
        <v>4</v>
      </c>
      <c r="K395" s="141" t="n">
        <v>0.0620774036854485</v>
      </c>
      <c r="L395" s="141" t="n">
        <v>0.439075419237115</v>
      </c>
      <c r="M395" s="141" t="n">
        <v>0</v>
      </c>
      <c r="N395" s="141" t="n">
        <v>0.0524590074763446</v>
      </c>
      <c r="O395" s="141" t="n">
        <v>0.0265486603397665</v>
      </c>
      <c r="P395" s="141" t="n">
        <v>0.0520195351083473</v>
      </c>
      <c r="Q395" s="141" t="n">
        <v>0</v>
      </c>
    </row>
    <row r="396" customFormat="false" ht="12.8" hidden="false" customHeight="false" outlineLevel="0" collapsed="false">
      <c r="A396" s="11" t="n">
        <v>394</v>
      </c>
      <c r="B396" s="141" t="s">
        <v>884</v>
      </c>
      <c r="C396" s="141" t="n">
        <v>1</v>
      </c>
      <c r="D396" s="141" t="s">
        <v>682</v>
      </c>
      <c r="E396" s="141" t="n">
        <v>-20</v>
      </c>
      <c r="F396" s="141" t="n">
        <v>-10</v>
      </c>
      <c r="G396" s="141" t="n">
        <v>42</v>
      </c>
      <c r="H396" s="141" t="n">
        <v>60</v>
      </c>
      <c r="I396" s="141" t="n">
        <v>0</v>
      </c>
      <c r="J396" s="141" t="n">
        <v>4</v>
      </c>
      <c r="K396" s="141" t="n">
        <v>0.0742206802123755</v>
      </c>
      <c r="L396" s="141" t="n">
        <v>0.473843408246246</v>
      </c>
      <c r="M396" s="141" t="n">
        <v>0</v>
      </c>
      <c r="N396" s="141" t="n">
        <v>0.0628769728352118</v>
      </c>
      <c r="O396" s="141" t="n">
        <v>0.0488734010969288</v>
      </c>
      <c r="P396" s="141" t="n">
        <v>0.111061114118982</v>
      </c>
      <c r="Q396" s="141" t="n">
        <v>0</v>
      </c>
    </row>
    <row r="397" customFormat="false" ht="12.8" hidden="false" customHeight="false" outlineLevel="0" collapsed="false">
      <c r="A397" s="11" t="n">
        <v>395</v>
      </c>
      <c r="B397" s="141" t="s">
        <v>885</v>
      </c>
      <c r="C397" s="141" t="n">
        <v>1</v>
      </c>
      <c r="D397" s="141" t="s">
        <v>682</v>
      </c>
      <c r="E397" s="141" t="n">
        <v>-20</v>
      </c>
      <c r="F397" s="141" t="n">
        <v>-10</v>
      </c>
      <c r="G397" s="141" t="n">
        <v>42</v>
      </c>
      <c r="H397" s="141" t="n">
        <v>60</v>
      </c>
      <c r="I397" s="141" t="n">
        <v>0</v>
      </c>
      <c r="J397" s="141" t="n">
        <v>4</v>
      </c>
      <c r="K397" s="141" t="n">
        <v>0.0651349756800579</v>
      </c>
      <c r="L397" s="141" t="n">
        <v>0.454965546629183</v>
      </c>
      <c r="M397" s="141" t="n">
        <v>0</v>
      </c>
      <c r="N397" s="141" t="n">
        <v>0.0550773467342229</v>
      </c>
      <c r="O397" s="141" t="n">
        <v>0.0363204385994649</v>
      </c>
      <c r="P397" s="141" t="n">
        <v>0.0790035004927537</v>
      </c>
      <c r="Q397" s="141" t="n">
        <v>0</v>
      </c>
    </row>
    <row r="398" customFormat="false" ht="12.8" hidden="false" customHeight="false" outlineLevel="0" collapsed="false">
      <c r="A398" s="11" t="n">
        <v>396</v>
      </c>
      <c r="B398" s="141" t="s">
        <v>886</v>
      </c>
      <c r="C398" s="141" t="n">
        <v>1</v>
      </c>
      <c r="D398" s="141" t="s">
        <v>682</v>
      </c>
      <c r="E398" s="141" t="n">
        <v>-20</v>
      </c>
      <c r="F398" s="141" t="n">
        <v>-10</v>
      </c>
      <c r="G398" s="141" t="n">
        <v>42</v>
      </c>
      <c r="H398" s="141" t="n">
        <v>60</v>
      </c>
      <c r="I398" s="141" t="n">
        <v>0</v>
      </c>
      <c r="J398" s="141" t="n">
        <v>4</v>
      </c>
      <c r="K398" s="141" t="n">
        <v>0.0835856085253068</v>
      </c>
      <c r="L398" s="141" t="n">
        <v>0.468367819815223</v>
      </c>
      <c r="M398" s="141" t="n">
        <v>0</v>
      </c>
      <c r="N398" s="141" t="n">
        <v>0.0709462429926397</v>
      </c>
      <c r="O398" s="141" t="n">
        <v>0.0451345091093175</v>
      </c>
      <c r="P398" s="141" t="n">
        <v>0.101762693468451</v>
      </c>
      <c r="Q398" s="141" t="n">
        <v>0</v>
      </c>
    </row>
    <row r="399" customFormat="false" ht="12.8" hidden="false" customHeight="false" outlineLevel="0" collapsed="false">
      <c r="A399" s="11" t="n">
        <v>397</v>
      </c>
      <c r="B399" s="141" t="s">
        <v>887</v>
      </c>
      <c r="C399" s="141" t="n">
        <v>1</v>
      </c>
      <c r="D399" s="141" t="s">
        <v>682</v>
      </c>
      <c r="E399" s="141" t="n">
        <v>-20</v>
      </c>
      <c r="F399" s="141" t="n">
        <v>-10</v>
      </c>
      <c r="G399" s="141" t="n">
        <v>42</v>
      </c>
      <c r="H399" s="141" t="n">
        <v>60</v>
      </c>
      <c r="I399" s="141" t="n">
        <v>0</v>
      </c>
      <c r="J399" s="141" t="n">
        <v>4</v>
      </c>
      <c r="K399" s="141" t="n">
        <v>0.107897216571461</v>
      </c>
      <c r="L399" s="141" t="n">
        <v>0.502919290659821</v>
      </c>
      <c r="M399" s="141" t="n">
        <v>0</v>
      </c>
      <c r="N399" s="141" t="n">
        <v>0.0920361733448625</v>
      </c>
      <c r="O399" s="141" t="n">
        <v>0.0699234712146857</v>
      </c>
      <c r="P399" s="141" t="n">
        <v>0.160436590174678</v>
      </c>
      <c r="Q399" s="141" t="n">
        <v>0</v>
      </c>
    </row>
    <row r="400" customFormat="false" ht="12.8" hidden="false" customHeight="false" outlineLevel="0" collapsed="false">
      <c r="A400" s="11" t="n">
        <v>398</v>
      </c>
      <c r="B400" s="141" t="s">
        <v>888</v>
      </c>
      <c r="C400" s="141" t="n">
        <v>1</v>
      </c>
      <c r="D400" s="141" t="s">
        <v>682</v>
      </c>
      <c r="E400" s="141" t="n">
        <v>-20</v>
      </c>
      <c r="F400" s="141" t="n">
        <v>-10</v>
      </c>
      <c r="G400" s="141" t="n">
        <v>42</v>
      </c>
      <c r="H400" s="141" t="n">
        <v>60</v>
      </c>
      <c r="I400" s="141" t="n">
        <v>0</v>
      </c>
      <c r="J400" s="141" t="n">
        <v>4</v>
      </c>
      <c r="K400" s="141" t="n">
        <v>0.108368629325741</v>
      </c>
      <c r="L400" s="141" t="n">
        <v>0.441797542019142</v>
      </c>
      <c r="M400" s="141" t="n">
        <v>0</v>
      </c>
      <c r="N400" s="141" t="n">
        <v>0.0924471410236075</v>
      </c>
      <c r="O400" s="141" t="n">
        <v>0.028166728625833</v>
      </c>
      <c r="P400" s="141" t="n">
        <v>0.0566421328452906</v>
      </c>
      <c r="Q400" s="141" t="n">
        <v>0</v>
      </c>
    </row>
    <row r="401" customFormat="false" ht="12.8" hidden="false" customHeight="false" outlineLevel="0" collapsed="false">
      <c r="A401" s="11" t="n">
        <v>399</v>
      </c>
      <c r="B401" s="141" t="s">
        <v>889</v>
      </c>
      <c r="C401" s="141" t="n">
        <v>1</v>
      </c>
      <c r="D401" s="141" t="s">
        <v>682</v>
      </c>
      <c r="E401" s="141" t="n">
        <v>-20</v>
      </c>
      <c r="F401" s="141" t="n">
        <v>-10</v>
      </c>
      <c r="G401" s="141" t="n">
        <v>42</v>
      </c>
      <c r="H401" s="141" t="n">
        <v>60</v>
      </c>
      <c r="I401" s="141" t="n">
        <v>0</v>
      </c>
      <c r="J401" s="141" t="n">
        <v>4</v>
      </c>
      <c r="K401" s="141" t="n">
        <v>0.0906348320944582</v>
      </c>
      <c r="L401" s="141" t="n">
        <v>0.467625148989579</v>
      </c>
      <c r="M401" s="141" t="n">
        <v>0</v>
      </c>
      <c r="N401" s="141" t="n">
        <v>0.0770402432107039</v>
      </c>
      <c r="O401" s="141" t="n">
        <v>0.044633357016664</v>
      </c>
      <c r="P401" s="141" t="n">
        <v>0.100501520203018</v>
      </c>
      <c r="Q401" s="141" t="n">
        <v>0</v>
      </c>
    </row>
    <row r="402" customFormat="false" ht="12.8" hidden="false" customHeight="false" outlineLevel="0" collapsed="false">
      <c r="A402" s="11" t="n">
        <v>400</v>
      </c>
      <c r="B402" s="141" t="s">
        <v>890</v>
      </c>
      <c r="C402" s="141" t="n">
        <v>1</v>
      </c>
      <c r="D402" s="141" t="s">
        <v>682</v>
      </c>
      <c r="E402" s="141" t="n">
        <v>-20</v>
      </c>
      <c r="F402" s="141" t="n">
        <v>-10</v>
      </c>
      <c r="G402" s="141" t="n">
        <v>42</v>
      </c>
      <c r="H402" s="141" t="n">
        <v>60</v>
      </c>
      <c r="I402" s="141" t="n">
        <v>0</v>
      </c>
      <c r="J402" s="141" t="n">
        <v>4</v>
      </c>
      <c r="K402" s="141" t="n">
        <v>0.0488177442855207</v>
      </c>
      <c r="L402" s="141" t="n">
        <v>0.435064680801921</v>
      </c>
      <c r="M402" s="141" t="n">
        <v>0</v>
      </c>
      <c r="N402" s="141" t="n">
        <v>0.04114164779224</v>
      </c>
      <c r="O402" s="141" t="n">
        <v>0.0242089935379669</v>
      </c>
      <c r="P402" s="141" t="n">
        <v>0.0452086628962591</v>
      </c>
      <c r="Q402" s="141" t="n">
        <v>0</v>
      </c>
    </row>
    <row r="403" customFormat="false" ht="12.8" hidden="false" customHeight="false" outlineLevel="0" collapsed="false">
      <c r="A403" s="11" t="n">
        <v>401</v>
      </c>
      <c r="B403" s="141" t="s">
        <v>891</v>
      </c>
      <c r="C403" s="141" t="n">
        <v>1</v>
      </c>
      <c r="D403" s="141" t="s">
        <v>682</v>
      </c>
      <c r="E403" s="141" t="n">
        <v>-20</v>
      </c>
      <c r="F403" s="141" t="n">
        <v>-10</v>
      </c>
      <c r="G403" s="141" t="n">
        <v>42</v>
      </c>
      <c r="H403" s="141" t="n">
        <v>60</v>
      </c>
      <c r="I403" s="141" t="n">
        <v>0</v>
      </c>
      <c r="J403" s="141" t="n">
        <v>4</v>
      </c>
      <c r="K403" s="141" t="n">
        <v>0.136182380819593</v>
      </c>
      <c r="L403" s="141" t="n">
        <v>0.46158765056711</v>
      </c>
      <c r="M403" s="141" t="n">
        <v>0</v>
      </c>
      <c r="N403" s="141" t="n">
        <v>0.116830919876345</v>
      </c>
      <c r="O403" s="141" t="n">
        <v>0.0406137743078908</v>
      </c>
      <c r="P403" s="141" t="n">
        <v>0.0902488869534163</v>
      </c>
      <c r="Q403" s="14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15"/>
  <sheetViews>
    <sheetView showFormulas="false" showGridLines="true" showRowColHeaders="true" showZeros="true" rightToLeft="false" tabSelected="false" showOutlineSymbols="true" defaultGridColor="true" view="normal" topLeftCell="G2" colorId="64" zoomScale="55" zoomScaleNormal="55" zoomScalePageLayoutView="100" workbookViewId="0">
      <selection pane="topLeft" activeCell="O22" activeCellId="0" sqref="O22"/>
    </sheetView>
  </sheetViews>
  <sheetFormatPr defaultColWidth="11.60546875" defaultRowHeight="12.8" zeroHeight="false" outlineLevelRow="0" outlineLevelCol="0"/>
  <sheetData>
    <row r="1" customFormat="false" ht="15" hidden="false" customHeight="false" outlineLevel="0" collapsed="false">
      <c r="A1" s="1" t="s">
        <v>892</v>
      </c>
      <c r="B1" s="1" t="s">
        <v>893</v>
      </c>
      <c r="C1" s="143" t="s">
        <v>894</v>
      </c>
      <c r="D1" s="143" t="s">
        <v>895</v>
      </c>
      <c r="E1" s="143" t="s">
        <v>896</v>
      </c>
      <c r="F1" s="143" t="s">
        <v>897</v>
      </c>
      <c r="G1" s="143" t="s">
        <v>898</v>
      </c>
      <c r="H1" s="143" t="s">
        <v>899</v>
      </c>
      <c r="I1" s="143" t="s">
        <v>900</v>
      </c>
      <c r="J1" s="143" t="s">
        <v>901</v>
      </c>
      <c r="K1" s="143" t="s">
        <v>902</v>
      </c>
      <c r="L1" s="143" t="s">
        <v>903</v>
      </c>
      <c r="M1" s="143" t="s">
        <v>904</v>
      </c>
      <c r="N1" s="143" t="s">
        <v>905</v>
      </c>
      <c r="O1" s="143"/>
      <c r="P1" s="144" t="s">
        <v>906</v>
      </c>
      <c r="Q1" s="143"/>
      <c r="R1" s="143" t="s">
        <v>896</v>
      </c>
      <c r="S1" s="143" t="s">
        <v>897</v>
      </c>
      <c r="T1" s="143" t="s">
        <v>898</v>
      </c>
      <c r="U1" s="143" t="s">
        <v>899</v>
      </c>
      <c r="V1" s="143" t="s">
        <v>900</v>
      </c>
      <c r="W1" s="143" t="s">
        <v>907</v>
      </c>
      <c r="X1" s="143" t="s">
        <v>901</v>
      </c>
      <c r="Y1" s="143" t="s">
        <v>902</v>
      </c>
      <c r="Z1" s="143" t="s">
        <v>903</v>
      </c>
      <c r="AA1" s="143" t="s">
        <v>904</v>
      </c>
      <c r="AB1" s="143" t="s">
        <v>908</v>
      </c>
      <c r="AD1" s="145" t="s">
        <v>909</v>
      </c>
      <c r="AE1" s="145" t="s">
        <v>910</v>
      </c>
      <c r="AF1" s="145" t="s">
        <v>911</v>
      </c>
      <c r="AG1" s="145" t="s">
        <v>912</v>
      </c>
      <c r="AH1" s="145" t="s">
        <v>913</v>
      </c>
      <c r="AI1" s="145" t="s">
        <v>914</v>
      </c>
      <c r="AJ1" s="145" t="s">
        <v>915</v>
      </c>
      <c r="AK1" s="145" t="s">
        <v>916</v>
      </c>
      <c r="AL1" s="145" t="s">
        <v>917</v>
      </c>
      <c r="AM1" s="145" t="s">
        <v>918</v>
      </c>
      <c r="AO1" s="146" t="s">
        <v>919</v>
      </c>
      <c r="AP1" s="146" t="s">
        <v>920</v>
      </c>
      <c r="AQ1" s="147" t="s">
        <v>921</v>
      </c>
      <c r="AR1" s="147" t="s">
        <v>922</v>
      </c>
      <c r="AT1" s="148" t="s">
        <v>923</v>
      </c>
      <c r="AU1" s="146" t="s">
        <v>924</v>
      </c>
      <c r="AV1" s="146" t="s">
        <v>925</v>
      </c>
      <c r="AW1" s="146"/>
      <c r="AX1" s="147" t="s">
        <v>926</v>
      </c>
      <c r="AY1" s="149" t="s">
        <v>13</v>
      </c>
      <c r="AZ1" s="1" t="s">
        <v>927</v>
      </c>
      <c r="BA1" s="147"/>
    </row>
    <row r="2" customFormat="false" ht="15" hidden="false" customHeight="false" outlineLevel="0" collapsed="false">
      <c r="A2" s="150" t="s">
        <v>928</v>
      </c>
      <c r="B2" s="1" t="n">
        <v>1058</v>
      </c>
      <c r="C2" s="151" t="n">
        <f aca="false">B2+273</f>
        <v>1331</v>
      </c>
      <c r="D2" s="147" t="n">
        <f aca="false">1/C2</f>
        <v>0.000751314800901578</v>
      </c>
      <c r="E2" s="152" t="n">
        <v>51.1889582257819</v>
      </c>
      <c r="F2" s="152" t="n">
        <v>16.8199754994449</v>
      </c>
      <c r="G2" s="152" t="n">
        <v>3.22872636448312</v>
      </c>
      <c r="H2" s="152" t="n">
        <v>6.7815232916189</v>
      </c>
      <c r="I2" s="152" t="n">
        <v>9.85507445492476</v>
      </c>
      <c r="J2" s="152" t="n">
        <v>2.71920779154541</v>
      </c>
      <c r="K2" s="152" t="n">
        <v>2.97582560452927</v>
      </c>
      <c r="L2" s="152" t="n">
        <v>4.96213405142407</v>
      </c>
      <c r="M2" s="152" t="n">
        <v>0.231257160032213</v>
      </c>
      <c r="N2" s="153" t="n">
        <f aca="false">SUM(E2:M2)</f>
        <v>98.7626824437845</v>
      </c>
      <c r="O2" s="154"/>
      <c r="P2" s="152" t="n">
        <v>0.22</v>
      </c>
      <c r="Q2" s="154"/>
      <c r="R2" s="155" t="n">
        <f aca="false">E2/((28.0855/2)+16)</f>
        <v>1.70387059193256</v>
      </c>
      <c r="S2" s="155" t="n">
        <f aca="false">F2/((26.981539*0.67)+16)</f>
        <v>0.493578190199892</v>
      </c>
      <c r="T2" s="155" t="n">
        <f aca="false">G2/40.32</f>
        <v>0.0800775388016647</v>
      </c>
      <c r="U2" s="155" t="n">
        <f aca="false">H2/56.06</f>
        <v>0.120969020542613</v>
      </c>
      <c r="V2" s="155" t="n">
        <f aca="false">(I2/71.85)*(1-P2)</f>
        <v>0.106986194500227</v>
      </c>
      <c r="W2" s="155" t="n">
        <f aca="false">(I2/71.85)*P2/0.667</f>
        <v>0.0452407695960673</v>
      </c>
      <c r="X2" s="155" t="n">
        <f aca="false">J2/((47.867/2)+16)</f>
        <v>0.0680934000662454</v>
      </c>
      <c r="Y2" s="155" t="n">
        <f aca="false">K2/94.2</f>
        <v>0.0315905053559371</v>
      </c>
      <c r="Z2" s="155" t="n">
        <f aca="false">L2/61.88</f>
        <v>0.0801896259118305</v>
      </c>
      <c r="AA2" s="155" t="n">
        <f aca="false">M2/70.94</f>
        <v>0.00325989794237684</v>
      </c>
      <c r="AB2" s="155" t="n">
        <f aca="false">SUM(R2:AA2)</f>
        <v>2.73385573484941</v>
      </c>
      <c r="AD2" s="156" t="n">
        <f aca="false">R2/$AB$2</f>
        <v>0.623248172978818</v>
      </c>
      <c r="AE2" s="156" t="n">
        <f aca="false">S2/$AB$2</f>
        <v>0.18054288085069</v>
      </c>
      <c r="AF2" s="156" t="n">
        <f aca="false">T2/$AB$2</f>
        <v>0.029291062355957</v>
      </c>
      <c r="AG2" s="156" t="n">
        <f aca="false">U2/$AB$2</f>
        <v>0.0442485018505472</v>
      </c>
      <c r="AH2" s="156" t="n">
        <f aca="false">V2/$AB$2</f>
        <v>0.0391338113187308</v>
      </c>
      <c r="AI2" s="156" t="n">
        <f aca="false">W2/$AB$2</f>
        <v>0.0165483383118456</v>
      </c>
      <c r="AJ2" s="156" t="n">
        <f aca="false">X2/$AB$2</f>
        <v>0.0249074591604213</v>
      </c>
      <c r="AK2" s="156" t="n">
        <f aca="false">Y2/$AB$2</f>
        <v>0.0115552934828425</v>
      </c>
      <c r="AL2" s="156" t="n">
        <f aca="false">Z2/$AB$2</f>
        <v>0.0293320619993313</v>
      </c>
      <c r="AM2" s="156" t="n">
        <f aca="false">AA2/$AB$2</f>
        <v>0.00119241769081733</v>
      </c>
      <c r="AO2" s="157" t="n">
        <f aca="false">0.225+(-1109*$AD2+25237*$AH2+12705*$AM2+5214*$AG2+19829*$AK2-8879.108)/$C2</f>
        <v>-5.86641920187891</v>
      </c>
      <c r="AP2" s="155" t="n">
        <f aca="false">(-12.948+(15602*$AG2+28649*$AL2+9496*$AF2+4194*$AE2+16016*$AM2+29244.229)/C2)</f>
        <v>10.9658774622443</v>
      </c>
      <c r="AQ2" s="147" t="n">
        <f aca="false">10^AO2</f>
        <v>1.36013118474023E-006</v>
      </c>
      <c r="AR2" s="147" t="n">
        <f aca="false">10^AP2</f>
        <v>92443730381.5115</v>
      </c>
      <c r="AT2" s="148" t="n">
        <v>-9.775</v>
      </c>
      <c r="AU2" s="147" t="n">
        <f aca="false">10^AT2</f>
        <v>1.67880401812256E-010</v>
      </c>
      <c r="AV2" s="147" t="n">
        <f aca="false">55912/C2-25.07+0.6465*LN(C2)</f>
        <v>21.5882310296015</v>
      </c>
      <c r="AW2" s="147"/>
      <c r="AX2" s="147" t="n">
        <f aca="false">(AR2/AQ2)*AV2*AU2*AU2</f>
        <v>0.0413536379511573</v>
      </c>
      <c r="AY2" s="158" t="n">
        <f aca="false">AX2/(AX2+1)</f>
        <v>0.0397114260171211</v>
      </c>
      <c r="AZ2" s="152" t="n">
        <v>0.04</v>
      </c>
      <c r="BA2" s="147" t="n">
        <f aca="false">(AZ2-AY2)^2</f>
        <v>8.32749435945777E-008</v>
      </c>
    </row>
    <row r="3" customFormat="false" ht="15" hidden="false" customHeight="false" outlineLevel="0" collapsed="false">
      <c r="A3" s="150" t="s">
        <v>929</v>
      </c>
      <c r="B3" s="1" t="n">
        <v>1133</v>
      </c>
      <c r="C3" s="146" t="n">
        <f aca="false">B3+273</f>
        <v>1406</v>
      </c>
      <c r="D3" s="146" t="n">
        <f aca="false">1/C3</f>
        <v>0.000711237553342817</v>
      </c>
      <c r="E3" s="152" t="n">
        <v>50.4803475553549</v>
      </c>
      <c r="F3" s="152" t="n">
        <v>16.4196702554185</v>
      </c>
      <c r="G3" s="152" t="n">
        <v>3.33273619119146</v>
      </c>
      <c r="H3" s="152" t="n">
        <v>6.86969085527003</v>
      </c>
      <c r="I3" s="152" t="n">
        <v>10.4305105068557</v>
      </c>
      <c r="J3" s="152" t="n">
        <v>2.721188124509</v>
      </c>
      <c r="K3" s="152" t="n">
        <v>2.94006090021921</v>
      </c>
      <c r="L3" s="152" t="n">
        <v>5.04261183556423</v>
      </c>
      <c r="M3" s="152" t="n">
        <v>0.22326078729</v>
      </c>
      <c r="N3" s="153" t="n">
        <f aca="false">SUM(E3:M3)</f>
        <v>98.460077011673</v>
      </c>
      <c r="P3" s="152" t="n">
        <v>0.21</v>
      </c>
      <c r="R3" s="155" t="n">
        <f aca="false">E3/((28.0855/2)+16)</f>
        <v>1.68028384736267</v>
      </c>
      <c r="S3" s="155" t="n">
        <f aca="false">F3/((26.981539*0.67)+16)</f>
        <v>0.481831327793309</v>
      </c>
      <c r="T3" s="155" t="n">
        <f aca="false">G3/40.32</f>
        <v>0.0826571475989946</v>
      </c>
      <c r="U3" s="155" t="n">
        <f aca="false">H3/56.06</f>
        <v>0.122541756248128</v>
      </c>
      <c r="V3" s="155" t="n">
        <f aca="false">(I3/71.85)*(1-P3)</f>
        <v>0.114684805851301</v>
      </c>
      <c r="W3" s="155" t="n">
        <f aca="false">(I3/71.85)*P3/0.667</f>
        <v>0.045705898750827</v>
      </c>
      <c r="X3" s="155" t="n">
        <f aca="false">J3/((47.867/2)+16)</f>
        <v>0.0681429908349882</v>
      </c>
      <c r="Y3" s="155" t="n">
        <f aca="false">K3/94.2</f>
        <v>0.0312108375819449</v>
      </c>
      <c r="Z3" s="155" t="n">
        <f aca="false">L3/61.88</f>
        <v>0.0814901718740179</v>
      </c>
      <c r="AA3" s="155" t="n">
        <f aca="false">M3/70.94</f>
        <v>0.00314717771764872</v>
      </c>
      <c r="AB3" s="155" t="n">
        <f aca="false">SUM(R3:AA3)</f>
        <v>2.71169596161383</v>
      </c>
      <c r="AD3" s="156" t="n">
        <f aca="false">R3/$AB$2</f>
        <v>0.614620525122634</v>
      </c>
      <c r="AE3" s="156" t="n">
        <f aca="false">S3/$AB$2</f>
        <v>0.176246069480272</v>
      </c>
      <c r="AF3" s="156" t="n">
        <f aca="false">T3/$AB$2</f>
        <v>0.0302346413328747</v>
      </c>
      <c r="AG3" s="156" t="n">
        <f aca="false">U3/$AB$2</f>
        <v>0.0448237830131433</v>
      </c>
      <c r="AH3" s="156" t="n">
        <f aca="false">V3/$AB$2</f>
        <v>0.0419498382410506</v>
      </c>
      <c r="AI3" s="156" t="n">
        <f aca="false">W3/$AB$2</f>
        <v>0.0167184749978567</v>
      </c>
      <c r="AJ3" s="156" t="n">
        <f aca="false">X3/$AB$2</f>
        <v>0.0249255986577293</v>
      </c>
      <c r="AK3" s="156" t="n">
        <f aca="false">Y3/$AB$2</f>
        <v>0.0114164171810858</v>
      </c>
      <c r="AL3" s="156" t="n">
        <f aca="false">Z3/$AB$2</f>
        <v>0.0298077805771659</v>
      </c>
      <c r="AM3" s="156" t="n">
        <f aca="false">AA3/$AB$2</f>
        <v>0.00115118646442478</v>
      </c>
      <c r="AO3" s="157" t="n">
        <f aca="false">0.225+(-1109*$AD3+25237*$AH3+12705*$AM3+5214*$AG3+19829*$AK3-8879.108)/$C3</f>
        <v>-5.48433209795648</v>
      </c>
      <c r="AP3" s="155" t="n">
        <f aca="false">(-12.948+(15602*$AG3+28649*$AL3+9496*$AF3+4194*$AE3+16016*$AM3+29244.229)/C3)</f>
        <v>9.69940706987038</v>
      </c>
      <c r="AQ3" s="147" t="n">
        <f aca="false">10^AO3</f>
        <v>3.27844499857296E-006</v>
      </c>
      <c r="AR3" s="147" t="n">
        <f aca="false">10^AP3</f>
        <v>5005034435.77469</v>
      </c>
      <c r="AT3" s="148" t="n">
        <v>-8.99</v>
      </c>
      <c r="AU3" s="147" t="n">
        <f aca="false">10^AT3</f>
        <v>1.02329299228075E-009</v>
      </c>
      <c r="AV3" s="147" t="n">
        <f aca="false">55912/C3-25.07+0.6465*LN(C3)</f>
        <v>19.3828719652912</v>
      </c>
      <c r="AW3" s="147"/>
      <c r="AX3" s="147" t="n">
        <f aca="false">(AR3/AQ3)*AV3*AU3*AU3</f>
        <v>0.0309854134043114</v>
      </c>
      <c r="AY3" s="158" t="n">
        <f aca="false">AX3/(AX3+1)</f>
        <v>0.0300541724465312</v>
      </c>
      <c r="AZ3" s="152" t="n">
        <v>0.03</v>
      </c>
      <c r="BA3" s="147" t="n">
        <f aca="false">(AZ3-AY3)^2</f>
        <v>2.93465396317487E-009</v>
      </c>
    </row>
    <row r="4" customFormat="false" ht="15" hidden="false" customHeight="false" outlineLevel="0" collapsed="false">
      <c r="A4" s="1" t="s">
        <v>250</v>
      </c>
      <c r="B4" s="1" t="n">
        <v>1106</v>
      </c>
      <c r="C4" s="146" t="n">
        <f aca="false">B4+273</f>
        <v>1379</v>
      </c>
      <c r="D4" s="146" t="n">
        <f aca="false">1/C4</f>
        <v>0.000725163161711385</v>
      </c>
      <c r="E4" s="152" t="n">
        <v>44.7185194136532</v>
      </c>
      <c r="F4" s="152" t="n">
        <v>14.0872647132555</v>
      </c>
      <c r="G4" s="152" t="n">
        <v>4.70741171815673</v>
      </c>
      <c r="H4" s="152" t="n">
        <v>10.1688865196437</v>
      </c>
      <c r="I4" s="152" t="n">
        <v>12.8835407038012</v>
      </c>
      <c r="J4" s="152" t="n">
        <v>3.86486306284188</v>
      </c>
      <c r="K4" s="152" t="n">
        <v>2.70665638849022</v>
      </c>
      <c r="L4" s="152" t="n">
        <v>4.68235089627488</v>
      </c>
      <c r="M4" s="152" t="n">
        <v>0.231282867933053</v>
      </c>
      <c r="N4" s="153" t="n">
        <f aca="false">SUM(E4:M4)</f>
        <v>98.0507762840504</v>
      </c>
      <c r="P4" s="152" t="n">
        <v>0.24</v>
      </c>
      <c r="R4" s="155" t="n">
        <f aca="false">E4/((28.0855/2)+16)</f>
        <v>1.4884962066939</v>
      </c>
      <c r="S4" s="155" t="n">
        <f aca="false">F4/((26.981539*0.67)+16)</f>
        <v>0.41338744056226</v>
      </c>
      <c r="T4" s="155" t="n">
        <f aca="false">G4/40.32</f>
        <v>0.116751282692379</v>
      </c>
      <c r="U4" s="155" t="n">
        <f aca="false">H4/56.06</f>
        <v>0.181392909733209</v>
      </c>
      <c r="V4" s="155" t="n">
        <f aca="false">(I4/71.85)*(1-P4)</f>
        <v>0.136276839734014</v>
      </c>
      <c r="W4" s="155" t="n">
        <f aca="false">(I4/71.85)*P4/0.667</f>
        <v>0.0645199272787883</v>
      </c>
      <c r="X4" s="155" t="n">
        <f aca="false">J4/((47.867/2)+16)</f>
        <v>0.0967824774397907</v>
      </c>
      <c r="Y4" s="155" t="n">
        <f aca="false">K4/94.2</f>
        <v>0.0287330826803633</v>
      </c>
      <c r="Z4" s="155" t="n">
        <f aca="false">L4/61.88</f>
        <v>0.0756682433140737</v>
      </c>
      <c r="AA4" s="155" t="n">
        <f aca="false">M4/70.94</f>
        <v>0.00326026033173179</v>
      </c>
      <c r="AB4" s="155" t="n">
        <f aca="false">SUM(R4:AA4)</f>
        <v>2.60526867046051</v>
      </c>
      <c r="AD4" s="156" t="n">
        <f aca="false">R4/$AB$2</f>
        <v>0.54446772290122</v>
      </c>
      <c r="AE4" s="156" t="n">
        <f aca="false">S4/$AB$2</f>
        <v>0.151210407810722</v>
      </c>
      <c r="AF4" s="156" t="n">
        <f aca="false">T4/$AB$2</f>
        <v>0.0427057218872634</v>
      </c>
      <c r="AG4" s="156" t="n">
        <f aca="false">U4/$AB$2</f>
        <v>0.0663505785696481</v>
      </c>
      <c r="AH4" s="156" t="n">
        <f aca="false">V4/$AB$2</f>
        <v>0.049847853343849</v>
      </c>
      <c r="AI4" s="156" t="n">
        <f aca="false">W4/$AB$2</f>
        <v>0.0236003408871691</v>
      </c>
      <c r="AJ4" s="156" t="n">
        <f aca="false">X4/$AB$2</f>
        <v>0.0354014574383244</v>
      </c>
      <c r="AK4" s="156" t="n">
        <f aca="false">Y4/$AB$2</f>
        <v>0.0105100947040082</v>
      </c>
      <c r="AL4" s="156" t="n">
        <f aca="false">Z4/$AB$2</f>
        <v>0.0276782137219255</v>
      </c>
      <c r="AM4" s="156" t="n">
        <f aca="false">AA4/$AB$2</f>
        <v>0.00119255024695419</v>
      </c>
      <c r="AO4" s="157" t="n">
        <f aca="false">0.225+(-1109*$AD4+25237*$AH4+12705*$AM4+5214*$AG4+19829*$AK4-8879.108)/$C4</f>
        <v>-5.32641732735552</v>
      </c>
      <c r="AP4" s="155" t="n">
        <f aca="false">(-12.948+(15602*$AG4+28649*$AL4+9496*$AF4+4194*$AE4+16016*$AM4+29244.229)/C4)</f>
        <v>10.3523580434503</v>
      </c>
      <c r="AQ4" s="147" t="n">
        <f aca="false">10^AO4</f>
        <v>4.71609638779627E-006</v>
      </c>
      <c r="AR4" s="147" t="n">
        <f aca="false">10^AP4</f>
        <v>22509095483.5493</v>
      </c>
      <c r="AT4" s="159" t="n">
        <v>-9.13</v>
      </c>
      <c r="AU4" s="147" t="n">
        <f aca="false">10^AT4</f>
        <v>7.41310241300916E-010</v>
      </c>
      <c r="AV4" s="147" t="n">
        <f aca="false">55912/C4-25.07+0.6465*LN(C4)</f>
        <v>20.1489448196003</v>
      </c>
      <c r="AX4" s="147" t="n">
        <f aca="false">(AR4/AQ4)*AV4*AU4*AU4</f>
        <v>0.0528478931536406</v>
      </c>
      <c r="AY4" s="158" t="n">
        <f aca="false">AX4/(AX4+1)</f>
        <v>0.0501951834612529</v>
      </c>
      <c r="AZ4" s="152" t="n">
        <v>0.05</v>
      </c>
      <c r="BA4" s="147" t="n">
        <f aca="false">(AZ4-AY4)^2</f>
        <v>3.80965835466563E-008</v>
      </c>
    </row>
    <row r="5" customFormat="false" ht="15" hidden="false" customHeight="false" outlineLevel="0" collapsed="false">
      <c r="A5" s="150" t="s">
        <v>928</v>
      </c>
      <c r="B5" s="141" t="n">
        <v>1069</v>
      </c>
      <c r="C5" s="146" t="n">
        <f aca="false">B5+273</f>
        <v>1342</v>
      </c>
      <c r="D5" s="146" t="n">
        <f aca="false">1/C5</f>
        <v>0.000745156482861401</v>
      </c>
      <c r="E5" s="152" t="n">
        <v>48.0196969080104</v>
      </c>
      <c r="F5" s="152" t="n">
        <v>15.5899824106702</v>
      </c>
      <c r="G5" s="152" t="n">
        <v>3.75856965744517</v>
      </c>
      <c r="H5" s="152" t="n">
        <v>8.55150185100261</v>
      </c>
      <c r="I5" s="152" t="n">
        <v>11.5105227013127</v>
      </c>
      <c r="J5" s="152" t="n">
        <v>2.88896113008189</v>
      </c>
      <c r="K5" s="152" t="n">
        <v>2.9929037150045</v>
      </c>
      <c r="L5" s="152" t="n">
        <v>5.16253338428335</v>
      </c>
      <c r="M5" s="152" t="n">
        <v>0.237469385038922</v>
      </c>
      <c r="N5" s="153" t="n">
        <f aca="false">SUM(E5:M5)</f>
        <v>98.7121411428498</v>
      </c>
      <c r="O5" s="154"/>
      <c r="P5" s="152" t="n">
        <v>0.3</v>
      </c>
      <c r="Q5" s="154"/>
      <c r="R5" s="155" t="n">
        <f aca="false">E5/((28.0855/2)+16)</f>
        <v>1.59837887370532</v>
      </c>
      <c r="S5" s="155" t="n">
        <f aca="false">F5/((26.981539*0.67)+16)</f>
        <v>0.457484334847021</v>
      </c>
      <c r="T5" s="155" t="n">
        <f aca="false">G5/40.32</f>
        <v>0.0932184934882235</v>
      </c>
      <c r="U5" s="155" t="n">
        <f aca="false">H5/56.06</f>
        <v>0.152541952390343</v>
      </c>
      <c r="V5" s="155" t="n">
        <f aca="false">(I5/71.85)*(1-P5)</f>
        <v>0.112141487695461</v>
      </c>
      <c r="W5" s="155" t="n">
        <f aca="false">(I5/71.85)*P5/0.667</f>
        <v>0.0720549289111981</v>
      </c>
      <c r="X5" s="155" t="n">
        <f aca="false">J5/((47.867/2)+16)</f>
        <v>0.072344300651881</v>
      </c>
      <c r="Y5" s="155" t="n">
        <f aca="false">K5/94.2</f>
        <v>0.031771801645483</v>
      </c>
      <c r="Z5" s="155" t="n">
        <f aca="false">L5/61.88</f>
        <v>0.0834281413103321</v>
      </c>
      <c r="AA5" s="155" t="n">
        <f aca="false">M5/70.94</f>
        <v>0.00334746807215847</v>
      </c>
      <c r="AB5" s="155" t="n">
        <f aca="false">SUM(R5:AA5)</f>
        <v>2.67671178271742</v>
      </c>
      <c r="AD5" s="156" t="n">
        <f aca="false">R5/$AB$2</f>
        <v>0.584661016794055</v>
      </c>
      <c r="AE5" s="156" t="n">
        <f aca="false">S5/$AB$2</f>
        <v>0.167340335122775</v>
      </c>
      <c r="AF5" s="156" t="n">
        <f aca="false">T5/$AB$2</f>
        <v>0.0340978100270379</v>
      </c>
      <c r="AG5" s="156" t="n">
        <f aca="false">U5/$AB$2</f>
        <v>0.0557973672296739</v>
      </c>
      <c r="AH5" s="156" t="n">
        <f aca="false">V5/$AB$2</f>
        <v>0.0410195337910317</v>
      </c>
      <c r="AI5" s="156" t="n">
        <f aca="false">W5/$AB$2</f>
        <v>0.026356522033218</v>
      </c>
      <c r="AJ5" s="156" t="n">
        <f aca="false">X5/$AB$2</f>
        <v>0.0264623695133883</v>
      </c>
      <c r="AK5" s="156" t="n">
        <f aca="false">Y5/$AB$2</f>
        <v>0.0116216087193178</v>
      </c>
      <c r="AL5" s="156" t="n">
        <f aca="false">Z5/$AB$2</f>
        <v>0.0305166583030862</v>
      </c>
      <c r="AM5" s="156" t="n">
        <f aca="false">AA5/$AB$2</f>
        <v>0.00122444942119188</v>
      </c>
      <c r="AO5" s="157" t="n">
        <f aca="false">0.225+(-1109*$AD5+25237*$AH5+12705*$AM5+5214*$AG5+19829*$AK5-8879.108)/$C5</f>
        <v>-5.7029866702036</v>
      </c>
      <c r="AP5" s="155" t="n">
        <f aca="false">(-12.948+(15602*$AG5+28649*$AL5+9496*$AF5+4194*$AE5+16016*$AM5+29244.229)/C5)</f>
        <v>10.9225515787585</v>
      </c>
      <c r="AQ5" s="147" t="n">
        <f aca="false">10^AO5</f>
        <v>1.98158784572863E-006</v>
      </c>
      <c r="AR5" s="147" t="n">
        <f aca="false">10^AP5</f>
        <v>83666495593.4339</v>
      </c>
      <c r="AT5" s="148" t="n">
        <v>-9.73</v>
      </c>
      <c r="AU5" s="147" t="n">
        <f aca="false">10^AT5</f>
        <v>1.86208713666287E-010</v>
      </c>
      <c r="AV5" s="147" t="n">
        <f aca="false">55912/C5-25.07+0.6465*LN(C5)</f>
        <v>21.2492281690308</v>
      </c>
      <c r="AW5" s="147"/>
      <c r="AX5" s="147" t="n">
        <f aca="false">(AR5/AQ5)*AV5*AU5*AU5</f>
        <v>0.0311086674853351</v>
      </c>
      <c r="AY5" s="158" t="n">
        <f aca="false">AX5/(AX5+1)</f>
        <v>0.0301701153974419</v>
      </c>
      <c r="AZ5" s="152" t="n">
        <v>0.03</v>
      </c>
      <c r="BA5" s="147" t="n">
        <f aca="false">(AZ5-AY5)^2</f>
        <v>2.89392484468005E-008</v>
      </c>
    </row>
    <row r="6" customFormat="false" ht="15" hidden="false" customHeight="false" outlineLevel="0" collapsed="false">
      <c r="A6" s="1" t="s">
        <v>296</v>
      </c>
      <c r="B6" s="141" t="n">
        <v>939</v>
      </c>
      <c r="C6" s="146" t="n">
        <f aca="false">B6+273</f>
        <v>1212</v>
      </c>
      <c r="D6" s="146" t="n">
        <f aca="false">1/C6</f>
        <v>0.000825082508250825</v>
      </c>
      <c r="E6" s="152" t="n">
        <v>59.2023453450057</v>
      </c>
      <c r="F6" s="152" t="n">
        <v>19.4883557922493</v>
      </c>
      <c r="G6" s="152" t="n">
        <v>0.0578136032565171</v>
      </c>
      <c r="H6" s="152" t="n">
        <v>1.08898082199571</v>
      </c>
      <c r="I6" s="152" t="n">
        <v>5.05215895485532</v>
      </c>
      <c r="J6" s="152" t="n">
        <v>0.0490055792393535</v>
      </c>
      <c r="K6" s="152" t="n">
        <v>5.90181906814608</v>
      </c>
      <c r="L6" s="152" t="n">
        <v>8.86351971936296</v>
      </c>
      <c r="M6" s="152" t="n">
        <v>0.23296450891712</v>
      </c>
      <c r="N6" s="153" t="n">
        <f aca="false">SUM(E6:M6)</f>
        <v>99.9369633930281</v>
      </c>
      <c r="P6" s="152" t="n">
        <v>0.37</v>
      </c>
      <c r="R6" s="155" t="n">
        <f aca="false">E6/((28.0855/2)+16)</f>
        <v>1.97060340165283</v>
      </c>
      <c r="S6" s="155" t="n">
        <f aca="false">F6/((26.981539*0.67)+16)</f>
        <v>0.571881176772668</v>
      </c>
      <c r="T6" s="155" t="n">
        <f aca="false">G6/40.32</f>
        <v>0.00143386912838584</v>
      </c>
      <c r="U6" s="155" t="n">
        <f aca="false">H6/56.06</f>
        <v>0.0194252733142296</v>
      </c>
      <c r="V6" s="155" t="n">
        <f aca="false">(I6/71.85)*(1-P6)</f>
        <v>0.044298679771174</v>
      </c>
      <c r="W6" s="155" t="n">
        <f aca="false">(I6/71.85)*P6/0.667</f>
        <v>0.0390055246551352</v>
      </c>
      <c r="X6" s="155" t="n">
        <f aca="false">J6/((47.867/2)+16)</f>
        <v>0.00122717966718053</v>
      </c>
      <c r="Y6" s="155" t="n">
        <f aca="false">K6/94.2</f>
        <v>0.0626520070928459</v>
      </c>
      <c r="Z6" s="155" t="n">
        <f aca="false">L6/61.88</f>
        <v>0.143237228819699</v>
      </c>
      <c r="AA6" s="155" t="n">
        <f aca="false">M6/70.94</f>
        <v>0.00328396544850747</v>
      </c>
      <c r="AB6" s="155" t="n">
        <f aca="false">SUM(R6:AA6)</f>
        <v>2.85704830632266</v>
      </c>
      <c r="AD6" s="156" t="n">
        <f aca="false">R6/$AB$2</f>
        <v>0.720814700107568</v>
      </c>
      <c r="AE6" s="156" t="n">
        <f aca="false">S6/$AB$2</f>
        <v>0.209184840839514</v>
      </c>
      <c r="AF6" s="156" t="n">
        <f aca="false">T6/$AB$2</f>
        <v>0.00052448602539915</v>
      </c>
      <c r="AG6" s="156" t="n">
        <f aca="false">U6/$AB$2</f>
        <v>0.00710544929880858</v>
      </c>
      <c r="AH6" s="156" t="n">
        <f aca="false">V6/$AB$2</f>
        <v>0.0162037371637732</v>
      </c>
      <c r="AI6" s="156" t="n">
        <f aca="false">W6/$AB$2</f>
        <v>0.014267587041232</v>
      </c>
      <c r="AJ6" s="156" t="n">
        <f aca="false">X6/$AB$2</f>
        <v>0.000448882379394508</v>
      </c>
      <c r="AK6" s="156" t="n">
        <f aca="false">Y6/$AB$2</f>
        <v>0.0229170860386665</v>
      </c>
      <c r="AL6" s="156" t="n">
        <f aca="false">Z6/$AB$2</f>
        <v>0.0523938505583173</v>
      </c>
      <c r="AM6" s="156" t="n">
        <f aca="false">AA6/$AB$2</f>
        <v>0.00120122119343959</v>
      </c>
      <c r="AO6" s="157" t="n">
        <f aca="false">0.225+(-1109*$AD6+25237*$AH6+12705*$AM6+5214*$AG6+19829*$AK6-8879.108)/$C6</f>
        <v>-7.00505409294537</v>
      </c>
      <c r="AP6" s="155" t="n">
        <f aca="false">(-12.948+(15602*$AG6+28649*$AL6+9496*$AF6+4194*$AE6+16016*$AM6+29244.229)/C6)</f>
        <v>13.2546898886283</v>
      </c>
      <c r="AQ6" s="147" t="n">
        <f aca="false">10^AO6</f>
        <v>9.88429974468359E-008</v>
      </c>
      <c r="AR6" s="147" t="n">
        <f aca="false">10^AP6</f>
        <v>17975868757753.8</v>
      </c>
      <c r="AT6" s="148" t="n">
        <v>-11.175</v>
      </c>
      <c r="AU6" s="147" t="n">
        <f aca="false">10^AT6</f>
        <v>6.68343917568614E-012</v>
      </c>
      <c r="AV6" s="147" t="n">
        <f aca="false">55912/C6-25.07+0.6465*LN(C6)</f>
        <v>25.652180764546</v>
      </c>
      <c r="AX6" s="147" t="n">
        <f aca="false">(AR6/AQ6)*AV6*AU6*AU6</f>
        <v>0.208385872750346</v>
      </c>
      <c r="AY6" s="158" t="n">
        <f aca="false">AX6/(AX6+1)</f>
        <v>0.172449775729378</v>
      </c>
      <c r="AZ6" s="152" t="n">
        <v>0.17</v>
      </c>
      <c r="BA6" s="147" t="n">
        <f aca="false">(AZ6-AY6)^2</f>
        <v>6.00140112424824E-006</v>
      </c>
    </row>
    <row r="7" customFormat="false" ht="15" hidden="false" customHeight="false" outlineLevel="0" collapsed="false">
      <c r="A7" s="1" t="s">
        <v>322</v>
      </c>
      <c r="B7" s="141" t="n">
        <v>948</v>
      </c>
      <c r="C7" s="146" t="n">
        <f aca="false">B7+273</f>
        <v>1221</v>
      </c>
      <c r="D7" s="146" t="n">
        <f aca="false">1/C7</f>
        <v>0.000819000819000819</v>
      </c>
      <c r="E7" s="152" t="n">
        <v>59.8456780064365</v>
      </c>
      <c r="F7" s="152" t="n">
        <v>18.5890110969559</v>
      </c>
      <c r="G7" s="152" t="n">
        <v>0.288854720085568</v>
      </c>
      <c r="H7" s="152" t="n">
        <v>1.3637391601832</v>
      </c>
      <c r="I7" s="152" t="n">
        <v>5.55907536838388</v>
      </c>
      <c r="J7" s="152" t="n">
        <v>0.240862041112196</v>
      </c>
      <c r="K7" s="152" t="n">
        <v>6.01892548992682</v>
      </c>
      <c r="L7" s="152" t="n">
        <v>7.62348527895284</v>
      </c>
      <c r="M7" s="152" t="n">
        <v>0.246067563372057</v>
      </c>
      <c r="N7" s="153" t="n">
        <f aca="false">SUM(E7:M7)</f>
        <v>99.775698725409</v>
      </c>
      <c r="P7" s="152" t="n">
        <v>0.26</v>
      </c>
      <c r="R7" s="155" t="n">
        <f aca="false">E7/((28.0855/2)+16)</f>
        <v>1.99201730888273</v>
      </c>
      <c r="S7" s="155" t="n">
        <f aca="false">F7/((26.981539*0.67)+16)</f>
        <v>0.545490120074432</v>
      </c>
      <c r="T7" s="155" t="n">
        <f aca="false">G7/40.32</f>
        <v>0.00716405555767778</v>
      </c>
      <c r="U7" s="155" t="n">
        <f aca="false">H7/56.06</f>
        <v>0.024326420980792</v>
      </c>
      <c r="V7" s="155" t="n">
        <f aca="false">(I7/71.85)*(1-P7)</f>
        <v>0.0572542209130699</v>
      </c>
      <c r="W7" s="155" t="n">
        <f aca="false">(I7/71.85)*P7/0.667</f>
        <v>0.0301594421115081</v>
      </c>
      <c r="X7" s="155" t="n">
        <f aca="false">J7/((47.867/2)+16)</f>
        <v>0.00603157852710622</v>
      </c>
      <c r="Y7" s="155" t="n">
        <f aca="false">K7/94.2</f>
        <v>0.0638951750523017</v>
      </c>
      <c r="Z7" s="155" t="n">
        <f aca="false">L7/61.88</f>
        <v>0.123197887507318</v>
      </c>
      <c r="AA7" s="155" t="n">
        <f aca="false">M7/70.94</f>
        <v>0.00346867160095936</v>
      </c>
      <c r="AB7" s="155" t="n">
        <f aca="false">SUM(R7:AA7)</f>
        <v>2.85300488120789</v>
      </c>
      <c r="AD7" s="156" t="n">
        <f aca="false">R7/$AB$2</f>
        <v>0.728647559375495</v>
      </c>
      <c r="AE7" s="156" t="n">
        <f aca="false">S7/$AB$2</f>
        <v>0.199531421179574</v>
      </c>
      <c r="AF7" s="156" t="n">
        <f aca="false">T7/$AB$2</f>
        <v>0.00262049510014558</v>
      </c>
      <c r="AG7" s="156" t="n">
        <f aca="false">U7/$AB$2</f>
        <v>0.00889820946683273</v>
      </c>
      <c r="AH7" s="156" t="n">
        <f aca="false">V7/$AB$2</f>
        <v>0.0209426635733665</v>
      </c>
      <c r="AI7" s="156" t="n">
        <f aca="false">W7/$AB$2</f>
        <v>0.0110318338041965</v>
      </c>
      <c r="AJ7" s="156" t="n">
        <f aca="false">X7/$AB$2</f>
        <v>0.00220625340621291</v>
      </c>
      <c r="AK7" s="156" t="n">
        <f aca="false">Y7/$AB$2</f>
        <v>0.0233718166755501</v>
      </c>
      <c r="AL7" s="156" t="n">
        <f aca="false">Z7/$AB$2</f>
        <v>0.0450637851649857</v>
      </c>
      <c r="AM7" s="156" t="n">
        <f aca="false">AA7/$AB$2</f>
        <v>0.00126878370235232</v>
      </c>
      <c r="AO7" s="157" t="n">
        <f aca="false">0.225+(-1109*$AD7+25237*$AH7+12705*$AM7+5214*$AG7+19829*$AK7-8879.108)/$C7</f>
        <v>-6.84518282456056</v>
      </c>
      <c r="AP7" s="155" t="n">
        <f aca="false">(-12.948+(15602*$AG7+28649*$AL7+9496*$AF7+4194*$AE7+16016*$AM7+29244.229)/C7)</f>
        <v>12.8964972047241</v>
      </c>
      <c r="AQ7" s="147" t="n">
        <f aca="false">10^AO7</f>
        <v>1.42829256488924E-007</v>
      </c>
      <c r="AR7" s="147" t="n">
        <f aca="false">10^AP7</f>
        <v>7879473599217.41</v>
      </c>
      <c r="AT7" s="148" t="n">
        <v>-11.05</v>
      </c>
      <c r="AU7" s="147" t="n">
        <f aca="false">10^AT7</f>
        <v>8.91250938133744E-012</v>
      </c>
      <c r="AV7" s="147" t="n">
        <f aca="false">55912/C7-25.07+0.6465*LN(C7)</f>
        <v>25.3169243609864</v>
      </c>
      <c r="AX7" s="147" t="n">
        <f aca="false">(AR7/AQ7)*AV7*AU7*AU7</f>
        <v>0.110940718276535</v>
      </c>
      <c r="AY7" s="158" t="n">
        <f aca="false">AX7/(AX7+1)</f>
        <v>0.0998619606351669</v>
      </c>
      <c r="AZ7" s="152" t="n">
        <v>0.1</v>
      </c>
      <c r="BA7" s="147" t="n">
        <f aca="false">(AZ7-AY7)^2</f>
        <v>1.90548662435182E-008</v>
      </c>
    </row>
    <row r="8" customFormat="false" ht="15" hidden="false" customHeight="false" outlineLevel="0" collapsed="false">
      <c r="A8" s="1" t="s">
        <v>347</v>
      </c>
      <c r="B8" s="141" t="n">
        <v>948</v>
      </c>
      <c r="C8" s="146" t="n">
        <f aca="false">B8+273</f>
        <v>1221</v>
      </c>
      <c r="D8" s="146" t="n">
        <f aca="false">1/C8</f>
        <v>0.000819000819000819</v>
      </c>
      <c r="E8" s="152" t="n">
        <v>59.5770738409744</v>
      </c>
      <c r="F8" s="152" t="n">
        <v>18.695167599039</v>
      </c>
      <c r="G8" s="152" t="n">
        <v>0.315356668260184</v>
      </c>
      <c r="H8" s="152" t="n">
        <v>1.2592455751682</v>
      </c>
      <c r="I8" s="152" t="n">
        <v>5.68458974442139</v>
      </c>
      <c r="J8" s="152" t="n">
        <v>0.213418546570905</v>
      </c>
      <c r="K8" s="152" t="n">
        <v>6.13480783070544</v>
      </c>
      <c r="L8" s="152" t="n">
        <v>7.70184204056748</v>
      </c>
      <c r="M8" s="152" t="n">
        <v>0.238162725883474</v>
      </c>
      <c r="N8" s="153" t="n">
        <f aca="false">SUM(E8:M8)</f>
        <v>99.8196645715905</v>
      </c>
      <c r="P8" s="152" t="n">
        <v>0.27</v>
      </c>
      <c r="R8" s="155" t="n">
        <f aca="false">E8/((28.0855/2)+16)</f>
        <v>1.98307657724324</v>
      </c>
      <c r="S8" s="155" t="n">
        <f aca="false">F8/((26.981539*0.67)+16)</f>
        <v>0.548605257440587</v>
      </c>
      <c r="T8" s="155" t="n">
        <f aca="false">G8/40.32</f>
        <v>0.00782134593899266</v>
      </c>
      <c r="U8" s="155" t="n">
        <f aca="false">H8/56.06</f>
        <v>0.0224624612052836</v>
      </c>
      <c r="V8" s="155" t="n">
        <f aca="false">(I8/71.85)*(1-P8)</f>
        <v>0.0577557482731749</v>
      </c>
      <c r="W8" s="155" t="n">
        <f aca="false">(I8/71.85)*P8/0.667</f>
        <v>0.0320265593924077</v>
      </c>
      <c r="X8" s="155" t="n">
        <f aca="false">J8/((47.867/2)+16)</f>
        <v>0.0053443486438931</v>
      </c>
      <c r="Y8" s="155" t="n">
        <f aca="false">K8/94.2</f>
        <v>0.0651253485212892</v>
      </c>
      <c r="Z8" s="155" t="n">
        <f aca="false">L8/61.88</f>
        <v>0.124464157087387</v>
      </c>
      <c r="AA8" s="155" t="n">
        <f aca="false">M8/70.94</f>
        <v>0.00335724169556631</v>
      </c>
      <c r="AB8" s="155" t="n">
        <f aca="false">SUM(R8:AA8)</f>
        <v>2.85003904544182</v>
      </c>
      <c r="AD8" s="156" t="n">
        <f aca="false">R8/$AB$2</f>
        <v>0.725377185037335</v>
      </c>
      <c r="AE8" s="156" t="n">
        <f aca="false">S8/$AB$2</f>
        <v>0.200670887804109</v>
      </c>
      <c r="AF8" s="156" t="n">
        <f aca="false">T8/$AB$2</f>
        <v>0.0028609212400242</v>
      </c>
      <c r="AG8" s="156" t="n">
        <f aca="false">U8/$AB$2</f>
        <v>0.00821640327210642</v>
      </c>
      <c r="AH8" s="156" t="n">
        <f aca="false">V8/$AB$2</f>
        <v>0.0211261141313867</v>
      </c>
      <c r="AI8" s="156" t="n">
        <f aca="false">W8/$AB$2</f>
        <v>0.0117147949630823</v>
      </c>
      <c r="AJ8" s="156" t="n">
        <f aca="false">X8/$AB$2</f>
        <v>0.00195487588308586</v>
      </c>
      <c r="AK8" s="156" t="n">
        <f aca="false">Y8/$AB$2</f>
        <v>0.0238217941389934</v>
      </c>
      <c r="AL8" s="156" t="n">
        <f aca="false">Z8/$AB$2</f>
        <v>0.0455269659992656</v>
      </c>
      <c r="AM8" s="156" t="n">
        <f aca="false">AA8/$AB$2</f>
        <v>0.00122802445380361</v>
      </c>
      <c r="AO8" s="157" t="n">
        <f aca="false">0.225+(-1109*$AD8+25237*$AH8+12705*$AM8+5214*$AG8+19829*$AK8-8879.108)/$C8</f>
        <v>-6.83444866711233</v>
      </c>
      <c r="AP8" s="155" t="n">
        <f aca="false">(-12.948+(15602*$AG8+28649*$AL8+9496*$AF8+4194*$AE8+16016*$AM8+29244.229)/C8)</f>
        <v>12.9039020671271</v>
      </c>
      <c r="AQ8" s="147" t="n">
        <f aca="false">10^AO8</f>
        <v>1.46403457378326E-007</v>
      </c>
      <c r="AR8" s="147" t="n">
        <f aca="false">10^AP8</f>
        <v>8014973063488.5</v>
      </c>
      <c r="AT8" s="159" t="n">
        <v>-11</v>
      </c>
      <c r="AU8" s="147" t="n">
        <f aca="false">10^AT8</f>
        <v>1E-011</v>
      </c>
      <c r="AV8" s="147" t="n">
        <f aca="false">55912/C8-25.07+0.6465*LN(C8)</f>
        <v>25.3169243609864</v>
      </c>
      <c r="AX8" s="147" t="n">
        <f aca="false">(AR8/AQ8)*AV8*AU8*AU8</f>
        <v>0.138599504709321</v>
      </c>
      <c r="AY8" s="158" t="n">
        <f aca="false">AX8/(AX8+1)</f>
        <v>0.121728056385116</v>
      </c>
      <c r="AZ8" s="152" t="n">
        <v>0.12</v>
      </c>
      <c r="BA8" s="147" t="n">
        <f aca="false">(AZ8-AY8)^2</f>
        <v>2.98617887014003E-006</v>
      </c>
    </row>
    <row r="9" customFormat="false" ht="15" hidden="false" customHeight="false" outlineLevel="0" collapsed="false">
      <c r="A9" s="1" t="s">
        <v>421</v>
      </c>
      <c r="B9" s="141" t="n">
        <v>1058</v>
      </c>
      <c r="C9" s="146" t="n">
        <f aca="false">B9+273</f>
        <v>1331</v>
      </c>
      <c r="D9" s="146" t="n">
        <f aca="false">1/C9</f>
        <v>0.000751314800901578</v>
      </c>
      <c r="E9" s="152" t="n">
        <v>50.9044599440323</v>
      </c>
      <c r="F9" s="152" t="n">
        <v>15.9275569184989</v>
      </c>
      <c r="G9" s="152" t="n">
        <v>3.05225394451192</v>
      </c>
      <c r="H9" s="152" t="n">
        <v>6.81411627354493</v>
      </c>
      <c r="I9" s="152" t="n">
        <v>10.1444736785091</v>
      </c>
      <c r="J9" s="152" t="n">
        <v>2.37190776141439</v>
      </c>
      <c r="K9" s="152" t="n">
        <v>3.38578676727612</v>
      </c>
      <c r="L9" s="152" t="n">
        <v>5.92472354957256</v>
      </c>
      <c r="M9" s="152" t="n">
        <v>0.250079275242799</v>
      </c>
      <c r="N9" s="153" t="n">
        <f aca="false">SUM(E9:M9)</f>
        <v>98.775358112603</v>
      </c>
      <c r="P9" s="152" t="n">
        <v>0.23</v>
      </c>
      <c r="R9" s="155" t="n">
        <f aca="false">E9/((28.0855/2)+16)</f>
        <v>1.69440081031305</v>
      </c>
      <c r="S9" s="155" t="n">
        <f aca="false">F9/((26.981539*0.67)+16)</f>
        <v>0.46739037868384</v>
      </c>
      <c r="T9" s="155" t="n">
        <f aca="false">G9/40.32</f>
        <v>0.0757007426714266</v>
      </c>
      <c r="U9" s="155" t="n">
        <f aca="false">H9/56.06</f>
        <v>0.121550415154209</v>
      </c>
      <c r="V9" s="155" t="n">
        <f aca="false">(I9/71.85)*(1-P9)</f>
        <v>0.108716001843452</v>
      </c>
      <c r="W9" s="155" t="n">
        <f aca="false">(I9/71.85)*P9/0.667</f>
        <v>0.0486860733736909</v>
      </c>
      <c r="X9" s="155" t="n">
        <f aca="false">J9/((47.867/2)+16)</f>
        <v>0.059396440617887</v>
      </c>
      <c r="Y9" s="155" t="n">
        <f aca="false">K9/94.2</f>
        <v>0.0359425346844599</v>
      </c>
      <c r="Z9" s="155" t="n">
        <f aca="false">L9/61.88</f>
        <v>0.0957453708722133</v>
      </c>
      <c r="AA9" s="155" t="n">
        <f aca="false">M9/70.94</f>
        <v>0.00352522237444036</v>
      </c>
      <c r="AB9" s="155" t="n">
        <f aca="false">SUM(R9:AA9)</f>
        <v>2.71105399058867</v>
      </c>
      <c r="AD9" s="156" t="n">
        <f aca="false">R9/$AB$2</f>
        <v>0.619784280755538</v>
      </c>
      <c r="AE9" s="156" t="n">
        <f aca="false">S9/$AB$2</f>
        <v>0.170963804975461</v>
      </c>
      <c r="AF9" s="156" t="n">
        <f aca="false">T9/$AB$2</f>
        <v>0.0276901014586991</v>
      </c>
      <c r="AG9" s="156" t="n">
        <f aca="false">U9/$AB$2</f>
        <v>0.0444611665512422</v>
      </c>
      <c r="AH9" s="156" t="n">
        <f aca="false">V9/$AB$2</f>
        <v>0.0397665467338349</v>
      </c>
      <c r="AI9" s="156" t="n">
        <f aca="false">W9/$AB$2</f>
        <v>0.0178085744441715</v>
      </c>
      <c r="AJ9" s="156" t="n">
        <f aca="false">X9/$AB$2</f>
        <v>0.0217262527282401</v>
      </c>
      <c r="AK9" s="156" t="n">
        <f aca="false">Y9/$AB$2</f>
        <v>0.0131471950865175</v>
      </c>
      <c r="AL9" s="156" t="n">
        <f aca="false">Z9/$AB$2</f>
        <v>0.0350221007098925</v>
      </c>
      <c r="AM9" s="156" t="n">
        <f aca="false">AA9/$AB$2</f>
        <v>0.00128946905628674</v>
      </c>
      <c r="AO9" s="157" t="n">
        <f aca="false">0.225+(-1109*$AD9+25237*$AH9+12705*$AM9+5214*$AG9+19829*$AK9-8879.108)/$C9</f>
        <v>-5.82606045778155</v>
      </c>
      <c r="AP9" s="155" t="n">
        <f aca="false">(-12.948+(15602*$AG9+28649*$AL9+9496*$AF9+4194*$AE9+16016*$AM9+29244.229)/C9)</f>
        <v>11.0504070786586</v>
      </c>
      <c r="AQ9" s="147" t="n">
        <f aca="false">10^AO9</f>
        <v>1.49258661334745E-006</v>
      </c>
      <c r="AR9" s="147" t="n">
        <f aca="false">10^AP9</f>
        <v>112307065256.049</v>
      </c>
      <c r="AT9" s="159" t="n">
        <v>-9.86</v>
      </c>
      <c r="AU9" s="147" t="n">
        <f aca="false">10^AT9</f>
        <v>1.38038426460289E-010</v>
      </c>
      <c r="AV9" s="147" t="n">
        <f aca="false">55912/C9-25.07+0.6465*LN(C9)</f>
        <v>21.5882310296015</v>
      </c>
      <c r="AX9" s="147" t="n">
        <f aca="false">(AR9/AQ9)*AV9*AU9*AU9</f>
        <v>0.0309517061432856</v>
      </c>
      <c r="AY9" s="158" t="n">
        <f aca="false">AX9/(AX9+1)</f>
        <v>0.0300224597901619</v>
      </c>
      <c r="AZ9" s="152" t="n">
        <v>0.03</v>
      </c>
      <c r="BA9" s="147" t="n">
        <f aca="false">(AZ9-AY9)^2</f>
        <v>5.04442174115185E-010</v>
      </c>
    </row>
    <row r="10" customFormat="false" ht="15" hidden="false" customHeight="false" outlineLevel="0" collapsed="false">
      <c r="A10" s="1" t="s">
        <v>405</v>
      </c>
      <c r="B10" s="141" t="n">
        <v>1092</v>
      </c>
      <c r="C10" s="146" t="n">
        <f aca="false">B10+273</f>
        <v>1365</v>
      </c>
      <c r="D10" s="146" t="n">
        <f aca="false">1/C10</f>
        <v>0.000732600732600733</v>
      </c>
      <c r="E10" s="152" t="n">
        <v>48.4718592459989</v>
      </c>
      <c r="F10" s="152" t="n">
        <v>15.2113758958387</v>
      </c>
      <c r="G10" s="152" t="n">
        <v>3.85875489235247</v>
      </c>
      <c r="H10" s="152" t="n">
        <v>7.44191200888285</v>
      </c>
      <c r="I10" s="152" t="n">
        <v>12.1330153066879</v>
      </c>
      <c r="J10" s="152" t="n">
        <v>2.5687151377664</v>
      </c>
      <c r="K10" s="152" t="n">
        <v>3.15062367990398</v>
      </c>
      <c r="L10" s="152" t="n">
        <v>5.22412715366372</v>
      </c>
      <c r="M10" s="152" t="n">
        <v>0.26860214371401</v>
      </c>
      <c r="N10" s="153" t="n">
        <f aca="false">SUM(E10:M10)</f>
        <v>98.3289854648089</v>
      </c>
      <c r="P10" s="152" t="n">
        <v>0.28</v>
      </c>
      <c r="R10" s="155" t="n">
        <f aca="false">E10/((28.0855/2)+16)</f>
        <v>1.6134295044894</v>
      </c>
      <c r="S10" s="155" t="n">
        <f aca="false">F10/((26.981539*0.67)+16)</f>
        <v>0.446374216500262</v>
      </c>
      <c r="T10" s="155" t="n">
        <f aca="false">G10/40.32</f>
        <v>0.0957032463381069</v>
      </c>
      <c r="U10" s="155" t="n">
        <f aca="false">H10/56.06</f>
        <v>0.132749054742826</v>
      </c>
      <c r="V10" s="155" t="n">
        <f aca="false">(I10/71.85)*(1-P10)</f>
        <v>0.121583451925056</v>
      </c>
      <c r="W10" s="155" t="n">
        <f aca="false">(I10/71.85)*P10/0.667</f>
        <v>0.0708882361715304</v>
      </c>
      <c r="X10" s="155" t="n">
        <f aca="false">J10/((47.867/2)+16)</f>
        <v>0.0643248184548412</v>
      </c>
      <c r="Y10" s="155" t="n">
        <f aca="false">K10/94.2</f>
        <v>0.0334461112516346</v>
      </c>
      <c r="Z10" s="155" t="n">
        <f aca="false">L10/61.88</f>
        <v>0.0844235157347078</v>
      </c>
      <c r="AA10" s="155" t="n">
        <f aca="false">M10/70.94</f>
        <v>0.00378632849892881</v>
      </c>
      <c r="AB10" s="155" t="n">
        <f aca="false">SUM(R10:AA10)</f>
        <v>2.66670848410729</v>
      </c>
      <c r="AD10" s="156" t="n">
        <f aca="false">R10/$AB$2</f>
        <v>0.590166292947521</v>
      </c>
      <c r="AE10" s="156" t="n">
        <f aca="false">S10/$AB$2</f>
        <v>0.163276434381732</v>
      </c>
      <c r="AF10" s="156" t="n">
        <f aca="false">T10/$AB$2</f>
        <v>0.0350066922398809</v>
      </c>
      <c r="AG10" s="156" t="n">
        <f aca="false">U10/$AB$2</f>
        <v>0.0485574469240011</v>
      </c>
      <c r="AH10" s="156" t="n">
        <f aca="false">V10/$AB$2</f>
        <v>0.0444732508651388</v>
      </c>
      <c r="AI10" s="156" t="n">
        <f aca="false">W10/$AB$2</f>
        <v>0.0259297647889365</v>
      </c>
      <c r="AJ10" s="156" t="n">
        <f aca="false">X10/$AB$2</f>
        <v>0.0235289732500769</v>
      </c>
      <c r="AK10" s="156" t="n">
        <f aca="false">Y10/$AB$2</f>
        <v>0.0122340439640927</v>
      </c>
      <c r="AL10" s="156" t="n">
        <f aca="false">Z10/$AB$2</f>
        <v>0.0308807500917228</v>
      </c>
      <c r="AM10" s="156" t="n">
        <f aca="false">AA10/$AB$2</f>
        <v>0.00138497743339678</v>
      </c>
      <c r="AO10" s="157" t="n">
        <f aca="false">0.225+(-1109*$AD10+25237*$AH10+12705*$AM10+5214*$AG10+19829*$AK10-8879.108)/$C10</f>
        <v>-5.56098348899506</v>
      </c>
      <c r="AP10" s="155" t="n">
        <f aca="false">(-12.948+(15602*$AG10+28649*$AL10+9496*$AF10+4194*$AE10+16016*$AM10+29244.229)/C10)</f>
        <v>10.440946234554</v>
      </c>
      <c r="AQ10" s="147" t="n">
        <f aca="false">10^AO10</f>
        <v>2.7479986245113E-006</v>
      </c>
      <c r="AR10" s="147" t="n">
        <f aca="false">10^AP10</f>
        <v>27602361191.7593</v>
      </c>
      <c r="AT10" s="159" t="n">
        <v>-9.41</v>
      </c>
      <c r="AU10" s="147" t="n">
        <f aca="false">10^AT10</f>
        <v>3.8904514499428E-010</v>
      </c>
      <c r="AV10" s="147" t="n">
        <f aca="false">55912/C10-25.07+0.6465*LN(C10)</f>
        <v>20.5581972871479</v>
      </c>
      <c r="AX10" s="147" t="n">
        <f aca="false">(AR10/AQ10)*AV10*AU10*AU10</f>
        <v>0.0312546581405996</v>
      </c>
      <c r="AY10" s="158" t="n">
        <f aca="false">AX10/(AX10+1)</f>
        <v>0.0303074103897414</v>
      </c>
      <c r="AZ10" s="152" t="n">
        <v>0.03</v>
      </c>
      <c r="BA10" s="147" t="n">
        <f aca="false">(AZ10-AY10)^2</f>
        <v>9.45011477209487E-008</v>
      </c>
    </row>
    <row r="11" customFormat="false" ht="15" hidden="false" customHeight="false" outlineLevel="0" collapsed="false">
      <c r="A11" s="1" t="s">
        <v>436</v>
      </c>
      <c r="B11" s="141" t="n">
        <v>1078</v>
      </c>
      <c r="C11" s="146" t="n">
        <f aca="false">B11+273</f>
        <v>1351</v>
      </c>
      <c r="D11" s="146" t="n">
        <f aca="false">1/C11</f>
        <v>0.00074019245003701</v>
      </c>
      <c r="E11" s="152" t="n">
        <v>46.9811912956825</v>
      </c>
      <c r="F11" s="152" t="n">
        <v>14.4105455908985</v>
      </c>
      <c r="G11" s="152" t="n">
        <v>4.05684652448753</v>
      </c>
      <c r="H11" s="152" t="n">
        <v>9.23094638552366</v>
      </c>
      <c r="I11" s="152" t="n">
        <v>11.7682354256402</v>
      </c>
      <c r="J11" s="152" t="n">
        <v>3.84987667784867</v>
      </c>
      <c r="K11" s="152" t="n">
        <v>3.07321262487664</v>
      </c>
      <c r="L11" s="152" t="n">
        <v>4.9355797853741</v>
      </c>
      <c r="M11" s="152" t="n">
        <v>0.220455719219141</v>
      </c>
      <c r="N11" s="153" t="n">
        <f aca="false">SUM(E11:M11)</f>
        <v>98.5268900295509</v>
      </c>
      <c r="P11" s="152" t="n">
        <v>0.31</v>
      </c>
      <c r="R11" s="155" t="n">
        <f aca="false">E11/((28.0855/2)+16)</f>
        <v>1.56381127878382</v>
      </c>
      <c r="S11" s="155" t="n">
        <f aca="false">F11/((26.981539*0.67)+16)</f>
        <v>0.422874041212691</v>
      </c>
      <c r="T11" s="155" t="n">
        <f aca="false">G11/40.32</f>
        <v>0.100616233246219</v>
      </c>
      <c r="U11" s="155" t="n">
        <f aca="false">H11/56.06</f>
        <v>0.164661904843447</v>
      </c>
      <c r="V11" s="155" t="n">
        <f aca="false">(I11/71.85)*(1-P11)</f>
        <v>0.113014369432035</v>
      </c>
      <c r="W11" s="155" t="n">
        <f aca="false">(I11/71.85)*P11/0.667</f>
        <v>0.076123795762838</v>
      </c>
      <c r="X11" s="155" t="n">
        <f aca="false">J11/((47.867/2)+16)</f>
        <v>0.0964071939060856</v>
      </c>
      <c r="Y11" s="155" t="n">
        <f aca="false">K11/94.2</f>
        <v>0.0326243378437011</v>
      </c>
      <c r="Z11" s="155" t="n">
        <f aca="false">L11/61.88</f>
        <v>0.0797605007332595</v>
      </c>
      <c r="AA11" s="155" t="n">
        <f aca="false">M11/70.94</f>
        <v>0.00310763630136934</v>
      </c>
      <c r="AB11" s="155" t="n">
        <f aca="false">SUM(R11:AA11)</f>
        <v>2.65300129206546</v>
      </c>
      <c r="AD11" s="156" t="n">
        <f aca="false">R11/$AB$2</f>
        <v>0.572016752328723</v>
      </c>
      <c r="AE11" s="156" t="n">
        <f aca="false">S11/$AB$2</f>
        <v>0.154680452162185</v>
      </c>
      <c r="AF11" s="156" t="n">
        <f aca="false">T11/$AB$2</f>
        <v>0.0368037830100646</v>
      </c>
      <c r="AG11" s="156" t="n">
        <f aca="false">U11/$AB$2</f>
        <v>0.0602306488760342</v>
      </c>
      <c r="AH11" s="156" t="n">
        <f aca="false">V11/$AB$2</f>
        <v>0.0413388197450954</v>
      </c>
      <c r="AI11" s="156" t="n">
        <f aca="false">W11/$AB$2</f>
        <v>0.0278448474045142</v>
      </c>
      <c r="AJ11" s="156" t="n">
        <f aca="false">X11/$AB$2</f>
        <v>0.0352641848204166</v>
      </c>
      <c r="AK11" s="156" t="n">
        <f aca="false">Y11/$AB$2</f>
        <v>0.0119334526060857</v>
      </c>
      <c r="AL11" s="156" t="n">
        <f aca="false">Z11/$AB$2</f>
        <v>0.0291750949827105</v>
      </c>
      <c r="AM11" s="156" t="n">
        <f aca="false">AA11/$AB$2</f>
        <v>0.00113672285693616</v>
      </c>
      <c r="AO11" s="157" t="n">
        <f aca="false">0.225+(-1109*$AD11+25237*$AH11+12705*$AM11+5214*$AG11+19829*$AK11-8879.108)/$C11</f>
        <v>-5.6262906628886</v>
      </c>
      <c r="AP11" s="155" t="n">
        <f aca="false">(-12.948+(15602*$AG11+28649*$AL11+9496*$AF11+4194*$AE11+16016*$AM11+29244.229)/C11)</f>
        <v>10.7649601576847</v>
      </c>
      <c r="AQ11" s="147" t="n">
        <f aca="false">10^AO11</f>
        <v>2.3643367738985E-006</v>
      </c>
      <c r="AR11" s="147" t="n">
        <f aca="false">10^AP11</f>
        <v>58204981788.4151</v>
      </c>
      <c r="AT11" s="159" t="n">
        <v>-9.61</v>
      </c>
      <c r="AU11" s="147" t="n">
        <f aca="false">10^AT11</f>
        <v>2.45470891568503E-010</v>
      </c>
      <c r="AV11" s="147" t="n">
        <f aca="false">55912/C11-25.07+0.6465*LN(C11)</f>
        <v>20.9760003849606</v>
      </c>
      <c r="AX11" s="147" t="n">
        <f aca="false">(AR11/AQ11)*AV11*AU11*AU11</f>
        <v>0.0311152649132313</v>
      </c>
      <c r="AY11" s="158" t="n">
        <f aca="false">AX11/(AX11+1)</f>
        <v>0.0301763207005278</v>
      </c>
      <c r="AZ11" s="152" t="n">
        <v>0.03</v>
      </c>
      <c r="BA11" s="147" t="n">
        <f aca="false">(AZ11-AY11)^2</f>
        <v>3.10889894346042E-008</v>
      </c>
    </row>
    <row r="12" customFormat="false" ht="15" hidden="false" customHeight="false" outlineLevel="0" collapsed="false">
      <c r="A12" s="1" t="s">
        <v>375</v>
      </c>
      <c r="B12" s="141" t="n">
        <v>1114</v>
      </c>
      <c r="C12" s="146" t="n">
        <f aca="false">B12+273</f>
        <v>1387</v>
      </c>
      <c r="D12" s="146" t="n">
        <f aca="false">1/C12</f>
        <v>0.000720980533525595</v>
      </c>
      <c r="E12" s="152" t="n">
        <v>48.3213319927627</v>
      </c>
      <c r="F12" s="152" t="n">
        <v>15.169159305811</v>
      </c>
      <c r="G12" s="152" t="n">
        <v>3.89655973685913</v>
      </c>
      <c r="H12" s="152" t="n">
        <v>7.45071372600923</v>
      </c>
      <c r="I12" s="152" t="n">
        <v>11.9532938481646</v>
      </c>
      <c r="J12" s="152" t="n">
        <v>2.61797610435395</v>
      </c>
      <c r="K12" s="152" t="n">
        <v>3.39999338237395</v>
      </c>
      <c r="L12" s="152" t="n">
        <v>5.31706512796835</v>
      </c>
      <c r="M12" s="152" t="n">
        <v>0.28535692316485</v>
      </c>
      <c r="N12" s="153" t="n">
        <f aca="false">SUM(E12:M12)</f>
        <v>98.4114501474678</v>
      </c>
      <c r="P12" s="152" t="n">
        <v>0.29</v>
      </c>
      <c r="R12" s="155" t="n">
        <f aca="false">E12/((28.0855/2)+16)</f>
        <v>1.60841906925174</v>
      </c>
      <c r="S12" s="155" t="n">
        <f aca="false">F12/((26.981539*0.67)+16)</f>
        <v>0.445135380682519</v>
      </c>
      <c r="T12" s="155" t="n">
        <f aca="false">G12/40.32</f>
        <v>0.0966408664895618</v>
      </c>
      <c r="U12" s="155" t="n">
        <f aca="false">H12/56.06</f>
        <v>0.132906060042976</v>
      </c>
      <c r="V12" s="155" t="n">
        <f aca="false">(I12/71.85)*(1-P12)</f>
        <v>0.118118839696547</v>
      </c>
      <c r="W12" s="155" t="n">
        <f aca="false">(I12/71.85)*P12/0.667</f>
        <v>0.0723324186751663</v>
      </c>
      <c r="X12" s="155" t="n">
        <f aca="false">J12/((47.867/2)+16)</f>
        <v>0.0655583934379393</v>
      </c>
      <c r="Y12" s="155" t="n">
        <f aca="false">K12/94.2</f>
        <v>0.036093348008216</v>
      </c>
      <c r="Z12" s="155" t="n">
        <f aca="false">L12/61.88</f>
        <v>0.0859254222360755</v>
      </c>
      <c r="AA12" s="155" t="n">
        <f aca="false">M12/70.94</f>
        <v>0.00402251089885608</v>
      </c>
      <c r="AB12" s="155" t="n">
        <f aca="false">SUM(R12:AA12)</f>
        <v>2.6651523094196</v>
      </c>
      <c r="AD12" s="156" t="n">
        <f aca="false">R12/$AB$2</f>
        <v>0.588333557162019</v>
      </c>
      <c r="AE12" s="156" t="n">
        <f aca="false">S12/$AB$2</f>
        <v>0.162823288371885</v>
      </c>
      <c r="AF12" s="156" t="n">
        <f aca="false">T12/$AB$2</f>
        <v>0.035349658454046</v>
      </c>
      <c r="AG12" s="156" t="n">
        <f aca="false">U12/$AB$2</f>
        <v>0.0486148769113073</v>
      </c>
      <c r="AH12" s="156" t="n">
        <f aca="false">V12/$AB$2</f>
        <v>0.0432059520152598</v>
      </c>
      <c r="AI12" s="156" t="n">
        <f aca="false">W12/$AB$2</f>
        <v>0.0264580232793997</v>
      </c>
      <c r="AJ12" s="156" t="n">
        <f aca="false">X12/$AB$2</f>
        <v>0.023980194932104</v>
      </c>
      <c r="AK12" s="156" t="n">
        <f aca="false">Y12/$AB$2</f>
        <v>0.0132023601494847</v>
      </c>
      <c r="AL12" s="156" t="n">
        <f aca="false">Z12/$AB$2</f>
        <v>0.0314301230824853</v>
      </c>
      <c r="AM12" s="156" t="n">
        <f aca="false">AA12/$AB$2</f>
        <v>0.00147136911709705</v>
      </c>
      <c r="AO12" s="157" t="n">
        <f aca="false">0.225+(-1109*$AD12+25237*$AH12+12705*$AM12+5214*$AG12+19829*$AK12-8879.108)/$C12</f>
        <v>-5.47595168827048</v>
      </c>
      <c r="AP12" s="155" t="n">
        <f aca="false">(-12.948+(15602*$AG12+28649*$AL12+9496*$AF12+4194*$AE12+16016*$AM12+29244.229)/C12)</f>
        <v>10.0839297632668</v>
      </c>
      <c r="AQ12" s="147" t="n">
        <f aca="false">10^AO12</f>
        <v>3.34232218574577E-006</v>
      </c>
      <c r="AR12" s="147" t="n">
        <f aca="false">10^AP12</f>
        <v>12131926297.4067</v>
      </c>
      <c r="AT12" s="159" t="n">
        <v>-9.19</v>
      </c>
      <c r="AU12" s="147" t="n">
        <f aca="false">10^AT12</f>
        <v>6.45654229034656E-010</v>
      </c>
      <c r="AV12" s="147" t="n">
        <f aca="false">55912/C12-25.07+0.6465*LN(C12)</f>
        <v>19.9188254192166</v>
      </c>
      <c r="AX12" s="147" t="n">
        <f aca="false">(AR12/AQ12)*AV12*AU12*AU12</f>
        <v>0.0301401338561592</v>
      </c>
      <c r="AY12" s="158" t="n">
        <f aca="false">AX12/(AX12+1)</f>
        <v>0.0292582852231323</v>
      </c>
      <c r="AZ12" s="152" t="n">
        <v>0.03</v>
      </c>
      <c r="BA12" s="147" t="n">
        <f aca="false">(AZ12-AY12)^2</f>
        <v>5.50140810223855E-007</v>
      </c>
    </row>
    <row r="13" customFormat="false" ht="15" hidden="false" customHeight="false" outlineLevel="0" collapsed="false">
      <c r="A13" s="1" t="s">
        <v>930</v>
      </c>
      <c r="B13" s="141" t="n">
        <v>1086</v>
      </c>
      <c r="C13" s="146" t="n">
        <f aca="false">B13+273</f>
        <v>1359</v>
      </c>
      <c r="D13" s="146" t="n">
        <f aca="false">1/C13</f>
        <v>0.000735835172921266</v>
      </c>
      <c r="E13" s="152" t="n">
        <v>45.3901379346064</v>
      </c>
      <c r="F13" s="152" t="n">
        <v>15.9188984583913</v>
      </c>
      <c r="G13" s="152" t="n">
        <v>4.52573794812827</v>
      </c>
      <c r="H13" s="152" t="n">
        <v>11.3584564043755</v>
      </c>
      <c r="I13" s="152" t="n">
        <v>11.9256519580321</v>
      </c>
      <c r="J13" s="152" t="n">
        <v>3.40834223851511</v>
      </c>
      <c r="K13" s="152" t="n">
        <v>2.35671582340789</v>
      </c>
      <c r="L13" s="152" t="n">
        <v>3.9351065267186</v>
      </c>
      <c r="M13" s="152" t="n">
        <v>0.205619501371159</v>
      </c>
      <c r="N13" s="153" t="n">
        <f aca="false">SUM(E13:M13)</f>
        <v>99.0246667935463</v>
      </c>
      <c r="P13" s="152" t="n">
        <v>0.51</v>
      </c>
      <c r="R13" s="155" t="n">
        <f aca="false">E13/((28.0855/2)+16)</f>
        <v>1.51085163424142</v>
      </c>
      <c r="S13" s="155" t="n">
        <f aca="false">F13/((26.981539*0.67)+16)</f>
        <v>0.467136298226352</v>
      </c>
      <c r="T13" s="155" t="n">
        <f aca="false">G13/40.32</f>
        <v>0.11224548482461</v>
      </c>
      <c r="U13" s="155" t="n">
        <f aca="false">H13/56.06</f>
        <v>0.20261249383474</v>
      </c>
      <c r="V13" s="155" t="n">
        <f aca="false">(I13/71.85)*(1-P13)</f>
        <v>0.0813301246963915</v>
      </c>
      <c r="W13" s="155" t="n">
        <f aca="false">(I13/71.85)*P13/0.667</f>
        <v>0.126911126870727</v>
      </c>
      <c r="X13" s="155" t="n">
        <f aca="false">J13/((47.867/2)+16)</f>
        <v>0.0853504510878113</v>
      </c>
      <c r="Y13" s="155" t="n">
        <f aca="false">K13/94.2</f>
        <v>0.0250182146858587</v>
      </c>
      <c r="Z13" s="155" t="n">
        <f aca="false">L13/61.88</f>
        <v>0.0635925424485876</v>
      </c>
      <c r="AA13" s="155" t="n">
        <f aca="false">M13/70.94</f>
        <v>0.00289849875065068</v>
      </c>
      <c r="AB13" s="155" t="n">
        <f aca="false">SUM(R13:AA13)</f>
        <v>2.67794686966715</v>
      </c>
      <c r="AD13" s="156" t="n">
        <f aca="false">R13/$AB$2</f>
        <v>0.552644975000716</v>
      </c>
      <c r="AE13" s="156" t="n">
        <f aca="false">S13/$AB$2</f>
        <v>0.170870866473166</v>
      </c>
      <c r="AF13" s="156" t="n">
        <f aca="false">T13/$AB$2</f>
        <v>0.04105757425082</v>
      </c>
      <c r="AG13" s="156" t="n">
        <f aca="false">U13/$AB$2</f>
        <v>0.0741123575951603</v>
      </c>
      <c r="AH13" s="156" t="n">
        <f aca="false">V13/$AB$2</f>
        <v>0.0297492379205121</v>
      </c>
      <c r="AI13" s="156" t="n">
        <f aca="false">W13/$AB$2</f>
        <v>0.0464220277803786</v>
      </c>
      <c r="AJ13" s="156" t="n">
        <f aca="false">X13/$AB$2</f>
        <v>0.0312198079802893</v>
      </c>
      <c r="AK13" s="156" t="n">
        <f aca="false">Y13/$AB$2</f>
        <v>0.00915125636182729</v>
      </c>
      <c r="AL13" s="156" t="n">
        <f aca="false">Z13/$AB$2</f>
        <v>0.0232611185871849</v>
      </c>
      <c r="AM13" s="156" t="n">
        <f aca="false">AA13/$AB$2</f>
        <v>0.00106022373957137</v>
      </c>
      <c r="AO13" s="157" t="n">
        <f aca="false">0.225+(-1109*$AD13+25237*$AH13+12705*$AM13+5214*$AG13+19829*$AK13-8879.108)/$C13</f>
        <v>-5.77931017098215</v>
      </c>
      <c r="AP13" s="155" t="n">
        <f aca="false">(-12.948+(15602*$AG13+28649*$AL13+9496*$AF13+4194*$AE13+16016*$AM13+29244.229)/C13)</f>
        <v>10.7388531803467</v>
      </c>
      <c r="AQ13" s="147" t="n">
        <f aca="false">10^AO13</f>
        <v>1.66222507337095E-006</v>
      </c>
      <c r="AR13" s="147" t="n">
        <f aca="false">10^AP13</f>
        <v>54809164313.5641</v>
      </c>
      <c r="AT13" s="159" t="n">
        <v>-9.67</v>
      </c>
      <c r="AU13" s="147" t="n">
        <f aca="false">10^AT13</f>
        <v>2.13796208950223E-010</v>
      </c>
      <c r="AV13" s="147" t="n">
        <f aca="false">55912/C13-25.07+0.6465*LN(C13)</f>
        <v>20.7361932921225</v>
      </c>
      <c r="AX13" s="147" t="n">
        <f aca="false">(AR13/AQ13)*AV13*AU13*AU13</f>
        <v>0.0312530483487925</v>
      </c>
      <c r="AY13" s="158" t="n">
        <f aca="false">AX13/(AX13+1)</f>
        <v>0.0303058966941565</v>
      </c>
      <c r="AZ13" s="152" t="n">
        <v>0.03</v>
      </c>
      <c r="BA13" s="147" t="n">
        <f aca="false">(AZ13-AY13)^2</f>
        <v>9.35727874958984E-008</v>
      </c>
    </row>
    <row r="14" customFormat="false" ht="15" hidden="false" customHeight="false" outlineLevel="0" collapsed="false">
      <c r="A14" s="1" t="s">
        <v>931</v>
      </c>
      <c r="B14" s="141" t="n">
        <v>997</v>
      </c>
      <c r="C14" s="146" t="n">
        <f aca="false">B14+273</f>
        <v>1270</v>
      </c>
      <c r="D14" s="146" t="n">
        <f aca="false">1/C14</f>
        <v>0.00078740157480315</v>
      </c>
      <c r="E14" s="152" t="n">
        <v>56.0945156385155</v>
      </c>
      <c r="F14" s="152" t="n">
        <v>17.8105819095124</v>
      </c>
      <c r="G14" s="152" t="n">
        <v>1.44796824935592</v>
      </c>
      <c r="H14" s="152" t="n">
        <v>3.87876415900584</v>
      </c>
      <c r="I14" s="152" t="n">
        <v>7.91095740893473</v>
      </c>
      <c r="J14" s="152" t="n">
        <v>1.15385520794542</v>
      </c>
      <c r="K14" s="152" t="n">
        <v>4.25733320017825</v>
      </c>
      <c r="L14" s="152" t="n">
        <v>6.76298218034405</v>
      </c>
      <c r="M14" s="152" t="n">
        <v>0.19750301024869</v>
      </c>
      <c r="N14" s="153" t="n">
        <f aca="false">SUM(E14:M14)</f>
        <v>99.5144609640408</v>
      </c>
      <c r="P14" s="152" t="n">
        <v>0.19</v>
      </c>
      <c r="R14" s="155" t="n">
        <f aca="false">E14/((28.0855/2)+16)</f>
        <v>1.86715648995233</v>
      </c>
      <c r="S14" s="155" t="n">
        <f aca="false">F14/((26.981539*0.67)+16)</f>
        <v>0.522647300264747</v>
      </c>
      <c r="T14" s="155" t="n">
        <f aca="false">G14/40.32</f>
        <v>0.0359119109463274</v>
      </c>
      <c r="U14" s="155" t="n">
        <f aca="false">H14/56.06</f>
        <v>0.0691895140743104</v>
      </c>
      <c r="V14" s="155" t="n">
        <f aca="false">(I14/71.85)*(1-P14)</f>
        <v>0.0891840709984291</v>
      </c>
      <c r="W14" s="155" t="n">
        <f aca="false">(I14/71.85)*P14/0.667</f>
        <v>0.0313638985871907</v>
      </c>
      <c r="X14" s="155" t="n">
        <f aca="false">J14/((47.867/2)+16)</f>
        <v>0.0288944171671759</v>
      </c>
      <c r="Y14" s="155" t="n">
        <f aca="false">K14/94.2</f>
        <v>0.0451946199594294</v>
      </c>
      <c r="Z14" s="155" t="n">
        <f aca="false">L14/61.88</f>
        <v>0.109291890438656</v>
      </c>
      <c r="AA14" s="155" t="n">
        <f aca="false">M14/70.94</f>
        <v>0.00278408528684367</v>
      </c>
      <c r="AB14" s="155" t="n">
        <f aca="false">SUM(R14:AA14)</f>
        <v>2.80161819767544</v>
      </c>
      <c r="AD14" s="156" t="n">
        <f aca="false">R14/$AB$2</f>
        <v>0.682975500920198</v>
      </c>
      <c r="AE14" s="156" t="n">
        <f aca="false">S14/$AB$2</f>
        <v>0.191175888911174</v>
      </c>
      <c r="AF14" s="156" t="n">
        <f aca="false">T14/$AB$2</f>
        <v>0.0131359934207741</v>
      </c>
      <c r="AG14" s="156" t="n">
        <f aca="false">U14/$AB$2</f>
        <v>0.0253083998516555</v>
      </c>
      <c r="AH14" s="156" t="n">
        <f aca="false">V14/$AB$2</f>
        <v>0.0326220838435506</v>
      </c>
      <c r="AI14" s="156" t="n">
        <f aca="false">W14/$AB$2</f>
        <v>0.0114724044094149</v>
      </c>
      <c r="AJ14" s="156" t="n">
        <f aca="false">X14/$AB$2</f>
        <v>0.0105691082374423</v>
      </c>
      <c r="AK14" s="156" t="n">
        <f aca="false">Y14/$AB$2</f>
        <v>0.0165314575247398</v>
      </c>
      <c r="AL14" s="156" t="n">
        <f aca="false">Z14/$AB$2</f>
        <v>0.0399771974232123</v>
      </c>
      <c r="AM14" s="156" t="n">
        <f aca="false">AA14/$AB$2</f>
        <v>0.00101837315384055</v>
      </c>
      <c r="AO14" s="157" t="n">
        <f aca="false">0.225+(-1109*$AD14+25237*$AH14+12705*$AM14+5214*$AG14+19829*$AK14-8879.108)/$C14</f>
        <v>-6.34235874138321</v>
      </c>
      <c r="AP14" s="155" t="n">
        <f aca="false">(-12.948+(15602*$AG14+28649*$AL14+9496*$AF14+4194*$AE14+16016*$AM14+29244.229)/C14)</f>
        <v>12.0340777318994</v>
      </c>
      <c r="AQ14" s="147" t="n">
        <f aca="false">10^AO14</f>
        <v>4.54612380380624E-007</v>
      </c>
      <c r="AR14" s="147" t="n">
        <f aca="false">10^AP14</f>
        <v>1081627528333.56</v>
      </c>
      <c r="AT14" s="159" t="n">
        <v>-10.63</v>
      </c>
      <c r="AU14" s="147" t="n">
        <f aca="false">10^AT14</f>
        <v>2.34422881531992E-011</v>
      </c>
      <c r="AV14" s="147" t="n">
        <f aca="false">55912/C14-25.07+0.6465*LN(C14)</f>
        <v>23.5755850644098</v>
      </c>
      <c r="AX14" s="147" t="n">
        <f aca="false">(AR14/AQ14)*AV14*AU14*AU14</f>
        <v>0.0308247066699737</v>
      </c>
      <c r="AY14" s="158" t="n">
        <f aca="false">AX14/(AX14+1)</f>
        <v>0.0299029567981072</v>
      </c>
      <c r="AZ14" s="152" t="n">
        <v>0.03</v>
      </c>
      <c r="BA14" s="147" t="n">
        <f aca="false">(AZ14-AY14)^2</f>
        <v>9.417383033616E-009</v>
      </c>
    </row>
    <row r="15" customFormat="false" ht="15" hidden="false" customHeight="false" outlineLevel="0" collapsed="false">
      <c r="A15" s="141"/>
      <c r="B15" s="141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P15" s="147"/>
      <c r="AT15" s="159"/>
      <c r="AZ15" s="147" t="s">
        <v>932</v>
      </c>
      <c r="BA15" s="141" t="n">
        <f aca="false">AVERAGE(BA2:BA14)</f>
        <v>7.64546603866618E-007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1" width="5.79"/>
    <col collapsed="false" customWidth="true" hidden="false" outlineLevel="0" max="2" min="2" style="11" width="20.42"/>
    <col collapsed="false" customWidth="true" hidden="false" outlineLevel="0" max="3" min="3" style="11" width="19.34"/>
    <col collapsed="false" customWidth="true" hidden="false" outlineLevel="0" max="6" min="4" style="11" width="16.57"/>
    <col collapsed="false" customWidth="true" hidden="false" outlineLevel="0" max="7" min="7" style="11" width="22.88"/>
    <col collapsed="false" customWidth="true" hidden="false" outlineLevel="0" max="8" min="8" style="11" width="25.35"/>
    <col collapsed="false" customWidth="true" hidden="false" outlineLevel="0" max="9" min="9" style="11" width="16.57"/>
  </cols>
  <sheetData>
    <row r="1" customFormat="false" ht="13.8" hidden="false" customHeight="false" outlineLevel="0" collapsed="false">
      <c r="A1" s="160" t="s">
        <v>933</v>
      </c>
      <c r="B1" s="160" t="s">
        <v>934</v>
      </c>
      <c r="C1" s="160" t="s">
        <v>935</v>
      </c>
      <c r="D1" s="160" t="s">
        <v>936</v>
      </c>
      <c r="E1" s="160" t="s">
        <v>937</v>
      </c>
      <c r="F1" s="160" t="s">
        <v>938</v>
      </c>
      <c r="G1" s="160" t="s">
        <v>939</v>
      </c>
      <c r="H1" s="160" t="s">
        <v>940</v>
      </c>
      <c r="I1" s="160" t="s">
        <v>941</v>
      </c>
      <c r="J1" s="160" t="s">
        <v>942</v>
      </c>
    </row>
    <row r="2" customFormat="false" ht="12.8" hidden="false" customHeight="false" outlineLevel="0" collapsed="false">
      <c r="A2" s="11" t="n">
        <v>1</v>
      </c>
      <c r="B2" s="11" t="s">
        <v>943</v>
      </c>
      <c r="C2" s="11" t="n">
        <v>-8.75102348312222</v>
      </c>
      <c r="D2" s="11" t="n">
        <v>0.330464825267983</v>
      </c>
      <c r="E2" s="11" t="n">
        <v>-558.063422606066</v>
      </c>
      <c r="F2" s="11" t="n">
        <v>-322.446056954768</v>
      </c>
      <c r="G2" s="11" t="n">
        <v>-1035.4548621745</v>
      </c>
      <c r="H2" s="11" t="n">
        <v>-1527.1923908739</v>
      </c>
      <c r="I2" s="11" t="n">
        <v>-1531.85947162841</v>
      </c>
      <c r="J2" s="11" t="n">
        <v>-1867.56198188841</v>
      </c>
    </row>
    <row r="3" customFormat="false" ht="12.8" hidden="false" customHeight="false" outlineLevel="0" collapsed="false">
      <c r="A3" s="11" t="n">
        <v>2</v>
      </c>
      <c r="B3" s="11" t="s">
        <v>944</v>
      </c>
      <c r="C3" s="11" t="n">
        <v>-9.46665190970325</v>
      </c>
      <c r="D3" s="11" t="n">
        <v>0.462650049488294</v>
      </c>
      <c r="E3" s="11" t="n">
        <v>-549.471202692968</v>
      </c>
      <c r="F3" s="11" t="n">
        <v>-306.163862995584</v>
      </c>
      <c r="G3" s="11" t="n">
        <v>-1027.97811040452</v>
      </c>
      <c r="H3" s="11" t="n">
        <v>-1495.25758523614</v>
      </c>
      <c r="I3" s="11" t="n">
        <v>-1499.9439002523</v>
      </c>
      <c r="J3" s="11" t="n">
        <v>-1841.65943299762</v>
      </c>
    </row>
    <row r="4" customFormat="false" ht="12.8" hidden="false" customHeight="false" outlineLevel="0" collapsed="false">
      <c r="A4" s="11" t="n">
        <v>3</v>
      </c>
      <c r="B4" s="11" t="s">
        <v>945</v>
      </c>
      <c r="C4" s="11" t="n">
        <v>-9.78940588666825</v>
      </c>
      <c r="D4" s="11" t="n">
        <v>0.305358713600858</v>
      </c>
      <c r="E4" s="11" t="n">
        <v>-552.560739098273</v>
      </c>
      <c r="F4" s="11" t="n">
        <v>-303.169037328249</v>
      </c>
      <c r="G4" s="11" t="n">
        <v>-1023.90372120912</v>
      </c>
      <c r="H4" s="11" t="n">
        <v>-1493.45258757565</v>
      </c>
      <c r="I4" s="11" t="n">
        <v>-1496.64231538506</v>
      </c>
      <c r="J4" s="11" t="n">
        <v>-1835.35186656013</v>
      </c>
    </row>
    <row r="5" customFormat="false" ht="12.8" hidden="false" customHeight="false" outlineLevel="0" collapsed="false">
      <c r="A5" s="11" t="n">
        <v>4</v>
      </c>
      <c r="B5" s="11" t="s">
        <v>946</v>
      </c>
      <c r="C5" s="11" t="n">
        <v>-9.26112764441331</v>
      </c>
      <c r="D5" s="11" t="n">
        <v>0.359175842105495</v>
      </c>
      <c r="E5" s="11" t="n">
        <v>-553.94367685751</v>
      </c>
      <c r="F5" s="11" t="n">
        <v>-311.911640691877</v>
      </c>
      <c r="G5" s="11" t="n">
        <v>-1030.85857890684</v>
      </c>
      <c r="H5" s="11" t="n">
        <v>-1505.8068406668</v>
      </c>
      <c r="I5" s="11" t="n">
        <v>-1510.56177562369</v>
      </c>
      <c r="J5" s="11" t="n">
        <v>-1850.08191373221</v>
      </c>
    </row>
    <row r="6" customFormat="false" ht="12.8" hidden="false" customHeight="false" outlineLevel="0" collapsed="false">
      <c r="A6" s="11" t="n">
        <v>5</v>
      </c>
      <c r="B6" s="11" t="s">
        <v>478</v>
      </c>
      <c r="C6" s="11" t="n">
        <v>-9.81182006656663</v>
      </c>
      <c r="D6" s="11" t="n">
        <v>0.278304917843968</v>
      </c>
      <c r="E6" s="11" t="n">
        <v>-553.27656835246</v>
      </c>
      <c r="F6" s="11" t="n">
        <v>-303.252244781219</v>
      </c>
      <c r="G6" s="11" t="n">
        <v>-1025.28087390205</v>
      </c>
      <c r="H6" s="11" t="n">
        <v>-1491.39962484679</v>
      </c>
      <c r="I6" s="11" t="n">
        <v>-1495.13488932072</v>
      </c>
      <c r="J6" s="11" t="n">
        <v>-1835.12176768242</v>
      </c>
    </row>
    <row r="7" customFormat="false" ht="12.8" hidden="false" customHeight="false" outlineLevel="0" collapsed="false">
      <c r="A7" s="11" t="n">
        <v>6</v>
      </c>
      <c r="B7" s="11" t="s">
        <v>947</v>
      </c>
      <c r="C7" s="11" t="n">
        <v>-9.37230184326826</v>
      </c>
      <c r="D7" s="11" t="n">
        <v>0.43831485361958</v>
      </c>
      <c r="E7" s="11" t="n">
        <v>-550.771262359</v>
      </c>
      <c r="F7" s="11" t="n">
        <v>-308.347302210074</v>
      </c>
      <c r="G7" s="11" t="n">
        <v>-1029.64885086895</v>
      </c>
      <c r="H7" s="11" t="n">
        <v>-1500.62580392836</v>
      </c>
      <c r="I7" s="11" t="n">
        <v>-1505.22627700972</v>
      </c>
      <c r="J7" s="11" t="n">
        <v>-1846.47563270153</v>
      </c>
    </row>
    <row r="8" customFormat="false" ht="12.8" hidden="false" customHeight="false" outlineLevel="0" collapsed="false">
      <c r="A8" s="11" t="n">
        <v>7</v>
      </c>
      <c r="B8" s="11" t="s">
        <v>948</v>
      </c>
      <c r="C8" s="11" t="n">
        <v>-8.80163844168011</v>
      </c>
      <c r="D8" s="11" t="n">
        <v>0.531487880300009</v>
      </c>
      <c r="E8" s="11" t="n">
        <v>-551.122197443204</v>
      </c>
      <c r="F8" s="11" t="n">
        <v>-317.442511599304</v>
      </c>
      <c r="G8" s="11" t="n">
        <v>-1034.37614218668</v>
      </c>
      <c r="H8" s="11" t="n">
        <v>-1515.94365049292</v>
      </c>
      <c r="I8" s="11" t="n">
        <v>-1521.49305073959</v>
      </c>
      <c r="J8" s="11" t="n">
        <v>-1861.29784336756</v>
      </c>
    </row>
    <row r="9" customFormat="false" ht="12.8" hidden="false" customHeight="false" outlineLevel="0" collapsed="false">
      <c r="A9" s="11" t="n">
        <v>8</v>
      </c>
      <c r="B9" s="11" t="s">
        <v>949</v>
      </c>
      <c r="C9" s="11" t="n">
        <v>-8.74491621568748</v>
      </c>
      <c r="D9" s="11" t="n">
        <v>0.95586317571405</v>
      </c>
      <c r="E9" s="11" t="n">
        <v>-537.938446916476</v>
      </c>
      <c r="F9" s="11" t="n">
        <v>-310.394805310942</v>
      </c>
      <c r="G9" s="11" t="n">
        <v>-1031.08383245591</v>
      </c>
      <c r="H9" s="11" t="n">
        <v>-1502.44950965002</v>
      </c>
      <c r="I9" s="11" t="n">
        <v>-1508.06507229382</v>
      </c>
      <c r="J9" s="11" t="n">
        <v>-1853.40402325044</v>
      </c>
    </row>
    <row r="10" customFormat="false" ht="12.8" hidden="false" customHeight="false" outlineLevel="0" collapsed="false">
      <c r="A10" s="11" t="n">
        <v>9</v>
      </c>
      <c r="B10" s="11" t="s">
        <v>950</v>
      </c>
      <c r="C10" s="11" t="n">
        <v>-9.03238101126112</v>
      </c>
      <c r="D10" s="11" t="n">
        <v>0.396841931710293</v>
      </c>
      <c r="E10" s="11" t="n">
        <v>-554.10801437986</v>
      </c>
      <c r="F10" s="11" t="n">
        <v>-315.57089006295</v>
      </c>
      <c r="G10" s="11" t="n">
        <v>-1035.1963308459</v>
      </c>
      <c r="H10" s="11" t="n">
        <v>-1512.84838946046</v>
      </c>
      <c r="I10" s="11" t="n">
        <v>-1517.9711933804</v>
      </c>
      <c r="J10" s="11" t="n">
        <v>-1859.05925235959</v>
      </c>
    </row>
    <row r="11" customFormat="false" ht="12.8" hidden="false" customHeight="false" outlineLevel="0" collapsed="false">
      <c r="A11" s="11" t="n">
        <v>10</v>
      </c>
      <c r="B11" s="11" t="s">
        <v>951</v>
      </c>
      <c r="C11" s="11" t="n">
        <v>-10.9476666134131</v>
      </c>
      <c r="D11" s="11" t="n">
        <v>-0.350097080565798</v>
      </c>
      <c r="E11" s="11" t="n">
        <v>-566.050386149517</v>
      </c>
      <c r="F11" s="11" t="n">
        <v>-294.404872699244</v>
      </c>
      <c r="G11" s="11" t="n">
        <v>-1018.58597815997</v>
      </c>
      <c r="H11" s="11" t="n">
        <v>-1479.06356474225</v>
      </c>
      <c r="I11" s="11" t="n">
        <v>-1480.5086648487</v>
      </c>
      <c r="J11" s="11" t="n">
        <v>-1815.94489260496</v>
      </c>
    </row>
    <row r="12" customFormat="false" ht="12.8" hidden="false" customHeight="false" outlineLevel="0" collapsed="false">
      <c r="A12" s="11" t="n">
        <v>11</v>
      </c>
      <c r="B12" s="11" t="s">
        <v>952</v>
      </c>
      <c r="C12" s="11" t="n">
        <v>-12.1933470870012</v>
      </c>
      <c r="D12" s="11" t="n">
        <v>-0.408419150220302</v>
      </c>
      <c r="E12" s="11" t="n">
        <v>-560.576147071882</v>
      </c>
      <c r="F12" s="11" t="n">
        <v>-275.528369721509</v>
      </c>
      <c r="G12" s="11" t="n">
        <v>-1007.77037434455</v>
      </c>
      <c r="H12" s="11" t="n">
        <v>-1438.9359462697</v>
      </c>
      <c r="I12" s="11" t="n">
        <v>-1441.67732724548</v>
      </c>
      <c r="J12" s="11" t="n">
        <v>-1780.20228950039</v>
      </c>
    </row>
    <row r="13" customFormat="false" ht="12.8" hidden="false" customHeight="false" outlineLevel="0" collapsed="false">
      <c r="A13" s="11" t="n">
        <v>12</v>
      </c>
      <c r="B13" s="11" t="s">
        <v>953</v>
      </c>
      <c r="C13" s="11" t="n">
        <v>-12.6065917962708</v>
      </c>
      <c r="D13" s="11" t="n">
        <v>-0.821663859489894</v>
      </c>
      <c r="E13" s="11" t="n">
        <v>-570.236700900016</v>
      </c>
      <c r="F13" s="11" t="n">
        <v>-275.528369721509</v>
      </c>
      <c r="G13" s="11" t="n">
        <v>-1007.55058524396</v>
      </c>
      <c r="H13" s="11" t="n">
        <v>-1444.19840645938</v>
      </c>
      <c r="I13" s="11" t="n">
        <v>-1444.62671011332</v>
      </c>
      <c r="J13" s="11" t="n">
        <v>-1780.27062258354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4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pane xSplit="1319" ySplit="0" topLeftCell="I1" activePane="topRight" state="split"/>
      <selection pane="topLeft" activeCell="A1" activeCellId="0" sqref="A1"/>
      <selection pane="topRight" activeCell="W12" activeCellId="0" sqref="W1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1" width="23.69"/>
    <col collapsed="false" customWidth="true" hidden="false" outlineLevel="0" max="30" min="30" style="11" width="11.28"/>
    <col collapsed="false" customWidth="false" hidden="false" outlineLevel="0" max="35" min="35" style="161" width="11.6"/>
    <col collapsed="false" customWidth="true" hidden="false" outlineLevel="0" max="38" min="38" style="11" width="16.2"/>
    <col collapsed="false" customWidth="true" hidden="false" outlineLevel="0" max="16384" min="16383" style="11" width="11.53"/>
  </cols>
  <sheetData>
    <row r="1" s="11" customFormat="true" ht="15" hidden="false" customHeight="false" outlineLevel="0" collapsed="false">
      <c r="A1" s="1" t="s">
        <v>892</v>
      </c>
      <c r="B1" s="1" t="s">
        <v>954</v>
      </c>
      <c r="C1" s="1" t="s">
        <v>955</v>
      </c>
      <c r="D1" s="1" t="s">
        <v>956</v>
      </c>
      <c r="E1" s="1" t="s">
        <v>957</v>
      </c>
      <c r="F1" s="1" t="s">
        <v>958</v>
      </c>
      <c r="G1" s="1" t="s">
        <v>959</v>
      </c>
      <c r="H1" s="1" t="s">
        <v>960</v>
      </c>
      <c r="I1" s="1" t="s">
        <v>961</v>
      </c>
      <c r="J1" s="1" t="s">
        <v>962</v>
      </c>
      <c r="K1" s="1" t="s">
        <v>963</v>
      </c>
      <c r="L1" s="1" t="s">
        <v>964</v>
      </c>
      <c r="M1" s="1" t="s">
        <v>965</v>
      </c>
      <c r="N1" s="1" t="s">
        <v>966</v>
      </c>
      <c r="O1" s="1" t="s">
        <v>967</v>
      </c>
      <c r="P1" s="1" t="s">
        <v>968</v>
      </c>
      <c r="Q1" s="1" t="s">
        <v>969</v>
      </c>
      <c r="R1" s="1" t="s">
        <v>970</v>
      </c>
      <c r="S1" s="1" t="s">
        <v>971</v>
      </c>
      <c r="T1" s="1" t="s">
        <v>972</v>
      </c>
      <c r="U1" s="1" t="s">
        <v>973</v>
      </c>
      <c r="V1" s="1" t="s">
        <v>974</v>
      </c>
      <c r="W1" s="1" t="s">
        <v>975</v>
      </c>
      <c r="X1" s="1" t="s">
        <v>976</v>
      </c>
      <c r="Y1" s="1" t="s">
        <v>977</v>
      </c>
      <c r="Z1" s="1" t="s">
        <v>978</v>
      </c>
      <c r="AA1" s="1" t="s">
        <v>476</v>
      </c>
      <c r="AB1" s="1" t="s">
        <v>979</v>
      </c>
      <c r="AC1" s="1" t="s">
        <v>980</v>
      </c>
      <c r="AD1" s="1" t="s">
        <v>981</v>
      </c>
      <c r="AE1" s="1" t="s">
        <v>982</v>
      </c>
      <c r="AF1" s="1" t="s">
        <v>983</v>
      </c>
      <c r="AG1" s="1" t="s">
        <v>984</v>
      </c>
      <c r="AH1" s="1" t="s">
        <v>985</v>
      </c>
      <c r="AI1" s="150" t="s">
        <v>986</v>
      </c>
      <c r="AJ1" s="162" t="s">
        <v>987</v>
      </c>
      <c r="AK1" s="1" t="s">
        <v>988</v>
      </c>
      <c r="AL1" s="1" t="s">
        <v>989</v>
      </c>
      <c r="AM1" s="1" t="s">
        <v>990</v>
      </c>
      <c r="AN1" s="1" t="s">
        <v>991</v>
      </c>
      <c r="AO1" s="141" t="s">
        <v>992</v>
      </c>
      <c r="AP1" s="141" t="s">
        <v>993</v>
      </c>
    </row>
    <row r="2" s="11" customFormat="true" ht="15" hidden="false" customHeight="false" outlineLevel="0" collapsed="false">
      <c r="A2" s="150" t="s">
        <v>928</v>
      </c>
      <c r="B2" s="1" t="s">
        <v>945</v>
      </c>
      <c r="C2" s="152" t="n">
        <v>51.1889582257819</v>
      </c>
      <c r="D2" s="152" t="n">
        <v>2.71920779154541</v>
      </c>
      <c r="E2" s="152" t="n">
        <v>16.8199754994449</v>
      </c>
      <c r="F2" s="152" t="n">
        <v>9.85507445492476</v>
      </c>
      <c r="G2" s="152" t="n">
        <v>0.231257160032213</v>
      </c>
      <c r="H2" s="152" t="n">
        <v>3.22872636448312</v>
      </c>
      <c r="I2" s="152" t="n">
        <v>6.7815232916189</v>
      </c>
      <c r="J2" s="152" t="n">
        <v>4.96213405142407</v>
      </c>
      <c r="K2" s="152" t="n">
        <v>2.97582560452927</v>
      </c>
      <c r="L2" s="152" t="n">
        <v>1.22653339729801</v>
      </c>
      <c r="M2" s="152" t="n">
        <v>1.148</v>
      </c>
      <c r="N2" s="152" t="n">
        <v>985.05</v>
      </c>
      <c r="O2" s="152" t="n">
        <v>82</v>
      </c>
      <c r="P2" s="152" t="n">
        <v>1568.7</v>
      </c>
      <c r="Q2" s="152" t="n">
        <v>352</v>
      </c>
      <c r="R2" s="152" t="n">
        <v>717.9</v>
      </c>
      <c r="S2" s="152" t="n">
        <v>71</v>
      </c>
      <c r="T2" s="152" t="n">
        <v>36.8815147216104</v>
      </c>
      <c r="U2" s="152" t="n">
        <v>0.22</v>
      </c>
      <c r="V2" s="152" t="n">
        <f aca="false">U2/(1-U2)</f>
        <v>0.282051282051282</v>
      </c>
      <c r="W2" s="152" t="n">
        <v>0.04</v>
      </c>
      <c r="X2" s="163" t="n">
        <f aca="false">TRUE()</f>
        <v>1</v>
      </c>
      <c r="Y2" s="164" t="n">
        <v>0.00196078431372548</v>
      </c>
      <c r="Z2" s="164" t="n">
        <v>0.709281307605853</v>
      </c>
      <c r="AA2" s="164" t="n">
        <v>0.923289106105489</v>
      </c>
      <c r="AB2" s="1" t="n">
        <v>1</v>
      </c>
      <c r="AC2" s="1" t="n">
        <v>1058</v>
      </c>
      <c r="AD2" s="1"/>
      <c r="AE2" s="1" t="s">
        <v>945</v>
      </c>
      <c r="AF2" s="1" t="n">
        <v>1058</v>
      </c>
      <c r="AG2" s="152" t="n">
        <v>1.148</v>
      </c>
      <c r="AH2" s="152" t="n">
        <v>0.04</v>
      </c>
      <c r="AI2" s="147" t="n">
        <v>-9.775</v>
      </c>
      <c r="AJ2" s="165" t="n">
        <f aca="false">-25096.3/(AC2+273) + 8.735 + 0.11*(350-1)/(AC2+273)</f>
        <v>-10.0913786626597</v>
      </c>
      <c r="AK2" s="152" t="n">
        <f aca="false">AI2-AJ2</f>
        <v>0.316378662659654</v>
      </c>
      <c r="AL2" s="152" t="n">
        <f aca="false">8*LOG10(V2)+8.7436*1000000/(AC2*AC2)-27703/AC2+20.273</f>
        <v>-2.49746402171347</v>
      </c>
      <c r="AM2" s="152" t="n">
        <f aca="false">10^(AL2)/(1+10^(AL2))</f>
        <v>0.00317071179326225</v>
      </c>
      <c r="AN2" s="152" t="n">
        <f aca="false">1/(1+10^(2.1-2*AK2))</f>
        <v>0.0329757506162649</v>
      </c>
      <c r="AO2" s="166" t="n">
        <f aca="false">TRUE()</f>
        <v>1</v>
      </c>
      <c r="AP2" s="141" t="n">
        <v>0.294</v>
      </c>
    </row>
    <row r="3" s="11" customFormat="true" ht="15" hidden="false" customHeight="false" outlineLevel="0" collapsed="false">
      <c r="A3" s="150" t="s">
        <v>929</v>
      </c>
      <c r="B3" s="1" t="s">
        <v>943</v>
      </c>
      <c r="C3" s="152" t="n">
        <v>50.4803475553549</v>
      </c>
      <c r="D3" s="152" t="n">
        <v>2.721188124509</v>
      </c>
      <c r="E3" s="152" t="n">
        <v>16.4196702554185</v>
      </c>
      <c r="F3" s="152" t="n">
        <v>10.4305105068557</v>
      </c>
      <c r="G3" s="152" t="n">
        <v>0.22326078729</v>
      </c>
      <c r="H3" s="152" t="n">
        <v>3.33273619119146</v>
      </c>
      <c r="I3" s="152" t="n">
        <v>6.86969085527003</v>
      </c>
      <c r="J3" s="152" t="n">
        <v>5.04261183556423</v>
      </c>
      <c r="K3" s="152" t="n">
        <v>2.94006090021921</v>
      </c>
      <c r="L3" s="152" t="n">
        <v>1.49259662758542</v>
      </c>
      <c r="M3" s="152" t="n">
        <v>0.961</v>
      </c>
      <c r="N3" s="152" t="n">
        <v>869.052631578947</v>
      </c>
      <c r="O3" s="152" t="n">
        <v>72</v>
      </c>
      <c r="P3" s="152" t="n">
        <v>1830.31578947368</v>
      </c>
      <c r="Q3" s="152" t="n">
        <v>355</v>
      </c>
      <c r="R3" s="152" t="n">
        <v>956.736842105263</v>
      </c>
      <c r="S3" s="152" t="n">
        <v>132</v>
      </c>
      <c r="T3" s="152" t="n">
        <f aca="false">(H3/40.304)/(H3/40.34+F3/71.846)*100</f>
        <v>36.3001826231904</v>
      </c>
      <c r="U3" s="152" t="n">
        <v>0.21</v>
      </c>
      <c r="V3" s="152" t="n">
        <f aca="false">U3/(1-U3)</f>
        <v>0.265822784810127</v>
      </c>
      <c r="W3" s="152" t="n">
        <v>0.03</v>
      </c>
      <c r="X3" s="163" t="n">
        <f aca="false">TRUE()</f>
        <v>1</v>
      </c>
      <c r="Y3" s="164" t="n">
        <v>0.170588235294118</v>
      </c>
      <c r="Z3" s="164" t="n">
        <v>0.494655843399779</v>
      </c>
      <c r="AA3" s="164" t="n">
        <v>0.966718404269187</v>
      </c>
      <c r="AB3" s="1" t="n">
        <v>1</v>
      </c>
      <c r="AC3" s="1" t="n">
        <v>1133</v>
      </c>
      <c r="AD3" s="1"/>
      <c r="AE3" s="1" t="s">
        <v>943</v>
      </c>
      <c r="AF3" s="1" t="n">
        <v>1133</v>
      </c>
      <c r="AG3" s="152" t="n">
        <v>0.961</v>
      </c>
      <c r="AH3" s="152" t="n">
        <v>0.03</v>
      </c>
      <c r="AI3" s="147" t="n">
        <v>-8.99</v>
      </c>
      <c r="AJ3" s="165" t="n">
        <f aca="false">-25096.3/(AC3+273) + 8.735 + 0.11*(350-1)/(AC3+273)</f>
        <v>-9.0871266002845</v>
      </c>
      <c r="AK3" s="152" t="n">
        <f aca="false">AI3-AJ3</f>
        <v>0.0971266002844953</v>
      </c>
      <c r="AL3" s="152" t="n">
        <f aca="false">8*LOG10(V3)+8.7436*1000000/(AC3*AC3)-27703/AC3+20.273</f>
        <v>-1.96997027678103</v>
      </c>
      <c r="AM3" s="152" t="n">
        <f aca="false">10^(AL3)/(1+10^(AL3))</f>
        <v>0.0106023128236821</v>
      </c>
      <c r="AN3" s="152" t="n">
        <f aca="false">1/(1+10^(2.1-2*AK3))</f>
        <v>0.012271308374523</v>
      </c>
      <c r="AO3" s="166" t="n">
        <f aca="false">TRUE()</f>
        <v>1</v>
      </c>
      <c r="AP3" s="141" t="n">
        <v>0.301</v>
      </c>
    </row>
    <row r="4" s="11" customFormat="true" ht="15" hidden="false" customHeight="false" outlineLevel="0" collapsed="false">
      <c r="A4" s="1" t="s">
        <v>250</v>
      </c>
      <c r="B4" s="1" t="s">
        <v>950</v>
      </c>
      <c r="C4" s="152" t="n">
        <v>44.7185194136532</v>
      </c>
      <c r="D4" s="152" t="n">
        <v>3.86486306284188</v>
      </c>
      <c r="E4" s="152" t="n">
        <v>14.0872647132555</v>
      </c>
      <c r="F4" s="152" t="n">
        <v>12.8835407038012</v>
      </c>
      <c r="G4" s="152" t="n">
        <v>0.231282867933053</v>
      </c>
      <c r="H4" s="152" t="n">
        <v>4.70741171815673</v>
      </c>
      <c r="I4" s="152" t="n">
        <v>10.1688865196437</v>
      </c>
      <c r="J4" s="152" t="n">
        <v>4.68235089627488</v>
      </c>
      <c r="K4" s="152" t="n">
        <v>2.70665638849022</v>
      </c>
      <c r="L4" s="152" t="n">
        <v>1.93265457751525</v>
      </c>
      <c r="M4" s="152" t="n">
        <v>1.03</v>
      </c>
      <c r="N4" s="152" t="n">
        <v>1218.05</v>
      </c>
      <c r="O4" s="152" t="n">
        <v>99</v>
      </c>
      <c r="P4" s="152" t="n">
        <v>1898.45</v>
      </c>
      <c r="Q4" s="152" t="n">
        <v>528</v>
      </c>
      <c r="R4" s="152" t="n">
        <v>1573.2</v>
      </c>
      <c r="S4" s="152" t="n">
        <v>127</v>
      </c>
      <c r="T4" s="152" t="n">
        <f aca="false">(H4/40.304)/(H4/40.34+F4/71.846)*100</f>
        <v>39.4566578285157</v>
      </c>
      <c r="U4" s="152" t="n">
        <v>0.24</v>
      </c>
      <c r="V4" s="152" t="n">
        <f aca="false">U4/(1-U4)</f>
        <v>0.315789473684211</v>
      </c>
      <c r="W4" s="152" t="n">
        <v>0.05</v>
      </c>
      <c r="X4" s="163" t="n">
        <f aca="false">TRUE()</f>
        <v>1</v>
      </c>
      <c r="Y4" s="164" t="n">
        <v>0.5</v>
      </c>
      <c r="Z4" s="164" t="n">
        <v>0</v>
      </c>
      <c r="AA4" s="164" t="n">
        <v>1</v>
      </c>
      <c r="AB4" s="1" t="n">
        <v>1</v>
      </c>
      <c r="AC4" s="1" t="n">
        <v>1106</v>
      </c>
      <c r="AD4" s="1"/>
      <c r="AE4" s="1" t="s">
        <v>950</v>
      </c>
      <c r="AF4" s="1" t="n">
        <v>1106</v>
      </c>
      <c r="AG4" s="152" t="n">
        <v>1.03</v>
      </c>
      <c r="AH4" s="152" t="n">
        <v>0.05</v>
      </c>
      <c r="AI4" s="161" t="n">
        <v>-9.13</v>
      </c>
      <c r="AJ4" s="165" t="n">
        <f aca="false">-25096.3/(AC4+273) + 8.735 + 0.11*(350-1)/(AC4+273)</f>
        <v>-9.43607324147933</v>
      </c>
      <c r="AK4" s="152" t="n">
        <f aca="false">AI4-AJ4</f>
        <v>0.306073241479332</v>
      </c>
      <c r="AL4" s="152" t="n">
        <f aca="false">8*LOG10(V4)+8.7436*1000000/(AC4*AC4)-27703/AC4+20.273</f>
        <v>-1.63181357252957</v>
      </c>
      <c r="AM4" s="152" t="n">
        <f aca="false">10^(AL4)/(1+10^(AL4))</f>
        <v>0.0228120610652401</v>
      </c>
      <c r="AN4" s="152" t="n">
        <f aca="false">1/(1+10^(2.1-2*AK4))</f>
        <v>0.031495473212259</v>
      </c>
      <c r="AO4" s="166" t="n">
        <f aca="false">TRUE()</f>
        <v>1</v>
      </c>
      <c r="AP4" s="141" t="n">
        <v>0.244</v>
      </c>
    </row>
    <row r="5" s="11" customFormat="true" ht="15" hidden="false" customHeight="false" outlineLevel="0" collapsed="false">
      <c r="A5" s="141" t="s">
        <v>994</v>
      </c>
      <c r="B5" s="1" t="s">
        <v>944</v>
      </c>
      <c r="C5" s="152" t="n">
        <v>48.0196969080104</v>
      </c>
      <c r="D5" s="152" t="n">
        <v>2.88896113008189</v>
      </c>
      <c r="E5" s="152" t="n">
        <v>15.5899824106702</v>
      </c>
      <c r="F5" s="152" t="n">
        <v>11.5105227013127</v>
      </c>
      <c r="G5" s="152" t="n">
        <v>0.237469385038922</v>
      </c>
      <c r="H5" s="152" t="n">
        <v>3.75856965744517</v>
      </c>
      <c r="I5" s="152" t="n">
        <v>8.55150185100261</v>
      </c>
      <c r="J5" s="152" t="n">
        <v>5.16253338428335</v>
      </c>
      <c r="K5" s="152" t="n">
        <v>2.9929037150045</v>
      </c>
      <c r="L5" s="152" t="n">
        <v>1.25535032030105</v>
      </c>
      <c r="M5" s="152" t="n">
        <v>1.2576</v>
      </c>
      <c r="N5" s="152" t="n">
        <v>1061.05</v>
      </c>
      <c r="O5" s="152" t="n">
        <v>81</v>
      </c>
      <c r="P5" s="152" t="n">
        <v>1726.45</v>
      </c>
      <c r="Q5" s="152" t="n">
        <v>267</v>
      </c>
      <c r="R5" s="152" t="n">
        <v>1289.1</v>
      </c>
      <c r="S5" s="152" t="n">
        <v>93</v>
      </c>
      <c r="T5" s="152" t="n">
        <f aca="false">(H5/40.304)/(H5/40.34+F5/71.846)*100</f>
        <v>36.8041191765973</v>
      </c>
      <c r="U5" s="152" t="n">
        <v>0.3</v>
      </c>
      <c r="V5" s="152" t="n">
        <f aca="false">U5/(1-U5)</f>
        <v>0.428571428571429</v>
      </c>
      <c r="W5" s="152" t="n">
        <v>0.03</v>
      </c>
      <c r="X5" s="163" t="n">
        <f aca="false">TRUE()</f>
        <v>1</v>
      </c>
      <c r="Y5" s="164" t="n">
        <v>0.335294117647059</v>
      </c>
      <c r="Z5" s="164" t="n">
        <v>0.255842777594436</v>
      </c>
      <c r="AA5" s="164" t="n">
        <v>0.991644695510743</v>
      </c>
      <c r="AB5" s="141" t="n">
        <v>1</v>
      </c>
      <c r="AC5" s="141" t="n">
        <v>1069</v>
      </c>
      <c r="AD5" s="141"/>
      <c r="AE5" s="1" t="s">
        <v>944</v>
      </c>
      <c r="AF5" s="141" t="n">
        <v>1069</v>
      </c>
      <c r="AG5" s="152" t="n">
        <v>1.2576</v>
      </c>
      <c r="AH5" s="152" t="n">
        <v>0.03</v>
      </c>
      <c r="AI5" s="147" t="n">
        <v>-9.73</v>
      </c>
      <c r="AJ5" s="165" t="n">
        <f aca="false">-25096.3/(AC5+273) + 8.735 + 0.11*(350-1)/(AC5+273)</f>
        <v>-9.93706408345753</v>
      </c>
      <c r="AK5" s="152" t="n">
        <f aca="false">AI5-AJ5</f>
        <v>0.207064083457524</v>
      </c>
      <c r="AL5" s="152" t="n">
        <f aca="false">8*LOG10(V5)+8.7436*1000000/(AC5*AC5)-27703/AC5+20.273</f>
        <v>-0.934394331028351</v>
      </c>
      <c r="AM5" s="152" t="n">
        <f aca="false">10^(AL5)/(1+10^(AL5))</f>
        <v>0.104189040888781</v>
      </c>
      <c r="AN5" s="152" t="n">
        <f aca="false">1/(1+10^(2.1-2*AK5))</f>
        <v>0.0201960917202317</v>
      </c>
      <c r="AO5" s="166" t="n">
        <f aca="false">TRUE()</f>
        <v>1</v>
      </c>
      <c r="AP5" s="141" t="n">
        <v>0.269</v>
      </c>
    </row>
    <row r="6" s="11" customFormat="true" ht="15" hidden="false" customHeight="false" outlineLevel="0" collapsed="false">
      <c r="A6" s="1" t="s">
        <v>296</v>
      </c>
      <c r="B6" s="1" t="s">
        <v>995</v>
      </c>
      <c r="C6" s="152" t="n">
        <v>59.2023453450057</v>
      </c>
      <c r="D6" s="152" t="n">
        <v>0.0490055792393535</v>
      </c>
      <c r="E6" s="152" t="n">
        <v>19.4883557922493</v>
      </c>
      <c r="F6" s="152" t="n">
        <v>5.05215895485532</v>
      </c>
      <c r="G6" s="152" t="n">
        <v>0.23296450891712</v>
      </c>
      <c r="H6" s="152" t="n">
        <v>0.0578136032565171</v>
      </c>
      <c r="I6" s="152" t="n">
        <v>1.08898082199571</v>
      </c>
      <c r="J6" s="152" t="n">
        <v>8.86351971936296</v>
      </c>
      <c r="K6" s="152" t="n">
        <v>5.90181906814608</v>
      </c>
      <c r="L6" s="152" t="n">
        <v>0.0630366069719579</v>
      </c>
      <c r="M6" s="152" t="n">
        <v>1.27</v>
      </c>
      <c r="N6" s="152" t="n">
        <v>50</v>
      </c>
      <c r="O6" s="152" t="n">
        <v>35</v>
      </c>
      <c r="P6" s="152" t="n">
        <v>2234</v>
      </c>
      <c r="Q6" s="152" t="n">
        <v>187</v>
      </c>
      <c r="R6" s="152" t="n">
        <v>2301.2</v>
      </c>
      <c r="S6" s="152" t="n">
        <v>92</v>
      </c>
      <c r="T6" s="152" t="n">
        <f aca="false">(H6/40.304)/(H6/40.34+F6/71.846)*100</f>
        <v>1.99914929058057</v>
      </c>
      <c r="U6" s="152" t="n">
        <v>0.37</v>
      </c>
      <c r="V6" s="152" t="n">
        <f aca="false">U6/(1-U6)</f>
        <v>0.587301587301587</v>
      </c>
      <c r="W6" s="152" t="n">
        <v>0.17</v>
      </c>
      <c r="X6" s="163" t="n">
        <f aca="false">TRUE()</f>
        <v>1</v>
      </c>
      <c r="Y6" s="164" t="n">
        <v>1</v>
      </c>
      <c r="Z6" s="164" t="n">
        <v>1.22464679914735E-016</v>
      </c>
      <c r="AA6" s="164" t="n">
        <v>6.12323399573677E-017</v>
      </c>
      <c r="AB6" s="141" t="n">
        <v>1</v>
      </c>
      <c r="AC6" s="141" t="n">
        <v>939</v>
      </c>
      <c r="AD6" s="141"/>
      <c r="AE6" s="1" t="s">
        <v>995</v>
      </c>
      <c r="AF6" s="141" t="n">
        <v>939</v>
      </c>
      <c r="AG6" s="152" t="n">
        <v>1.27</v>
      </c>
      <c r="AH6" s="152" t="n">
        <v>0.17</v>
      </c>
      <c r="AI6" s="147" t="n">
        <v>-11.175</v>
      </c>
      <c r="AJ6" s="165" t="n">
        <f aca="false">-25096.3/(AC6+273) + 8.735 + 0.11*(350-1)/(AC6+273)</f>
        <v>-11.9398432343234</v>
      </c>
      <c r="AK6" s="152" t="n">
        <f aca="false">AI6-AJ6</f>
        <v>0.764843234323433</v>
      </c>
      <c r="AL6" s="152" t="n">
        <f aca="false">8*LOG10(V6)+8.7436*1000000/(AC6*AC6)-27703/AC6+20.273</f>
        <v>-1.16225746814411</v>
      </c>
      <c r="AM6" s="152" t="n">
        <f aca="false">10^(AL6)/(1+10^(AL6))</f>
        <v>0.0643926303638699</v>
      </c>
      <c r="AN6" s="152" t="n">
        <f aca="false">1/(1+10^(2.1-2*AK6))</f>
        <v>0.211952623373834</v>
      </c>
      <c r="AO6" s="166" t="n">
        <f aca="false">FALSE()</f>
        <v>0</v>
      </c>
      <c r="AP6" s="141"/>
    </row>
    <row r="7" s="11" customFormat="true" ht="15" hidden="false" customHeight="false" outlineLevel="0" collapsed="false">
      <c r="A7" s="1" t="s">
        <v>322</v>
      </c>
      <c r="B7" s="1" t="s">
        <v>953</v>
      </c>
      <c r="C7" s="152" t="n">
        <v>59.8456780064365</v>
      </c>
      <c r="D7" s="152" t="n">
        <v>0.240862041112196</v>
      </c>
      <c r="E7" s="152" t="n">
        <v>18.5890110969559</v>
      </c>
      <c r="F7" s="152" t="n">
        <v>5.55907536838388</v>
      </c>
      <c r="G7" s="152" t="n">
        <v>0.246067563372057</v>
      </c>
      <c r="H7" s="152" t="n">
        <v>0.288854720085568</v>
      </c>
      <c r="I7" s="152" t="n">
        <v>1.3637391601832</v>
      </c>
      <c r="J7" s="152" t="n">
        <v>7.62348527895284</v>
      </c>
      <c r="K7" s="152" t="n">
        <v>6.01892548992682</v>
      </c>
      <c r="L7" s="152" t="n">
        <v>0.209065700689593</v>
      </c>
      <c r="M7" s="152" t="n">
        <v>1.61</v>
      </c>
      <c r="N7" s="152" t="n">
        <v>115.05</v>
      </c>
      <c r="O7" s="152" t="n">
        <v>31</v>
      </c>
      <c r="P7" s="152" t="n">
        <v>1678.75</v>
      </c>
      <c r="Q7" s="152" t="n">
        <v>274</v>
      </c>
      <c r="R7" s="152" t="n">
        <v>1492.25</v>
      </c>
      <c r="S7" s="152" t="n">
        <v>77</v>
      </c>
      <c r="T7" s="152" t="n">
        <f aca="false">(H7/40.304)/(H7/40.34+F7/71.846)*100</f>
        <v>8.47798821858523</v>
      </c>
      <c r="U7" s="152" t="n">
        <v>0.26</v>
      </c>
      <c r="V7" s="152" t="n">
        <f aca="false">U7/(1-U7)</f>
        <v>0.351351351351351</v>
      </c>
      <c r="W7" s="152" t="n">
        <v>0.1</v>
      </c>
      <c r="X7" s="163" t="n">
        <f aca="false">TRUE()</f>
        <v>1</v>
      </c>
      <c r="Y7" s="164" t="n">
        <v>1</v>
      </c>
      <c r="Z7" s="164" t="n">
        <v>0.494655843399779</v>
      </c>
      <c r="AA7" s="164" t="n">
        <v>0.255842777594436</v>
      </c>
      <c r="AB7" s="141" t="n">
        <v>1</v>
      </c>
      <c r="AC7" s="141" t="n">
        <v>948</v>
      </c>
      <c r="AD7" s="141"/>
      <c r="AE7" s="1" t="s">
        <v>953</v>
      </c>
      <c r="AF7" s="141" t="n">
        <v>948</v>
      </c>
      <c r="AG7" s="152" t="n">
        <v>1.61</v>
      </c>
      <c r="AH7" s="152" t="n">
        <v>0.1</v>
      </c>
      <c r="AI7" s="147" t="n">
        <v>-11.05</v>
      </c>
      <c r="AJ7" s="165" t="n">
        <f aca="false">-25096.3/(AC7+273) + 8.735 + 0.11*(350-1)/(AC7+273)</f>
        <v>-11.7874488124488</v>
      </c>
      <c r="AK7" s="152" t="n">
        <f aca="false">AI7-AJ7</f>
        <v>0.737448812448811</v>
      </c>
      <c r="AL7" s="152" t="n">
        <f aca="false">8*LOG10(V7)+8.7436*1000000/(AC7*AC7)-27703/AC7+20.273</f>
        <v>-2.8545197683272</v>
      </c>
      <c r="AM7" s="152" t="n">
        <f aca="false">10^(AL7)/(1+10^(AL7))</f>
        <v>0.00139596184968788</v>
      </c>
      <c r="AN7" s="152" t="n">
        <f aca="false">1/(1+10^(2.1-2*AK7))</f>
        <v>0.191645806453881</v>
      </c>
      <c r="AO7" s="166" t="n">
        <f aca="false">TRUE()</f>
        <v>1</v>
      </c>
      <c r="AP7" s="141" t="n">
        <v>0.726</v>
      </c>
    </row>
    <row r="8" s="11" customFormat="true" ht="15" hidden="false" customHeight="false" outlineLevel="0" collapsed="false">
      <c r="A8" s="1" t="s">
        <v>347</v>
      </c>
      <c r="B8" s="1" t="s">
        <v>952</v>
      </c>
      <c r="C8" s="152" t="n">
        <v>59.5770738409744</v>
      </c>
      <c r="D8" s="152" t="n">
        <v>0.213418546570905</v>
      </c>
      <c r="E8" s="152" t="n">
        <v>18.695167599039</v>
      </c>
      <c r="F8" s="152" t="n">
        <v>5.68458974442139</v>
      </c>
      <c r="G8" s="152" t="n">
        <v>0.238162725883474</v>
      </c>
      <c r="H8" s="152" t="n">
        <v>0.315356668260184</v>
      </c>
      <c r="I8" s="152" t="n">
        <v>1.2592455751682</v>
      </c>
      <c r="J8" s="152" t="n">
        <v>7.70184204056748</v>
      </c>
      <c r="K8" s="152" t="n">
        <v>6.13480783070544</v>
      </c>
      <c r="L8" s="152" t="n">
        <v>0.156286944107957</v>
      </c>
      <c r="M8" s="152" t="n">
        <v>1.78</v>
      </c>
      <c r="N8" s="152" t="n">
        <v>111.35</v>
      </c>
      <c r="O8" s="152" t="n">
        <v>27</v>
      </c>
      <c r="P8" s="152" t="n">
        <v>1678.35</v>
      </c>
      <c r="Q8" s="152" t="n">
        <v>177</v>
      </c>
      <c r="R8" s="152" t="n">
        <v>1556.85</v>
      </c>
      <c r="S8" s="152" t="n">
        <v>63</v>
      </c>
      <c r="T8" s="152" t="n">
        <f aca="false">(H8/40.304)/(H8/40.34+F8/71.846)*100</f>
        <v>8.99989716883334</v>
      </c>
      <c r="U8" s="152" t="n">
        <v>0.27</v>
      </c>
      <c r="V8" s="152" t="n">
        <f aca="false">U8/(1-U8)</f>
        <v>0.36986301369863</v>
      </c>
      <c r="W8" s="152" t="n">
        <v>0.12</v>
      </c>
      <c r="X8" s="163" t="n">
        <f aca="false">TRUE()</f>
        <v>1</v>
      </c>
      <c r="Y8" s="164" t="n">
        <v>1</v>
      </c>
      <c r="Z8" s="164" t="n">
        <v>0.255842777594436</v>
      </c>
      <c r="AA8" s="164" t="n">
        <v>0.128999216530203</v>
      </c>
      <c r="AB8" s="141" t="n">
        <v>1</v>
      </c>
      <c r="AC8" s="141" t="n">
        <v>948</v>
      </c>
      <c r="AD8" s="141"/>
      <c r="AE8" s="1" t="s">
        <v>952</v>
      </c>
      <c r="AF8" s="141" t="n">
        <v>948</v>
      </c>
      <c r="AG8" s="152" t="n">
        <v>1.78</v>
      </c>
      <c r="AH8" s="152" t="n">
        <v>0.12</v>
      </c>
      <c r="AI8" s="161" t="n">
        <v>-11</v>
      </c>
      <c r="AJ8" s="165" t="n">
        <f aca="false">-25096.3/(AC8+273) + 8.735 + 0.11*(350-1)/(AC8+273)</f>
        <v>-11.7874488124488</v>
      </c>
      <c r="AK8" s="152" t="n">
        <f aca="false">AI8-AJ8</f>
        <v>0.787448812448812</v>
      </c>
      <c r="AL8" s="152" t="n">
        <f aca="false">8*LOG10(V8)+8.7436*1000000/(AC8*AC8)-27703/AC8+20.273</f>
        <v>-2.67612556193768</v>
      </c>
      <c r="AM8" s="152" t="n">
        <f aca="false">10^(AL8)/(1+10^(AL8))</f>
        <v>0.0021035842030898</v>
      </c>
      <c r="AN8" s="152" t="n">
        <f aca="false">1/(1+10^(2.1-2*AK8))</f>
        <v>0.229861590984904</v>
      </c>
      <c r="AO8" s="166" t="n">
        <f aca="false">TRUE()</f>
        <v>1</v>
      </c>
      <c r="AP8" s="141" t="n">
        <v>0.73</v>
      </c>
    </row>
    <row r="9" s="11" customFormat="true" ht="15" hidden="false" customHeight="false" outlineLevel="0" collapsed="false">
      <c r="A9" s="1" t="s">
        <v>421</v>
      </c>
      <c r="B9" s="1" t="s">
        <v>478</v>
      </c>
      <c r="C9" s="152" t="n">
        <v>50.9044599440323</v>
      </c>
      <c r="D9" s="152" t="n">
        <v>2.37190776141439</v>
      </c>
      <c r="E9" s="152" t="n">
        <v>15.9275569184989</v>
      </c>
      <c r="F9" s="152" t="n">
        <v>10.1444736785091</v>
      </c>
      <c r="G9" s="152" t="n">
        <v>0.250079275242799</v>
      </c>
      <c r="H9" s="152" t="n">
        <v>3.05225394451192</v>
      </c>
      <c r="I9" s="152" t="n">
        <v>6.81411627354493</v>
      </c>
      <c r="J9" s="152" t="n">
        <v>5.92472354957256</v>
      </c>
      <c r="K9" s="152" t="n">
        <v>3.38578676727612</v>
      </c>
      <c r="L9" s="152" t="n">
        <v>1.19951578559773</v>
      </c>
      <c r="M9" s="152" t="n">
        <v>1.254</v>
      </c>
      <c r="N9" s="152" t="n">
        <v>815.333333333334</v>
      </c>
      <c r="O9" s="152" t="n">
        <v>68</v>
      </c>
      <c r="P9" s="152" t="n">
        <v>1392.27777777778</v>
      </c>
      <c r="Q9" s="152" t="n">
        <v>397</v>
      </c>
      <c r="R9" s="152" t="n">
        <v>1412.11111111111</v>
      </c>
      <c r="S9" s="152" t="n">
        <v>111</v>
      </c>
      <c r="T9" s="152" t="n">
        <f aca="false">(H9/40.304)/(H9/40.34+F9/71.846)*100</f>
        <v>34.9214034118631</v>
      </c>
      <c r="U9" s="152" t="n">
        <v>0.23</v>
      </c>
      <c r="V9" s="152" t="n">
        <f aca="false">U9/(1-U9)</f>
        <v>0.298701298701299</v>
      </c>
      <c r="W9" s="152" t="n">
        <v>0.03</v>
      </c>
      <c r="X9" s="163" t="n">
        <f aca="false">TRUE()</f>
        <v>1</v>
      </c>
      <c r="Y9" s="164" t="n">
        <v>0.668627450980392</v>
      </c>
      <c r="Z9" s="164" t="n">
        <v>0.965124085200289</v>
      </c>
      <c r="AA9" s="164" t="n">
        <v>0.607538946338817</v>
      </c>
      <c r="AB9" s="141" t="n">
        <v>1</v>
      </c>
      <c r="AC9" s="141" t="n">
        <v>1058</v>
      </c>
      <c r="AD9" s="141"/>
      <c r="AE9" s="1" t="s">
        <v>478</v>
      </c>
      <c r="AF9" s="141" t="n">
        <v>1058</v>
      </c>
      <c r="AG9" s="152" t="n">
        <v>1.254</v>
      </c>
      <c r="AH9" s="152" t="n">
        <v>0.03</v>
      </c>
      <c r="AI9" s="161" t="n">
        <v>-9.86</v>
      </c>
      <c r="AJ9" s="165" t="n">
        <f aca="false">-25096.3/(AC9+273) + 8.735 + 0.11*(350-1)/(AC9+273)</f>
        <v>-10.0913786626597</v>
      </c>
      <c r="AK9" s="152" t="n">
        <f aca="false">AI9-AJ9</f>
        <v>0.231378662659655</v>
      </c>
      <c r="AL9" s="152" t="n">
        <f aca="false">8*LOG10(V9)+8.7436*1000000/(AC9*AC9)-27703/AC9+20.273</f>
        <v>-2.29819176000638</v>
      </c>
      <c r="AM9" s="152" t="n">
        <f aca="false">10^(AL9)/(1+10^(AL9))</f>
        <v>0.00500758133102888</v>
      </c>
      <c r="AN9" s="152" t="n">
        <f aca="false">1/(1+10^(2.1-2*AK9))</f>
        <v>0.022535049629827</v>
      </c>
      <c r="AO9" s="166" t="n">
        <f aca="false">TRUE()</f>
        <v>1</v>
      </c>
      <c r="AP9" s="141" t="n">
        <v>0.305</v>
      </c>
    </row>
    <row r="10" customFormat="false" ht="15" hidden="false" customHeight="false" outlineLevel="0" collapsed="false">
      <c r="A10" s="12" t="s">
        <v>405</v>
      </c>
      <c r="B10" s="12" t="s">
        <v>946</v>
      </c>
      <c r="C10" s="167" t="n">
        <v>48.4718592459989</v>
      </c>
      <c r="D10" s="167" t="n">
        <v>2.5687151377664</v>
      </c>
      <c r="E10" s="167" t="n">
        <v>15.2113758958387</v>
      </c>
      <c r="F10" s="167" t="n">
        <v>12.1330153066879</v>
      </c>
      <c r="G10" s="167" t="n">
        <v>0.26860214371401</v>
      </c>
      <c r="H10" s="167" t="n">
        <v>3.85875489235247</v>
      </c>
      <c r="I10" s="167" t="n">
        <v>7.44191200888285</v>
      </c>
      <c r="J10" s="167" t="n">
        <v>5.22412715366372</v>
      </c>
      <c r="K10" s="167" t="n">
        <v>3.15062367990398</v>
      </c>
      <c r="L10" s="167" t="n">
        <v>1.66143908720465</v>
      </c>
      <c r="M10" s="167" t="n">
        <v>1.137</v>
      </c>
      <c r="N10" s="167" t="n">
        <v>1071.85</v>
      </c>
      <c r="O10" s="167" t="n">
        <v>85</v>
      </c>
      <c r="P10" s="167" t="n">
        <v>2356.65</v>
      </c>
      <c r="Q10" s="167" t="n">
        <v>405</v>
      </c>
      <c r="R10" s="167" t="n">
        <v>1146.65</v>
      </c>
      <c r="S10" s="167" t="n">
        <v>104</v>
      </c>
      <c r="T10" s="167" t="n">
        <v>36.1928094936632</v>
      </c>
      <c r="U10" s="167" t="n">
        <v>0.28</v>
      </c>
      <c r="V10" s="167" t="n">
        <f aca="false">U10/(1-U10)</f>
        <v>0.388888888888889</v>
      </c>
      <c r="W10" s="167" t="n">
        <v>0.03</v>
      </c>
      <c r="X10" s="168" t="n">
        <f aca="false">FALSE()</f>
        <v>0</v>
      </c>
      <c r="Y10" s="169" t="s">
        <v>996</v>
      </c>
      <c r="Z10" s="169" t="s">
        <v>997</v>
      </c>
      <c r="AA10" s="169" t="s">
        <v>998</v>
      </c>
      <c r="AB10" s="12" t="s">
        <v>999</v>
      </c>
      <c r="AC10" s="170" t="n">
        <v>1092</v>
      </c>
      <c r="AD10" s="12" t="s">
        <v>1000</v>
      </c>
      <c r="AE10" s="12" t="s">
        <v>946</v>
      </c>
      <c r="AF10" s="170" t="n">
        <v>1092</v>
      </c>
      <c r="AG10" s="167" t="n">
        <v>1.137</v>
      </c>
      <c r="AH10" s="167" t="n">
        <v>0.03</v>
      </c>
      <c r="AI10" s="171" t="n">
        <v>-9.41</v>
      </c>
      <c r="AJ10" s="172" t="n">
        <f aca="false">-25096.3/(AC10+273) + 8.735 + 0.11*(350-1)/(AC10+273)</f>
        <v>-9.62244322344322</v>
      </c>
      <c r="AK10" s="167" t="n">
        <f aca="false">AI10-AJ10</f>
        <v>0.212443223443222</v>
      </c>
      <c r="AL10" s="167" t="n">
        <f aca="false">8*LOG10(V10)+8.7436*1000000/(AC10*AC10)-27703/AC10+20.273</f>
        <v>-1.04506265573098</v>
      </c>
      <c r="AM10" s="167" t="n">
        <f aca="false">10^(AL10)/(1+10^(AL10))</f>
        <v>0.0826900838889697</v>
      </c>
      <c r="AN10" s="167"/>
      <c r="AO10" s="166" t="n">
        <f aca="false">TRUE()</f>
        <v>1</v>
      </c>
      <c r="AP10" s="141" t="n">
        <v>0.295</v>
      </c>
    </row>
    <row r="11" customFormat="false" ht="15" hidden="false" customHeight="false" outlineLevel="0" collapsed="false">
      <c r="A11" s="12" t="s">
        <v>436</v>
      </c>
      <c r="B11" s="12" t="s">
        <v>947</v>
      </c>
      <c r="C11" s="167" t="n">
        <v>46.9811912956825</v>
      </c>
      <c r="D11" s="167" t="n">
        <v>3.84987667784867</v>
      </c>
      <c r="E11" s="167" t="n">
        <v>14.4105455908985</v>
      </c>
      <c r="F11" s="167" t="n">
        <v>11.7682354256402</v>
      </c>
      <c r="G11" s="167" t="n">
        <v>0.220455719219141</v>
      </c>
      <c r="H11" s="167" t="n">
        <v>4.05684652448753</v>
      </c>
      <c r="I11" s="167" t="n">
        <v>9.23094638552366</v>
      </c>
      <c r="J11" s="167" t="n">
        <v>4.9355797853741</v>
      </c>
      <c r="K11" s="167" t="n">
        <v>3.07321262487664</v>
      </c>
      <c r="L11" s="167" t="n">
        <v>1.44182653277872</v>
      </c>
      <c r="M11" s="167" t="n">
        <v>1</v>
      </c>
      <c r="N11" s="167" t="n">
        <v>1318.05</v>
      </c>
      <c r="O11" s="167" t="n">
        <v>87</v>
      </c>
      <c r="P11" s="167" t="n">
        <v>1872.4</v>
      </c>
      <c r="Q11" s="167" t="n">
        <v>401</v>
      </c>
      <c r="R11" s="167" t="n">
        <v>1416.55</v>
      </c>
      <c r="S11" s="167" t="n">
        <v>123</v>
      </c>
      <c r="T11" s="167" t="n">
        <v>38.0747833880342</v>
      </c>
      <c r="U11" s="167" t="n">
        <v>0.31</v>
      </c>
      <c r="V11" s="167" t="n">
        <f aca="false">U11/(1-U11)</f>
        <v>0.449275362318841</v>
      </c>
      <c r="W11" s="167" t="n">
        <v>0.03</v>
      </c>
      <c r="X11" s="168" t="n">
        <f aca="false">FALSE()</f>
        <v>0</v>
      </c>
      <c r="Y11" s="169" t="s">
        <v>1001</v>
      </c>
      <c r="Z11" s="169" t="s">
        <v>1002</v>
      </c>
      <c r="AA11" s="169" t="s">
        <v>1003</v>
      </c>
      <c r="AB11" s="12" t="s">
        <v>999</v>
      </c>
      <c r="AC11" s="170" t="n">
        <v>1078</v>
      </c>
      <c r="AD11" s="12" t="s">
        <v>1000</v>
      </c>
      <c r="AE11" s="12" t="s">
        <v>947</v>
      </c>
      <c r="AF11" s="170" t="n">
        <v>1078</v>
      </c>
      <c r="AG11" s="167" t="n">
        <v>1</v>
      </c>
      <c r="AH11" s="167" t="n">
        <v>0.03</v>
      </c>
      <c r="AI11" s="171" t="n">
        <v>-9.61</v>
      </c>
      <c r="AJ11" s="172" t="n">
        <f aca="false">-25096.3/(AC11+273) + 8.735 + 0.11*(350-1)/(AC11+273)</f>
        <v>-9.81267579570689</v>
      </c>
      <c r="AK11" s="167" t="n">
        <f aca="false">AI11-AJ11</f>
        <v>0.202675795706886</v>
      </c>
      <c r="AL11" s="167" t="n">
        <f aca="false">8*LOG10(V11)+8.7436*1000000/(AC11*AC11)-27703/AC11+20.273</f>
        <v>-0.681346117097252</v>
      </c>
      <c r="AM11" s="167" t="n">
        <f aca="false">10^(AL11)/(1+10^(AL11))</f>
        <v>0.1723793376391</v>
      </c>
      <c r="AN11" s="167"/>
      <c r="AO11" s="166" t="n">
        <f aca="false">TRUE()</f>
        <v>1</v>
      </c>
      <c r="AP11" s="141" t="n">
        <v>0.249</v>
      </c>
    </row>
    <row r="12" customFormat="false" ht="15" hidden="false" customHeight="false" outlineLevel="0" collapsed="false">
      <c r="A12" s="12" t="s">
        <v>375</v>
      </c>
      <c r="B12" s="12" t="s">
        <v>948</v>
      </c>
      <c r="C12" s="167" t="n">
        <v>48.3213319927627</v>
      </c>
      <c r="D12" s="167" t="n">
        <v>2.61797610435395</v>
      </c>
      <c r="E12" s="167" t="n">
        <v>15.169159305811</v>
      </c>
      <c r="F12" s="167" t="n">
        <v>11.9532938481646</v>
      </c>
      <c r="G12" s="167" t="n">
        <v>0.28535692316485</v>
      </c>
      <c r="H12" s="167" t="n">
        <v>3.89655973685913</v>
      </c>
      <c r="I12" s="167" t="n">
        <v>7.45071372600923</v>
      </c>
      <c r="J12" s="167" t="n">
        <v>5.31706512796835</v>
      </c>
      <c r="K12" s="167" t="n">
        <v>3.39999338237395</v>
      </c>
      <c r="L12" s="167" t="n">
        <v>1.57021038034806</v>
      </c>
      <c r="M12" s="167" t="n">
        <v>0.7329</v>
      </c>
      <c r="N12" s="167" t="n">
        <v>642.9</v>
      </c>
      <c r="O12" s="167" t="n">
        <v>58</v>
      </c>
      <c r="P12" s="167" t="n">
        <v>1477.65</v>
      </c>
      <c r="Q12" s="167" t="n">
        <v>383</v>
      </c>
      <c r="R12" s="167" t="n">
        <v>1774.4</v>
      </c>
      <c r="S12" s="167" t="n">
        <v>102</v>
      </c>
      <c r="T12" s="167" t="n">
        <v>36.7648080088544</v>
      </c>
      <c r="U12" s="167" t="n">
        <v>0.29</v>
      </c>
      <c r="V12" s="167" t="n">
        <f aca="false">U12/(1-U12)</f>
        <v>0.408450704225352</v>
      </c>
      <c r="W12" s="167" t="n">
        <v>0.03</v>
      </c>
      <c r="X12" s="168" t="n">
        <f aca="false">FALSE()</f>
        <v>0</v>
      </c>
      <c r="Y12" s="169" t="s">
        <v>1004</v>
      </c>
      <c r="Z12" s="169" t="s">
        <v>1005</v>
      </c>
      <c r="AA12" s="169" t="s">
        <v>1006</v>
      </c>
      <c r="AB12" s="12" t="s">
        <v>999</v>
      </c>
      <c r="AC12" s="170" t="n">
        <v>1114</v>
      </c>
      <c r="AD12" s="12" t="s">
        <v>1000</v>
      </c>
      <c r="AE12" s="12" t="s">
        <v>948</v>
      </c>
      <c r="AF12" s="170" t="n">
        <v>1114</v>
      </c>
      <c r="AG12" s="167" t="n">
        <v>0.7329</v>
      </c>
      <c r="AH12" s="167" t="n">
        <v>0.03</v>
      </c>
      <c r="AI12" s="171" t="n">
        <v>-9.19</v>
      </c>
      <c r="AJ12" s="172" t="n">
        <f aca="false">-25096.3/(AC12+273) + 8.735 + 0.11*(350-1)/(AC12+273)</f>
        <v>-9.33126532083634</v>
      </c>
      <c r="AK12" s="167" t="n">
        <f aca="false">AI12-AJ12</f>
        <v>0.141265320836339</v>
      </c>
      <c r="AL12" s="167" t="n">
        <f aca="false">8*LOG10(V12)+8.7436*1000000/(AC12*AC12)-27703/AC12+20.273</f>
        <v>-0.6602948046657</v>
      </c>
      <c r="AM12" s="167" t="n">
        <f aca="false">10^(AL12)/(1+10^(AL12))</f>
        <v>0.179404836994331</v>
      </c>
      <c r="AN12" s="167"/>
      <c r="AO12" s="166" t="n">
        <f aca="false">TRUE()</f>
        <v>1</v>
      </c>
      <c r="AP12" s="141" t="n">
        <v>0.258</v>
      </c>
    </row>
    <row r="13" customFormat="false" ht="15" hidden="false" customHeight="false" outlineLevel="0" collapsed="false">
      <c r="A13" s="12" t="s">
        <v>930</v>
      </c>
      <c r="B13" s="12" t="s">
        <v>949</v>
      </c>
      <c r="C13" s="167" t="n">
        <v>45.3901379346064</v>
      </c>
      <c r="D13" s="167" t="n">
        <v>3.40834223851511</v>
      </c>
      <c r="E13" s="167" t="n">
        <v>15.9188984583913</v>
      </c>
      <c r="F13" s="167" t="n">
        <v>11.9256519580321</v>
      </c>
      <c r="G13" s="167" t="n">
        <v>0.205619501371159</v>
      </c>
      <c r="H13" s="167" t="n">
        <v>4.52573794812827</v>
      </c>
      <c r="I13" s="167" t="n">
        <v>11.3584564043755</v>
      </c>
      <c r="J13" s="167" t="n">
        <v>3.9351065267186</v>
      </c>
      <c r="K13" s="167" t="n">
        <v>2.35671582340789</v>
      </c>
      <c r="L13" s="167" t="n">
        <v>0.962783077008483</v>
      </c>
      <c r="M13" s="167" t="n">
        <v>0.8787</v>
      </c>
      <c r="N13" s="167" t="n">
        <v>918.05</v>
      </c>
      <c r="O13" s="167" t="n">
        <v>67</v>
      </c>
      <c r="P13" s="167" t="n">
        <v>1437.2</v>
      </c>
      <c r="Q13" s="167" t="n">
        <v>317</v>
      </c>
      <c r="R13" s="167" t="n">
        <v>1293.8</v>
      </c>
      <c r="S13" s="167" t="n">
        <v>123</v>
      </c>
      <c r="T13" s="167" t="n">
        <v>40.3661224369324</v>
      </c>
      <c r="U13" s="167" t="n">
        <v>0.51</v>
      </c>
      <c r="V13" s="167" t="n">
        <f aca="false">U13/(1-U13)</f>
        <v>1.04081632653061</v>
      </c>
      <c r="W13" s="167" t="n">
        <v>0.03</v>
      </c>
      <c r="X13" s="168" t="n">
        <f aca="false">FALSE()</f>
        <v>0</v>
      </c>
      <c r="Y13" s="169" t="s">
        <v>999</v>
      </c>
      <c r="Z13" s="169" t="s">
        <v>1007</v>
      </c>
      <c r="AA13" s="169" t="s">
        <v>1008</v>
      </c>
      <c r="AB13" s="12" t="s">
        <v>999</v>
      </c>
      <c r="AC13" s="170" t="n">
        <v>1086</v>
      </c>
      <c r="AD13" s="12" t="s">
        <v>1000</v>
      </c>
      <c r="AE13" s="12" t="s">
        <v>949</v>
      </c>
      <c r="AF13" s="170" t="n">
        <v>1086</v>
      </c>
      <c r="AG13" s="167" t="n">
        <v>0.8787</v>
      </c>
      <c r="AH13" s="167" t="n">
        <v>0.03</v>
      </c>
      <c r="AI13" s="171" t="n">
        <v>-9.67</v>
      </c>
      <c r="AJ13" s="172" t="n">
        <f aca="false">-25096.3/(AC13+273) + 8.735 + 0.11*(350-1)/(AC13+273)</f>
        <v>-9.70349153789551</v>
      </c>
      <c r="AK13" s="167" t="n">
        <f aca="false">AI13-AJ13</f>
        <v>0.0334915378955092</v>
      </c>
      <c r="AL13" s="167" t="n">
        <f aca="false">8*LOG10(V13)+8.7436*1000000/(AC13*AC13)-27703/AC13+20.273</f>
        <v>2.31640994480492</v>
      </c>
      <c r="AM13" s="167" t="n">
        <f aca="false">10^(AL13)/(1+10^(AL13))</f>
        <v>0.995197148287165</v>
      </c>
      <c r="AN13" s="167"/>
      <c r="AO13" s="166" t="n">
        <f aca="false">FALSE()</f>
        <v>0</v>
      </c>
      <c r="AP13" s="141" t="n">
        <v>0.2</v>
      </c>
    </row>
    <row r="14" customFormat="false" ht="15" hidden="false" customHeight="false" outlineLevel="0" collapsed="false">
      <c r="A14" s="12" t="s">
        <v>931</v>
      </c>
      <c r="B14" s="12" t="s">
        <v>951</v>
      </c>
      <c r="C14" s="167" t="n">
        <v>56.0945156385155</v>
      </c>
      <c r="D14" s="167" t="n">
        <v>1.15385520794542</v>
      </c>
      <c r="E14" s="167" t="n">
        <v>17.8105819095124</v>
      </c>
      <c r="F14" s="167" t="n">
        <v>7.91095740893473</v>
      </c>
      <c r="G14" s="167" t="n">
        <v>0.19750301024869</v>
      </c>
      <c r="H14" s="167" t="n">
        <v>1.44796824935592</v>
      </c>
      <c r="I14" s="167" t="n">
        <v>3.87876415900584</v>
      </c>
      <c r="J14" s="167" t="n">
        <v>6.76298218034405</v>
      </c>
      <c r="K14" s="167" t="n">
        <v>4.25733320017825</v>
      </c>
      <c r="L14" s="167" t="n">
        <v>0.465493180416537</v>
      </c>
      <c r="M14" s="167" t="n">
        <v>1.53</v>
      </c>
      <c r="N14" s="167" t="n">
        <v>393.35</v>
      </c>
      <c r="O14" s="167" t="n">
        <v>71</v>
      </c>
      <c r="P14" s="167" t="n">
        <v>1230.65</v>
      </c>
      <c r="Q14" s="167" t="n">
        <v>386</v>
      </c>
      <c r="R14" s="167" t="n">
        <v>1240.3</v>
      </c>
      <c r="S14" s="167" t="n">
        <v>84</v>
      </c>
      <c r="T14" s="167" t="n">
        <v>24.6062851375287</v>
      </c>
      <c r="U14" s="167" t="n">
        <v>0.19</v>
      </c>
      <c r="V14" s="167" t="n">
        <f aca="false">U14/(1-U14)</f>
        <v>0.234567901234568</v>
      </c>
      <c r="W14" s="167" t="n">
        <v>0.03</v>
      </c>
      <c r="X14" s="168" t="n">
        <f aca="false">FALSE()</f>
        <v>0</v>
      </c>
      <c r="Y14" s="169" t="s">
        <v>1009</v>
      </c>
      <c r="Z14" s="169" t="s">
        <v>1010</v>
      </c>
      <c r="AA14" s="169" t="s">
        <v>1002</v>
      </c>
      <c r="AB14" s="12" t="s">
        <v>999</v>
      </c>
      <c r="AC14" s="170" t="n">
        <v>997</v>
      </c>
      <c r="AD14" s="12" t="s">
        <v>1000</v>
      </c>
      <c r="AE14" s="12" t="s">
        <v>951</v>
      </c>
      <c r="AF14" s="170" t="n">
        <v>997</v>
      </c>
      <c r="AG14" s="167" t="n">
        <v>1.53</v>
      </c>
      <c r="AH14" s="167" t="n">
        <v>0.03</v>
      </c>
      <c r="AI14" s="171" t="n">
        <v>-10.63</v>
      </c>
      <c r="AJ14" s="172" t="n">
        <f aca="false">-25096.3/(AC14+273) + 8.735 + 0.11*(350-1)/(AC14+273)</f>
        <v>-10.9956377952756</v>
      </c>
      <c r="AK14" s="167" t="n">
        <f aca="false">AI14-AJ14</f>
        <v>0.365637795275589</v>
      </c>
      <c r="AL14" s="167" t="n">
        <f aca="false">8*LOG10(V14)+8.7436*1000000/(AC14*AC14)-27703/AC14+20.273</f>
        <v>-3.75491179557551</v>
      </c>
      <c r="AM14" s="167" t="n">
        <f aca="false">10^(AL14)/(1+10^(AL14))</f>
        <v>0.000175797158057986</v>
      </c>
      <c r="AN14" s="167"/>
      <c r="AO14" s="166" t="n">
        <f aca="false">TRUE()</f>
        <v>1</v>
      </c>
      <c r="AP14" s="141" t="n">
        <v>0.442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Charles Le Losq</cp:lastModifiedBy>
  <dcterms:modified xsi:type="dcterms:W3CDTF">2025-11-25T07:49:11Z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