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_rels/sheet17.xml.rels" ContentType="application/vnd.openxmlformats-package.relationships+xml"/>
  <Override PartName="/xl/worksheets/_rels/sheet1.xml.rels" ContentType="application/vnd.openxmlformats-package.relationships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ml.chartshape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4.xml" ContentType="application/vnd.openxmlformats-officedocument.drawingml.chartshap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harts/_rels/chart48.xml.rels" ContentType="application/vnd.openxmlformats-package.relationships+xml"/>
  <Override PartName="/xl/charts/_rels/chart47.xml.rels" ContentType="application/vnd.openxmlformats-package.relationships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nalyses" sheetId="1" state="visible" r:id="rId2"/>
    <sheet name="volatils finalisés" sheetId="2" state="visible" r:id="rId3"/>
    <sheet name="GFL-PL778-08-PBT01" sheetId="3" state="visible" r:id="rId4"/>
    <sheet name="MAYOBS02-DR08-vrac2" sheetId="4" state="visible" r:id="rId5"/>
    <sheet name="GFL-PL780-11-07" sheetId="5" state="visible" r:id="rId6"/>
    <sheet name="MAY01-DR03-02" sheetId="6" state="visible" r:id="rId7"/>
    <sheet name="MAY01-DR04-06" sheetId="7" state="visible" r:id="rId8"/>
    <sheet name="MAY01-DR05-04" sheetId="8" state="visible" r:id="rId9"/>
    <sheet name="MAY02-DR06-02-01" sheetId="9" state="visible" r:id="rId10"/>
    <sheet name="MAY04-DR09-01-05a" sheetId="10" state="visible" r:id="rId11"/>
    <sheet name="GFL-DR22-02-03" sheetId="11" state="visible" r:id="rId12"/>
    <sheet name="GFL-DR21-01" sheetId="12" state="visible" r:id="rId13"/>
    <sheet name="MAY02-DR07-02-07" sheetId="13" state="visible" r:id="rId14"/>
    <sheet name="MAY15-DR13-01" sheetId="14" state="visible" r:id="rId15"/>
    <sheet name="MAY15-DR17-04-02-3" sheetId="15" state="visible" r:id="rId16"/>
    <sheet name="volatils sonde brut" sheetId="16" state="visible" r:id="rId17"/>
    <sheet name="Raman" sheetId="17" state="visible" r:id="rId1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<sst xmlns="http://schemas.openxmlformats.org/spreadsheetml/2006/main" count="3154" uniqueCount="577">
  <si>
    <t xml:space="preserve">sample</t>
  </si>
  <si>
    <t xml:space="preserve">GFL-PL-778-08-PBT01</t>
  </si>
  <si>
    <t xml:space="preserve">MAYOBS02-DR08-vrac2</t>
  </si>
  <si>
    <t xml:space="preserve">GFL-PL-780-11-07</t>
  </si>
  <si>
    <t xml:space="preserve">MAY01-DR03-02</t>
  </si>
  <si>
    <t xml:space="preserve">MAY01-DR04-06</t>
  </si>
  <si>
    <t xml:space="preserve">MAY01-DR05-04</t>
  </si>
  <si>
    <t xml:space="preserve">MAY02-DR06-02-01</t>
  </si>
  <si>
    <t xml:space="preserve">MAY04-DR09-01-05a</t>
  </si>
  <si>
    <t xml:space="preserve">GFL-DR22-02-03</t>
  </si>
  <si>
    <t xml:space="preserve">GFL-DR21-01</t>
  </si>
  <si>
    <t xml:space="preserve">MAY02-DR07-07-02</t>
  </si>
  <si>
    <t xml:space="preserve">MAY15-DR13-01</t>
  </si>
  <si>
    <t xml:space="preserve">MAY15-DR17-04-02(3)</t>
  </si>
  <si>
    <t xml:space="preserve">glass</t>
  </si>
  <si>
    <t xml:space="preserve">SiO2</t>
  </si>
  <si>
    <t xml:space="preserve">TiO2</t>
  </si>
  <si>
    <t xml:space="preserve">Al2O3</t>
  </si>
  <si>
    <t xml:space="preserve">FeO</t>
  </si>
  <si>
    <t xml:space="preserve">MnO</t>
  </si>
  <si>
    <t xml:space="preserve">MgO</t>
  </si>
  <si>
    <t xml:space="preserve">CaO</t>
  </si>
  <si>
    <t xml:space="preserve">Na2O</t>
  </si>
  <si>
    <t xml:space="preserve">K2O</t>
  </si>
  <si>
    <t xml:space="preserve">P2O5</t>
  </si>
  <si>
    <t xml:space="preserve">H2O</t>
  </si>
  <si>
    <t xml:space="preserve">S (ppm)</t>
  </si>
  <si>
    <t xml:space="preserve">F (ppm)</t>
  </si>
  <si>
    <t xml:space="preserve">Cl (ppm)</t>
  </si>
  <si>
    <t xml:space="preserve">Mg#</t>
  </si>
  <si>
    <t xml:space="preserve">magnétite</t>
  </si>
  <si>
    <t xml:space="preserve">Cr2O3</t>
  </si>
  <si>
    <t xml:space="preserve">olivine</t>
  </si>
  <si>
    <t xml:space="preserve">plagioclase</t>
  </si>
  <si>
    <t xml:space="preserve">anorthose</t>
  </si>
  <si>
    <t xml:space="preserve">clinopyroxène</t>
  </si>
  <si>
    <t xml:space="preserve">amphibole</t>
  </si>
  <si>
    <t xml:space="preserve">apatite</t>
  </si>
  <si>
    <t xml:space="preserve">présent</t>
  </si>
  <si>
    <t xml:space="preserve">liquide sulfuré</t>
  </si>
  <si>
    <t xml:space="preserve">T Beattie</t>
  </si>
  <si>
    <t xml:space="preserve">T corr H2O</t>
  </si>
  <si>
    <t xml:space="preserve">T corr H2O - H2O estimée</t>
  </si>
  <si>
    <t xml:space="preserve">moyenne (ppm)</t>
  </si>
  <si>
    <t xml:space="preserve">dispersion 2 sig</t>
  </si>
  <si>
    <t xml:space="preserve">analytical error 2 sig</t>
  </si>
  <si>
    <t xml:space="preserve">detection limit</t>
  </si>
  <si>
    <t xml:space="preserve">S</t>
  </si>
  <si>
    <t xml:space="preserve">F</t>
  </si>
  <si>
    <t xml:space="preserve">Cl</t>
  </si>
  <si>
    <t xml:space="preserve">Fani Maore (basanites)</t>
  </si>
  <si>
    <t xml:space="preserve">GFL-PL-777-08-PBT01</t>
  </si>
  <si>
    <t xml:space="preserve">phase 1</t>
  </si>
  <si>
    <t xml:space="preserve">MAY02-DR08-vrac02</t>
  </si>
  <si>
    <t xml:space="preserve">phase 2</t>
  </si>
  <si>
    <t xml:space="preserve">phase 3</t>
  </si>
  <si>
    <t xml:space="preserve">GFL-PL-777-08-ASPI06</t>
  </si>
  <si>
    <t xml:space="preserve">Basanites ride sous-marine</t>
  </si>
  <si>
    <t xml:space="preserve">Basanite hors-ride</t>
  </si>
  <si>
    <t xml:space="preserve">Téphriphonolite ride sous-marine</t>
  </si>
  <si>
    <t xml:space="preserve">GFL-DR21-01-06</t>
  </si>
  <si>
    <t xml:space="preserve">Phonolites ride sous-marine</t>
  </si>
  <si>
    <t xml:space="preserve">MAY15-DR13-01-01</t>
  </si>
  <si>
    <t xml:space="preserve">Phonolite Petite Terre</t>
  </si>
  <si>
    <t xml:space="preserve">MAY181217_21</t>
  </si>
  <si>
    <t xml:space="preserve">Oxide</t>
  </si>
  <si>
    <t xml:space="preserve">normalisé</t>
  </si>
  <si>
    <t xml:space="preserve">Setup</t>
  </si>
  <si>
    <t xml:space="preserve">Comment</t>
  </si>
  <si>
    <t xml:space="preserve">Total</t>
  </si>
  <si>
    <t xml:space="preserve">28 / 1 . </t>
  </si>
  <si>
    <t xml:space="preserve">silicate8_20</t>
  </si>
  <si>
    <t xml:space="preserve">28 / 2 . </t>
  </si>
  <si>
    <t xml:space="preserve">28 / 3 . </t>
  </si>
  <si>
    <t xml:space="preserve">28 / 4 . </t>
  </si>
  <si>
    <t xml:space="preserve">28 / 5 . </t>
  </si>
  <si>
    <t xml:space="preserve">28 / 6 . </t>
  </si>
  <si>
    <t xml:space="preserve">28 / 7 . </t>
  </si>
  <si>
    <t xml:space="preserve">28 / 8 . </t>
  </si>
  <si>
    <t xml:space="preserve">28 / 9 . </t>
  </si>
  <si>
    <t xml:space="preserve">28 / 10 . </t>
  </si>
  <si>
    <t xml:space="preserve">sigma</t>
  </si>
  <si>
    <t xml:space="preserve">silicate15</t>
  </si>
  <si>
    <t xml:space="preserve">GFL-PL-778-08-PBT01 magnétite</t>
  </si>
  <si>
    <t xml:space="preserve">29 / 1 . </t>
  </si>
  <si>
    <t xml:space="preserve">30 / 1 . </t>
  </si>
  <si>
    <t xml:space="preserve">38 / 1 . </t>
  </si>
  <si>
    <t xml:space="preserve">39 / 1 . </t>
  </si>
  <si>
    <t xml:space="preserve">40 / 1 . </t>
  </si>
  <si>
    <t xml:space="preserve">25 / 1 . </t>
  </si>
  <si>
    <t xml:space="preserve">GFL-PL-778-08-PBT01 olivine</t>
  </si>
  <si>
    <t xml:space="preserve">26 / 1 . </t>
  </si>
  <si>
    <t xml:space="preserve">27 / 1 . </t>
  </si>
  <si>
    <t xml:space="preserve">36 / 1 . </t>
  </si>
  <si>
    <t xml:space="preserve">37 / 1 . </t>
  </si>
  <si>
    <t xml:space="preserve">31 / 1 . </t>
  </si>
  <si>
    <t xml:space="preserve">GFL-PL-778-08-PBT01 plagioclase</t>
  </si>
  <si>
    <t xml:space="preserve">32 / 1 . </t>
  </si>
  <si>
    <t xml:space="preserve">33 / 1 . </t>
  </si>
  <si>
    <t xml:space="preserve">34 / 1 . </t>
  </si>
  <si>
    <t xml:space="preserve">35 / 1 . </t>
  </si>
  <si>
    <t xml:space="preserve">53 / 1 . </t>
  </si>
  <si>
    <t xml:space="preserve">MAY04-DR08-02</t>
  </si>
  <si>
    <t xml:space="preserve">54 / 1 . </t>
  </si>
  <si>
    <t xml:space="preserve">55 / 1 . </t>
  </si>
  <si>
    <t xml:space="preserve">56 / 1 . </t>
  </si>
  <si>
    <t xml:space="preserve">57 / 1 . </t>
  </si>
  <si>
    <t xml:space="preserve">58 / 1 . </t>
  </si>
  <si>
    <t xml:space="preserve">59 / 1 . </t>
  </si>
  <si>
    <t xml:space="preserve">60 / 1 . </t>
  </si>
  <si>
    <t xml:space="preserve">61 / 1 . </t>
  </si>
  <si>
    <t xml:space="preserve">62 / 1 . </t>
  </si>
  <si>
    <t xml:space="preserve">67 / 1 . </t>
  </si>
  <si>
    <t xml:space="preserve">68 / 1 . </t>
  </si>
  <si>
    <t xml:space="preserve">72 / 1 . </t>
  </si>
  <si>
    <t xml:space="preserve">73 / 1 . </t>
  </si>
  <si>
    <t xml:space="preserve">74 / 1 . </t>
  </si>
  <si>
    <t xml:space="preserve">63 / 1 . </t>
  </si>
  <si>
    <t xml:space="preserve">64 / 1 . </t>
  </si>
  <si>
    <t xml:space="preserve">65 / 1 . </t>
  </si>
  <si>
    <t xml:space="preserve">66 / 1 . </t>
  </si>
  <si>
    <t xml:space="preserve">69 / 1 . </t>
  </si>
  <si>
    <t xml:space="preserve">70 / 1 . </t>
  </si>
  <si>
    <t xml:space="preserve">71 / 1 . </t>
  </si>
  <si>
    <t xml:space="preserve">8 / 1 . </t>
  </si>
  <si>
    <t xml:space="preserve">8 / 2 . </t>
  </si>
  <si>
    <t xml:space="preserve">8 / 3 . </t>
  </si>
  <si>
    <t xml:space="preserve">8 / 4 . </t>
  </si>
  <si>
    <t xml:space="preserve">8 / 5 . </t>
  </si>
  <si>
    <t xml:space="preserve">19 / 1 . </t>
  </si>
  <si>
    <t xml:space="preserve">GFL-PL-780-11-07 verre</t>
  </si>
  <si>
    <t xml:space="preserve">20 / 1 . </t>
  </si>
  <si>
    <t xml:space="preserve">21 / 1 . </t>
  </si>
  <si>
    <t xml:space="preserve">22 / 1 . </t>
  </si>
  <si>
    <t xml:space="preserve">23 / 1 . </t>
  </si>
  <si>
    <t xml:space="preserve">24 / 1 . </t>
  </si>
  <si>
    <t xml:space="preserve">3 / 1 . </t>
  </si>
  <si>
    <t xml:space="preserve">GFL-PL-780-11-07 magnétite</t>
  </si>
  <si>
    <t xml:space="preserve">4 / 1 . </t>
  </si>
  <si>
    <t xml:space="preserve">5 / 1 . </t>
  </si>
  <si>
    <t xml:space="preserve">16 / 1 . </t>
  </si>
  <si>
    <t xml:space="preserve">17 / 1 . </t>
  </si>
  <si>
    <t xml:space="preserve">18 / 1 . </t>
  </si>
  <si>
    <t xml:space="preserve">6 / 1 . </t>
  </si>
  <si>
    <t xml:space="preserve">GFL-PL-780-11-07 olivine</t>
  </si>
  <si>
    <t xml:space="preserve">7 / 1 . </t>
  </si>
  <si>
    <t xml:space="preserve">9 / 1 . </t>
  </si>
  <si>
    <t xml:space="preserve">10 / 1 . </t>
  </si>
  <si>
    <t xml:space="preserve">11 / 1 . </t>
  </si>
  <si>
    <t xml:space="preserve">12 / 1 . </t>
  </si>
  <si>
    <t xml:space="preserve">13 / 1 . </t>
  </si>
  <si>
    <t xml:space="preserve">1 / 1 . </t>
  </si>
  <si>
    <t xml:space="preserve">GFL-PL-780-11-07 plagioclase</t>
  </si>
  <si>
    <t xml:space="preserve">2 / 1 . </t>
  </si>
  <si>
    <t xml:space="preserve">14 / 1 . </t>
  </si>
  <si>
    <t xml:space="preserve">15 / 1 . </t>
  </si>
  <si>
    <t xml:space="preserve">DR03-02 verre 20 µm 8 nA</t>
  </si>
  <si>
    <t xml:space="preserve">DR03-02 magnetite</t>
  </si>
  <si>
    <t xml:space="preserve">DR03-02 olivine</t>
  </si>
  <si>
    <t xml:space="preserve">92 / 1 . </t>
  </si>
  <si>
    <t xml:space="preserve">DR04-06</t>
  </si>
  <si>
    <t xml:space="preserve">93 / 1 . </t>
  </si>
  <si>
    <t xml:space="preserve">94 / 1 . </t>
  </si>
  <si>
    <t xml:space="preserve">95 / 1 . </t>
  </si>
  <si>
    <t xml:space="preserve">97 / 1 . </t>
  </si>
  <si>
    <t xml:space="preserve">98 / 1 . </t>
  </si>
  <si>
    <t xml:space="preserve">99 / 1 . </t>
  </si>
  <si>
    <t xml:space="preserve">100 / 1 . </t>
  </si>
  <si>
    <t xml:space="preserve">101 / 1 . </t>
  </si>
  <si>
    <t xml:space="preserve">102 / 1 . </t>
  </si>
  <si>
    <t xml:space="preserve">103 / 1 . </t>
  </si>
  <si>
    <t xml:space="preserve">90 / 1 . </t>
  </si>
  <si>
    <t xml:space="preserve">91 / 1 . </t>
  </si>
  <si>
    <t xml:space="preserve">86 / 1 . </t>
  </si>
  <si>
    <t xml:space="preserve">96 / 1 . </t>
  </si>
  <si>
    <t xml:space="preserve">87 / 1 . </t>
  </si>
  <si>
    <t xml:space="preserve">88 / 1 . </t>
  </si>
  <si>
    <t xml:space="preserve">89 / 1 . </t>
  </si>
  <si>
    <t xml:space="preserve">DR05-04 verre 20 µm 8 nA</t>
  </si>
  <si>
    <t xml:space="preserve">50 / 1 . </t>
  </si>
  <si>
    <t xml:space="preserve">DR05-04</t>
  </si>
  <si>
    <t xml:space="preserve">45 / 1 . </t>
  </si>
  <si>
    <t xml:space="preserve">44 / 1 . </t>
  </si>
  <si>
    <t xml:space="preserve">51 / 1 . </t>
  </si>
  <si>
    <t xml:space="preserve">48 / 1 . </t>
  </si>
  <si>
    <t xml:space="preserve">52 / 1 . </t>
  </si>
  <si>
    <t xml:space="preserve">42 / 1 . </t>
  </si>
  <si>
    <t xml:space="preserve">46 / 1 . </t>
  </si>
  <si>
    <t xml:space="preserve">47 / 1 . </t>
  </si>
  <si>
    <t xml:space="preserve">49 / 1 . </t>
  </si>
  <si>
    <t xml:space="preserve">43 / 1 . </t>
  </si>
  <si>
    <t xml:space="preserve">41 / 1 . </t>
  </si>
  <si>
    <t xml:space="preserve">DR06-02-01 verre 20 µm 8 nA</t>
  </si>
  <si>
    <t xml:space="preserve">DR06-02-01 minéraux</t>
  </si>
  <si>
    <t xml:space="preserve">DR06-02-01 ol rim</t>
  </si>
  <si>
    <t xml:space="preserve">DR09-01-05a glass 20µm</t>
  </si>
  <si>
    <t xml:space="preserve">DR09-01-05a</t>
  </si>
  <si>
    <t xml:space="preserve">80 / 1 . </t>
  </si>
  <si>
    <t xml:space="preserve">75 / 1 . </t>
  </si>
  <si>
    <t xml:space="preserve">82 / 1 . </t>
  </si>
  <si>
    <t xml:space="preserve">81 / 1 . </t>
  </si>
  <si>
    <t xml:space="preserve">79 / 1 . </t>
  </si>
  <si>
    <t xml:space="preserve">77 / 1 . </t>
  </si>
  <si>
    <t xml:space="preserve">78 / 1 . </t>
  </si>
  <si>
    <t xml:space="preserve">76 / 1 . </t>
  </si>
  <si>
    <t xml:space="preserve">23 / 2 . </t>
  </si>
  <si>
    <t xml:space="preserve">23 / 3 . </t>
  </si>
  <si>
    <t xml:space="preserve">23 / 4 . </t>
  </si>
  <si>
    <t xml:space="preserve">23 / 5 . </t>
  </si>
  <si>
    <t xml:space="preserve">GFL-DR22-02-03 verre</t>
  </si>
  <si>
    <t xml:space="preserve">GFL-DR22-02-03 magnétite</t>
  </si>
  <si>
    <t xml:space="preserve">GFL-DR22-02-03 olivine</t>
  </si>
  <si>
    <t xml:space="preserve">GFL-DR22-02-03 olivine bord</t>
  </si>
  <si>
    <t xml:space="preserve">GFL-DR22-02-03 olivine coeur</t>
  </si>
  <si>
    <t xml:space="preserve">GFL-DR21-01 magnétite</t>
  </si>
  <si>
    <t xml:space="preserve">silicate8_10</t>
  </si>
  <si>
    <t xml:space="preserve">GLF-DR21-01 olivine</t>
  </si>
  <si>
    <t xml:space="preserve">GFL-DR21-01 olivine</t>
  </si>
  <si>
    <t xml:space="preserve">GFL-DR21-01 apatite</t>
  </si>
  <si>
    <t xml:space="preserve">135 / 1 . </t>
  </si>
  <si>
    <t xml:space="preserve">glass8_20</t>
  </si>
  <si>
    <t xml:space="preserve">DR07-02-07</t>
  </si>
  <si>
    <t xml:space="preserve">136 / 1 . </t>
  </si>
  <si>
    <t xml:space="preserve">141 / 1 . </t>
  </si>
  <si>
    <t xml:space="preserve">142 / 1 . </t>
  </si>
  <si>
    <t xml:space="preserve">137 / 1 . </t>
  </si>
  <si>
    <t xml:space="preserve">140 / 1 . </t>
  </si>
  <si>
    <t xml:space="preserve">138 / 1 . </t>
  </si>
  <si>
    <t xml:space="preserve">143 / 1 . </t>
  </si>
  <si>
    <t xml:space="preserve">139 / 1 . </t>
  </si>
  <si>
    <t xml:space="preserve">134 / 1 . </t>
  </si>
  <si>
    <t xml:space="preserve">144 / 1 . </t>
  </si>
  <si>
    <t xml:space="preserve">162 / 1 . </t>
  </si>
  <si>
    <t xml:space="preserve">164 / 1 . </t>
  </si>
  <si>
    <t xml:space="preserve">163 / 1 . </t>
  </si>
  <si>
    <t xml:space="preserve">152 / 1 . </t>
  </si>
  <si>
    <t xml:space="preserve">160 / 1 . </t>
  </si>
  <si>
    <t xml:space="preserve">165 / 1 . </t>
  </si>
  <si>
    <t xml:space="preserve">150 / 1 . </t>
  </si>
  <si>
    <t xml:space="preserve">151 / 1 . </t>
  </si>
  <si>
    <t xml:space="preserve">145 / 1 . </t>
  </si>
  <si>
    <t xml:space="preserve">158 / 1 . </t>
  </si>
  <si>
    <t xml:space="preserve">153 / 1 . </t>
  </si>
  <si>
    <t xml:space="preserve">159 / 1 . </t>
  </si>
  <si>
    <t xml:space="preserve">147 / 1 . </t>
  </si>
  <si>
    <t xml:space="preserve">157 / 1 . </t>
  </si>
  <si>
    <t xml:space="preserve">146 / 1 . </t>
  </si>
  <si>
    <t xml:space="preserve">156 / 1 . </t>
  </si>
  <si>
    <t xml:space="preserve">148 / 1 . </t>
  </si>
  <si>
    <t xml:space="preserve">149 / 1 . </t>
  </si>
  <si>
    <t xml:space="preserve">154 / 1 . </t>
  </si>
  <si>
    <t xml:space="preserve">167 / 1 . </t>
  </si>
  <si>
    <t xml:space="preserve">166 / 1 . </t>
  </si>
  <si>
    <t xml:space="preserve">DR13-01</t>
  </si>
  <si>
    <t xml:space="preserve">silicate15PNi</t>
  </si>
  <si>
    <t xml:space="preserve">MAY15-DR17-04-02(1)</t>
  </si>
  <si>
    <t xml:space="preserve">silicate15b</t>
  </si>
  <si>
    <t xml:space="preserve">Weight%</t>
  </si>
  <si>
    <t xml:space="preserve">StdDev wt%</t>
  </si>
  <si>
    <t xml:space="preserve">Det.Lim ppm(A)</t>
  </si>
  <si>
    <t xml:space="preserve">S </t>
  </si>
  <si>
    <t xml:space="preserve">F </t>
  </si>
  <si>
    <t xml:space="preserve">O </t>
  </si>
  <si>
    <t xml:space="preserve">Na</t>
  </si>
  <si>
    <t xml:space="preserve">Mg</t>
  </si>
  <si>
    <t xml:space="preserve">Al</t>
  </si>
  <si>
    <t xml:space="preserve">Si</t>
  </si>
  <si>
    <t xml:space="preserve">P </t>
  </si>
  <si>
    <t xml:space="preserve">K </t>
  </si>
  <si>
    <t xml:space="preserve">Ca</t>
  </si>
  <si>
    <t xml:space="preserve">Ti</t>
  </si>
  <si>
    <t xml:space="preserve">Mn</t>
  </si>
  <si>
    <t xml:space="preserve">Fe</t>
  </si>
  <si>
    <t xml:space="preserve"> X </t>
  </si>
  <si>
    <t xml:space="preserve"> Y </t>
  </si>
  <si>
    <t xml:space="preserve"> Z </t>
  </si>
  <si>
    <t xml:space="preserve">Distance (µ)</t>
  </si>
  <si>
    <t xml:space="preserve">Alvine</t>
  </si>
  <si>
    <t xml:space="preserve"> </t>
  </si>
  <si>
    <t xml:space="preserve">1 / 2 . </t>
  </si>
  <si>
    <t xml:space="preserve">1 / 3 . </t>
  </si>
  <si>
    <t xml:space="preserve">1 / 4 . </t>
  </si>
  <si>
    <t xml:space="preserve">1 / 5 . </t>
  </si>
  <si>
    <t xml:space="preserve">KE12test</t>
  </si>
  <si>
    <t xml:space="preserve">2 / 2 . </t>
  </si>
  <si>
    <t xml:space="preserve">2 / 3 . </t>
  </si>
  <si>
    <t xml:space="preserve">2 / 4 . </t>
  </si>
  <si>
    <t xml:space="preserve">2 / 5 . </t>
  </si>
  <si>
    <t xml:space="preserve">3 / 2 . </t>
  </si>
  <si>
    <t xml:space="preserve">Etienne</t>
  </si>
  <si>
    <t xml:space="preserve">3 / 3 . </t>
  </si>
  <si>
    <t xml:space="preserve">3 / 4 . </t>
  </si>
  <si>
    <t xml:space="preserve">3 / 5 . </t>
  </si>
  <si>
    <t xml:space="preserve">4 / 2 . </t>
  </si>
  <si>
    <t xml:space="preserve">4 / 3 . </t>
  </si>
  <si>
    <t xml:space="preserve">4 / 4 . </t>
  </si>
  <si>
    <t xml:space="preserve">4 / 5 . </t>
  </si>
  <si>
    <t xml:space="preserve">5 / 2 . </t>
  </si>
  <si>
    <t xml:space="preserve">5 / 3 . </t>
  </si>
  <si>
    <t xml:space="preserve">5 / 4 . </t>
  </si>
  <si>
    <t xml:space="preserve">5 / 5 . </t>
  </si>
  <si>
    <t xml:space="preserve">6 / 2 . </t>
  </si>
  <si>
    <t xml:space="preserve">6 / 3 . </t>
  </si>
  <si>
    <t xml:space="preserve">6 / 4 . </t>
  </si>
  <si>
    <t xml:space="preserve">6 / 5 . </t>
  </si>
  <si>
    <t xml:space="preserve">7 / 2 . </t>
  </si>
  <si>
    <t xml:space="preserve">7 / 3 . </t>
  </si>
  <si>
    <t xml:space="preserve">7 / 4 . </t>
  </si>
  <si>
    <t xml:space="preserve">7 / 5 . </t>
  </si>
  <si>
    <t xml:space="preserve">9 / 2 . </t>
  </si>
  <si>
    <t xml:space="preserve">9 / 3 . </t>
  </si>
  <si>
    <t xml:space="preserve">9 / 4 . </t>
  </si>
  <si>
    <t xml:space="preserve">9 / 5 . </t>
  </si>
  <si>
    <t xml:space="preserve">10 / 2 . </t>
  </si>
  <si>
    <t xml:space="preserve">10 / 3 . </t>
  </si>
  <si>
    <t xml:space="preserve">10 / 4 . </t>
  </si>
  <si>
    <t xml:space="preserve">10 / 5 . </t>
  </si>
  <si>
    <t xml:space="preserve">11 / 2 . </t>
  </si>
  <si>
    <t xml:space="preserve">11 / 3 . </t>
  </si>
  <si>
    <t xml:space="preserve">11 / 4 . </t>
  </si>
  <si>
    <t xml:space="preserve">11 / 5 . </t>
  </si>
  <si>
    <t xml:space="preserve">12 / 2 . </t>
  </si>
  <si>
    <t xml:space="preserve">12 / 3 . </t>
  </si>
  <si>
    <t xml:space="preserve">12 / 4 . </t>
  </si>
  <si>
    <t xml:space="preserve">12 / 5 . </t>
  </si>
  <si>
    <t xml:space="preserve">13 / 2 . </t>
  </si>
  <si>
    <t xml:space="preserve">13 / 3 . </t>
  </si>
  <si>
    <t xml:space="preserve">13 / 4 . </t>
  </si>
  <si>
    <t xml:space="preserve">13 / 5 . </t>
  </si>
  <si>
    <t xml:space="preserve">14 / 2 . </t>
  </si>
  <si>
    <t xml:space="preserve">14 / 3 . </t>
  </si>
  <si>
    <t xml:space="preserve">14 / 4 . </t>
  </si>
  <si>
    <t xml:space="preserve">14 / 5 . </t>
  </si>
  <si>
    <t xml:space="preserve">15 / 2 . </t>
  </si>
  <si>
    <t xml:space="preserve">15 / 3 . </t>
  </si>
  <si>
    <t xml:space="preserve">15 / 4 . </t>
  </si>
  <si>
    <t xml:space="preserve">15 / 5 . </t>
  </si>
  <si>
    <t xml:space="preserve">16 / 2 . </t>
  </si>
  <si>
    <t xml:space="preserve">16 / 3 . </t>
  </si>
  <si>
    <t xml:space="preserve">16 / 4 . </t>
  </si>
  <si>
    <t xml:space="preserve">16 / 5 . </t>
  </si>
  <si>
    <t xml:space="preserve">17 / 2 . </t>
  </si>
  <si>
    <t xml:space="preserve">17 / 3 . </t>
  </si>
  <si>
    <t xml:space="preserve">17 / 4 . </t>
  </si>
  <si>
    <t xml:space="preserve">17 / 5 . </t>
  </si>
  <si>
    <t xml:space="preserve">18 / 2 . </t>
  </si>
  <si>
    <t xml:space="preserve">18 / 3 . </t>
  </si>
  <si>
    <t xml:space="preserve">18 / 4 . </t>
  </si>
  <si>
    <t xml:space="preserve">18 / 5 . </t>
  </si>
  <si>
    <t xml:space="preserve">Etienne_phono</t>
  </si>
  <si>
    <t xml:space="preserve">19 / 2 . </t>
  </si>
  <si>
    <t xml:space="preserve">19 / 3 . </t>
  </si>
  <si>
    <t xml:space="preserve">19 / 4 . </t>
  </si>
  <si>
    <t xml:space="preserve">19 / 5 . </t>
  </si>
  <si>
    <t xml:space="preserve">20 / 2 . </t>
  </si>
  <si>
    <t xml:space="preserve">20 / 3 . </t>
  </si>
  <si>
    <t xml:space="preserve">20 / 4 . </t>
  </si>
  <si>
    <t xml:space="preserve">20 / 5 . </t>
  </si>
  <si>
    <t xml:space="preserve">21 / 2 . </t>
  </si>
  <si>
    <t xml:space="preserve">21 / 3 . </t>
  </si>
  <si>
    <t xml:space="preserve">21 / 4 . </t>
  </si>
  <si>
    <t xml:space="preserve">21 / 5 . </t>
  </si>
  <si>
    <t xml:space="preserve">22 / 2 . </t>
  </si>
  <si>
    <t xml:space="preserve">22 / 3 . </t>
  </si>
  <si>
    <t xml:space="preserve">22 / 4 . </t>
  </si>
  <si>
    <t xml:space="preserve">22 / 5 . </t>
  </si>
  <si>
    <t xml:space="preserve">100 nAMAY15-DR17-04-02(3)</t>
  </si>
  <si>
    <t xml:space="preserve">Etienne_phono100</t>
  </si>
  <si>
    <t xml:space="preserve">24 / 2 . </t>
  </si>
  <si>
    <t xml:space="preserve">24 / 3 . </t>
  </si>
  <si>
    <t xml:space="preserve">24 / 4 . </t>
  </si>
  <si>
    <t xml:space="preserve">24 / 5 . </t>
  </si>
  <si>
    <t xml:space="preserve">25 / 2 . </t>
  </si>
  <si>
    <t xml:space="preserve">25 / 3 . </t>
  </si>
  <si>
    <t xml:space="preserve">25 / 4 . </t>
  </si>
  <si>
    <t xml:space="preserve">25 / 5 . </t>
  </si>
  <si>
    <t xml:space="preserve">26 / 2 . </t>
  </si>
  <si>
    <t xml:space="preserve">26 / 3 . </t>
  </si>
  <si>
    <t xml:space="preserve">26 / 4 . </t>
  </si>
  <si>
    <t xml:space="preserve">26 / 5 . </t>
  </si>
  <si>
    <t xml:space="preserve">27 / 2 . </t>
  </si>
  <si>
    <t xml:space="preserve">27 / 3 . </t>
  </si>
  <si>
    <t xml:space="preserve">27 / 4 . </t>
  </si>
  <si>
    <t xml:space="preserve">27 / 5 . </t>
  </si>
  <si>
    <t xml:space="preserve">29 / 2 . </t>
  </si>
  <si>
    <t xml:space="preserve">29 / 3 . </t>
  </si>
  <si>
    <t xml:space="preserve">29 / 4 . </t>
  </si>
  <si>
    <t xml:space="preserve">29 / 5 . </t>
  </si>
  <si>
    <t xml:space="preserve">30 / 2 . </t>
  </si>
  <si>
    <t xml:space="preserve">30 / 3 . </t>
  </si>
  <si>
    <t xml:space="preserve">30 / 4 . </t>
  </si>
  <si>
    <t xml:space="preserve">30 / 5 . </t>
  </si>
  <si>
    <t xml:space="preserve">31 / 2 . </t>
  </si>
  <si>
    <t xml:space="preserve">31 / 3 . </t>
  </si>
  <si>
    <t xml:space="preserve">31 / 4 . </t>
  </si>
  <si>
    <t xml:space="preserve">31 / 5 . </t>
  </si>
  <si>
    <t xml:space="preserve">32 / 2 . </t>
  </si>
  <si>
    <t xml:space="preserve">32 / 3 . </t>
  </si>
  <si>
    <t xml:space="preserve">32 / 4 . </t>
  </si>
  <si>
    <t xml:space="preserve">32 / 5 . </t>
  </si>
  <si>
    <t xml:space="preserve">33 / 2 . </t>
  </si>
  <si>
    <t xml:space="preserve">33 / 3 . </t>
  </si>
  <si>
    <t xml:space="preserve">33 / 4 . </t>
  </si>
  <si>
    <t xml:space="preserve">33 / 5 . </t>
  </si>
  <si>
    <t xml:space="preserve">34 / 2 . </t>
  </si>
  <si>
    <t xml:space="preserve">34 / 3 . </t>
  </si>
  <si>
    <t xml:space="preserve">34 / 4 . </t>
  </si>
  <si>
    <t xml:space="preserve">34 / 5 . </t>
  </si>
  <si>
    <t xml:space="preserve">35 / 2 . </t>
  </si>
  <si>
    <t xml:space="preserve">35 / 3 . </t>
  </si>
  <si>
    <t xml:space="preserve">35 / 4 . </t>
  </si>
  <si>
    <t xml:space="preserve">35 / 5 . </t>
  </si>
  <si>
    <t xml:space="preserve">36 / 2 . </t>
  </si>
  <si>
    <t xml:space="preserve">36 / 3 . </t>
  </si>
  <si>
    <t xml:space="preserve">36 / 4 . </t>
  </si>
  <si>
    <t xml:space="preserve">36 / 5 . </t>
  </si>
  <si>
    <t xml:space="preserve">37 / 2 . </t>
  </si>
  <si>
    <t xml:space="preserve">37 / 3 . </t>
  </si>
  <si>
    <t xml:space="preserve">37 / 4 . </t>
  </si>
  <si>
    <t xml:space="preserve">37 / 5 . </t>
  </si>
  <si>
    <t xml:space="preserve">38 / 3 . </t>
  </si>
  <si>
    <t xml:space="preserve">38 / 4 . </t>
  </si>
  <si>
    <t xml:space="preserve">38 / 5 . </t>
  </si>
  <si>
    <t xml:space="preserve">39 / 2 . </t>
  </si>
  <si>
    <t xml:space="preserve">39 / 3 . </t>
  </si>
  <si>
    <t xml:space="preserve">39 / 4 . </t>
  </si>
  <si>
    <t xml:space="preserve">39 / 5 . </t>
  </si>
  <si>
    <t xml:space="preserve">40 / 2 . </t>
  </si>
  <si>
    <t xml:space="preserve">40 / 3 . </t>
  </si>
  <si>
    <t xml:space="preserve">40 / 4 . </t>
  </si>
  <si>
    <t xml:space="preserve">40 / 5 . </t>
  </si>
  <si>
    <t xml:space="preserve">41 / 2 . </t>
  </si>
  <si>
    <t xml:space="preserve">41 / 3 . </t>
  </si>
  <si>
    <t xml:space="preserve">41 / 4 . </t>
  </si>
  <si>
    <t xml:space="preserve">41 / 5 . </t>
  </si>
  <si>
    <t xml:space="preserve">42 / 2 . </t>
  </si>
  <si>
    <t xml:space="preserve">42 / 3 . </t>
  </si>
  <si>
    <t xml:space="preserve">42 / 4 . </t>
  </si>
  <si>
    <t xml:space="preserve">42 / 5 . </t>
  </si>
  <si>
    <t xml:space="preserve">43 / 2 . </t>
  </si>
  <si>
    <t xml:space="preserve">43 / 3 . </t>
  </si>
  <si>
    <t xml:space="preserve">43 / 4 . </t>
  </si>
  <si>
    <t xml:space="preserve">43 / 5 . </t>
  </si>
  <si>
    <t xml:space="preserve">Etienne_DR22</t>
  </si>
  <si>
    <t xml:space="preserve">44 / 2 . </t>
  </si>
  <si>
    <t xml:space="preserve">44 / 3 . </t>
  </si>
  <si>
    <t xml:space="preserve">44 / 4 . </t>
  </si>
  <si>
    <t xml:space="preserve">44 / 5 . </t>
  </si>
  <si>
    <t xml:space="preserve">45 / 2 . </t>
  </si>
  <si>
    <t xml:space="preserve">45 / 3 . </t>
  </si>
  <si>
    <t xml:space="preserve">45 / 4 . </t>
  </si>
  <si>
    <t xml:space="preserve">45 / 5 . </t>
  </si>
  <si>
    <t xml:space="preserve">46 / 2 . </t>
  </si>
  <si>
    <t xml:space="preserve">46 / 3 . </t>
  </si>
  <si>
    <t xml:space="preserve">46 / 4 . </t>
  </si>
  <si>
    <t xml:space="preserve">46 / 5 . </t>
  </si>
  <si>
    <t xml:space="preserve">47 / 2 . </t>
  </si>
  <si>
    <t xml:space="preserve">47 / 3 . </t>
  </si>
  <si>
    <t xml:space="preserve">47 / 4 . </t>
  </si>
  <si>
    <t xml:space="preserve">47 / 5 . </t>
  </si>
  <si>
    <t xml:space="preserve">Etienne_DR21</t>
  </si>
  <si>
    <t xml:space="preserve">48 / 2 . </t>
  </si>
  <si>
    <t xml:space="preserve">48 / 3 . </t>
  </si>
  <si>
    <t xml:space="preserve">48 / 4 . </t>
  </si>
  <si>
    <t xml:space="preserve">48 / 5 . </t>
  </si>
  <si>
    <t xml:space="preserve">49 / 2 . </t>
  </si>
  <si>
    <t xml:space="preserve">49 / 3 . </t>
  </si>
  <si>
    <t xml:space="preserve">49 / 4 . </t>
  </si>
  <si>
    <t xml:space="preserve">49 / 5 . </t>
  </si>
  <si>
    <t xml:space="preserve">50 / 2 . </t>
  </si>
  <si>
    <t xml:space="preserve">50 / 3 . </t>
  </si>
  <si>
    <t xml:space="preserve">50 / 4 . </t>
  </si>
  <si>
    <t xml:space="preserve">50 / 5 . </t>
  </si>
  <si>
    <t xml:space="preserve">51 / 2 . </t>
  </si>
  <si>
    <t xml:space="preserve">51 / 3 . </t>
  </si>
  <si>
    <t xml:space="preserve">51 / 4 . </t>
  </si>
  <si>
    <t xml:space="preserve">51 / 5 . </t>
  </si>
  <si>
    <t xml:space="preserve">MAY02-DR08-vrac02 ?</t>
  </si>
  <si>
    <t xml:space="preserve">52 / 2 . </t>
  </si>
  <si>
    <t xml:space="preserve">52 / 3 . </t>
  </si>
  <si>
    <t xml:space="preserve">52 / 4 . </t>
  </si>
  <si>
    <t xml:space="preserve">52 / 5 . </t>
  </si>
  <si>
    <t xml:space="preserve">53 / 2 . </t>
  </si>
  <si>
    <t xml:space="preserve">53 / 3 . </t>
  </si>
  <si>
    <t xml:space="preserve">53 / 4 . </t>
  </si>
  <si>
    <t xml:space="preserve">53 / 5 . </t>
  </si>
  <si>
    <t xml:space="preserve">54 / 2 . </t>
  </si>
  <si>
    <t xml:space="preserve">54 / 3 . </t>
  </si>
  <si>
    <t xml:space="preserve">54 / 4 . </t>
  </si>
  <si>
    <t xml:space="preserve">54 / 5 . </t>
  </si>
  <si>
    <t xml:space="preserve">55 / 2 . </t>
  </si>
  <si>
    <t xml:space="preserve">55 / 3 . </t>
  </si>
  <si>
    <t xml:space="preserve">55 / 4 . </t>
  </si>
  <si>
    <t xml:space="preserve">55 / 5 . </t>
  </si>
  <si>
    <t xml:space="preserve">56 / 2 . </t>
  </si>
  <si>
    <t xml:space="preserve">56 / 3 . </t>
  </si>
  <si>
    <t xml:space="preserve">56 / 4 . </t>
  </si>
  <si>
    <t xml:space="preserve">56 / 5 . </t>
  </si>
  <si>
    <t xml:space="preserve">57 / 2 . </t>
  </si>
  <si>
    <t xml:space="preserve">57 / 3 . </t>
  </si>
  <si>
    <t xml:space="preserve">57 / 4 . </t>
  </si>
  <si>
    <t xml:space="preserve">57 / 5 . </t>
  </si>
  <si>
    <t xml:space="preserve">58 / 2 . </t>
  </si>
  <si>
    <t xml:space="preserve">58 / 3 . </t>
  </si>
  <si>
    <t xml:space="preserve">58 / 4 . </t>
  </si>
  <si>
    <t xml:space="preserve">58 / 5 . </t>
  </si>
  <si>
    <t xml:space="preserve">59 / 2 . </t>
  </si>
  <si>
    <t xml:space="preserve">59 / 3 . </t>
  </si>
  <si>
    <t xml:space="preserve">59 / 4 . </t>
  </si>
  <si>
    <t xml:space="preserve">59 / 5 . </t>
  </si>
  <si>
    <t xml:space="preserve">ETIENNE MEDARD</t>
  </si>
  <si>
    <t xml:space="preserve">2400-100x-standard conf.</t>
  </si>
  <si>
    <t xml:space="preserve">output 180 mW</t>
  </si>
  <si>
    <t xml:space="preserve">après correction de Long</t>
  </si>
  <si>
    <t xml:space="preserve">Z0</t>
  </si>
  <si>
    <t xml:space="preserve">power</t>
  </si>
  <si>
    <t xml:space="preserve">time</t>
  </si>
  <si>
    <t xml:space="preserve">OH area</t>
  </si>
  <si>
    <t xml:space="preserve">norm. OH area</t>
  </si>
  <si>
    <t xml:space="preserve">uncertainty</t>
  </si>
  <si>
    <t xml:space="preserve">corr. Si area</t>
  </si>
  <si>
    <t xml:space="preserve">norm. Si area</t>
  </si>
  <si>
    <t xml:space="preserve">OH/Si</t>
  </si>
  <si>
    <t xml:space="preserve">standards matin</t>
  </si>
  <si>
    <t xml:space="preserve">BSN050417 pt1</t>
  </si>
  <si>
    <t xml:space="preserve">BSN081117-1 pt1</t>
  </si>
  <si>
    <t xml:space="preserve">BSN081117-2 pt1</t>
  </si>
  <si>
    <t xml:space="preserve">BSN101117-1 pt1</t>
  </si>
  <si>
    <t xml:space="preserve">standards après-midi</t>
  </si>
  <si>
    <t xml:space="preserve">BSN050417 pt2</t>
  </si>
  <si>
    <t xml:space="preserve">BSN081117-1 pt2</t>
  </si>
  <si>
    <t xml:space="preserve">BSN081117-2 pt2</t>
  </si>
  <si>
    <t xml:space="preserve">BSN101117-1 pt2</t>
  </si>
  <si>
    <t xml:space="preserve">Mayotte</t>
  </si>
  <si>
    <t xml:space="preserve">Calibr. Ext.</t>
  </si>
  <si>
    <t xml:space="preserve">Calibr. Int.</t>
  </si>
  <si>
    <t xml:space="preserve">Moyenne</t>
  </si>
  <si>
    <t xml:space="preserve">GFL-PL-780-11-07_pt1</t>
  </si>
  <si>
    <t xml:space="preserve">GFL-PL-780-11-07_pt2</t>
  </si>
  <si>
    <t xml:space="preserve">GFL-PL-780-11-07_pt3</t>
  </si>
  <si>
    <t xml:space="preserve">moyenne</t>
  </si>
  <si>
    <t xml:space="preserve">ecart</t>
  </si>
  <si>
    <t xml:space="preserve">GFL-PL-777-08-PBT01_pt2</t>
  </si>
  <si>
    <t xml:space="preserve">GFL-PL-777-08-PBT01_pt3</t>
  </si>
  <si>
    <t xml:space="preserve">GFL-PL-777-08-PBT01_pt4</t>
  </si>
  <si>
    <t xml:space="preserve">GFL-DR22-02-03_pt1</t>
  </si>
  <si>
    <t xml:space="preserve">peu de magnetite</t>
  </si>
  <si>
    <t xml:space="preserve">GFL-DR22-02-03_pt2</t>
  </si>
  <si>
    <t xml:space="preserve">GFL-DR22-02-03_pt3</t>
  </si>
  <si>
    <t xml:space="preserve">GFL-DR22-02-03_pt4</t>
  </si>
  <si>
    <t xml:space="preserve">MAY01-DR03-02_pt1</t>
  </si>
  <si>
    <t xml:space="preserve">MAY01-DR03-02_pt2</t>
  </si>
  <si>
    <t xml:space="preserve">MAY01-DR03-02_pt3</t>
  </si>
  <si>
    <t xml:space="preserve">MAY01-DR03-02_pt4</t>
  </si>
  <si>
    <t xml:space="preserve">MAY01-DR04-06_pt1</t>
  </si>
  <si>
    <t xml:space="preserve">MAY01-DR04-06_pt2</t>
  </si>
  <si>
    <t xml:space="preserve">MAY01-DR04-06_pt3</t>
  </si>
  <si>
    <t xml:space="preserve">MAY02-DR06-02-01_pt1</t>
  </si>
  <si>
    <t xml:space="preserve">MAY02-DR06-02-01_pt2</t>
  </si>
  <si>
    <t xml:space="preserve">bande à 3070 cm-1</t>
  </si>
  <si>
    <t xml:space="preserve">MAY02-DR06-02-01_pt3</t>
  </si>
  <si>
    <t xml:space="preserve">MAY02-DR06-02-01_pt4</t>
  </si>
  <si>
    <t xml:space="preserve">MAY02-DR06-02-01_pt5</t>
  </si>
  <si>
    <t xml:space="preserve">petit pic de magnétite</t>
  </si>
  <si>
    <t xml:space="preserve">après-midi</t>
  </si>
  <si>
    <t xml:space="preserve">GFL-PL-777-08-ASPI06_pt1</t>
  </si>
  <si>
    <t xml:space="preserve">GFL-PL-777-08-ASPI06_pt2</t>
  </si>
  <si>
    <t xml:space="preserve">GFL-PL-777-08-ASPI06_pt3</t>
  </si>
  <si>
    <t xml:space="preserve">MAY04-DR08-02_pt1</t>
  </si>
  <si>
    <t xml:space="preserve">MAY04-DR08-02_pt2</t>
  </si>
  <si>
    <t xml:space="preserve">MAY04-DR08-02_pt3</t>
  </si>
  <si>
    <t xml:space="preserve">MAY04-DR08-02_embayment</t>
  </si>
  <si>
    <t xml:space="preserve">MAY04-DR09-01-05a_pt1</t>
  </si>
  <si>
    <t xml:space="preserve">pic de magnétite</t>
  </si>
  <si>
    <t xml:space="preserve">MAY04-DR09-01-05a_pt2</t>
  </si>
  <si>
    <t xml:space="preserve">MAY04-DR09-01-05a_pt3</t>
  </si>
  <si>
    <t xml:space="preserve">MAY04-DR09-01-05a_pt4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</si>
</sst>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0"/>
    <numFmt numFmtId="166" formatCode="0"/>
    <numFmt numFmtId="167" formatCode="0.0"/>
    <numFmt numFmtId="168" formatCode="0.000"/>
    <numFmt numFmtId="169" formatCode="m/d/yyyy"/>
    <numFmt numFmtId="170" formatCode="0.0000"/>
  </numFmts>
  <fonts count="29">
    <font>
      <sz val="12"/>
      <color rgb="FF000000"/>
      <name val="Times New Roman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sz val="12"/>
      <name val="Times New Roman"/>
      <family val="2"/>
      <charset val="1"/>
    </font>
    <font>
      <sz val="14"/>
      <color rgb="FF595959"/>
      <name val="Calibri"/>
      <family val="2"/>
    </font>
    <font>
      <sz val="9"/>
      <color rgb="FF595959"/>
      <name val="Calibri"/>
      <family val="2"/>
    </font>
    <font>
      <b val="true"/>
      <sz val="12"/>
      <color rgb="FF000000"/>
      <name val="Times New Roman"/>
      <family val="1"/>
      <charset val="1"/>
    </font>
    <font>
      <sz val="12"/>
      <color rgb="FFFF0000"/>
      <name val="Times New Roman"/>
      <family val="2"/>
      <charset val="1"/>
    </font>
    <font>
      <b val="true"/>
      <sz val="12"/>
      <color rgb="FFFF0000"/>
      <name val="Times New Roman"/>
      <family val="1"/>
      <charset val="1"/>
    </font>
    <font>
      <b val="true"/>
      <sz val="12"/>
      <name val="Times New Roman"/>
      <family val="1"/>
      <charset val="1"/>
    </font>
    <font>
      <b val="true"/>
      <sz val="10"/>
      <name val="Arial"/>
      <family val="2"/>
      <charset val="1"/>
    </font>
    <font>
      <b val="true"/>
      <sz val="10"/>
      <color rgb="FFFF0000"/>
      <name val="Arial"/>
      <family val="2"/>
      <charset val="1"/>
    </font>
    <font>
      <i val="true"/>
      <sz val="10"/>
      <name val="Arial"/>
      <family val="2"/>
      <charset val="1"/>
    </font>
    <font>
      <sz val="10"/>
      <color rgb="FF000000"/>
      <name val="Arial"/>
      <family val="2"/>
      <charset val="1"/>
    </font>
    <font>
      <b val="true"/>
      <i val="true"/>
      <sz val="10"/>
      <name val="Arial"/>
      <family val="2"/>
      <charset val="1"/>
    </font>
    <font>
      <b val="true"/>
      <sz val="10"/>
      <color rgb="FF000000"/>
      <name val="Arial"/>
      <family val="2"/>
      <charset val="1"/>
    </font>
    <font>
      <b val="true"/>
      <sz val="10"/>
      <color rgb="FF808080"/>
      <name val="Arial"/>
      <family val="2"/>
      <charset val="1"/>
    </font>
    <font>
      <b val="true"/>
      <sz val="10"/>
      <color rgb="FFFF33CC"/>
      <name val="Arial"/>
      <family val="2"/>
      <charset val="1"/>
    </font>
    <font>
      <sz val="10"/>
      <color rgb="FF00B050"/>
      <name val="Arial"/>
      <family val="2"/>
      <charset val="1"/>
    </font>
    <font>
      <b val="true"/>
      <sz val="10"/>
      <color rgb="FFFF6600"/>
      <name val="Arial"/>
      <family val="2"/>
      <charset val="1"/>
    </font>
    <font>
      <sz val="10"/>
      <color rgb="FFBFBFBF"/>
      <name val="Arial"/>
      <family val="2"/>
      <charset val="1"/>
    </font>
    <font>
      <sz val="14"/>
      <name val="Calibri"/>
      <family val="0"/>
    </font>
    <font>
      <vertAlign val="subscript"/>
      <sz val="14"/>
      <name val="Calibri"/>
      <family val="0"/>
    </font>
    <font>
      <sz val="10"/>
      <name val="Arial"/>
      <family val="2"/>
    </font>
    <font>
      <sz val="10.5"/>
      <color rgb="FF595959"/>
      <name val="Calibri"/>
      <family val="2"/>
    </font>
    <font>
      <b val="true"/>
      <sz val="15"/>
      <color rgb="FF595959"/>
      <name val="Calibri"/>
      <family val="2"/>
    </font>
    <font>
      <sz val="11"/>
      <color rgb="FF595959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6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2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2" fillId="3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xfId="2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3" borderId="0" xfId="2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xfId="2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3" fillId="3" borderId="0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3" borderId="0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4" fillId="3" borderId="0" xfId="2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2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2" fillId="3" borderId="0" xfId="2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5" fillId="3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4" fillId="3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xfId="2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15" fillId="3" borderId="0" xfId="2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4" fillId="3" borderId="0" xfId="2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70" fontId="4" fillId="3" borderId="0" xfId="2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8" fontId="14" fillId="3" borderId="0" xfId="2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6" fillId="3" borderId="0" xfId="2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4" fillId="3" borderId="0" xfId="2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8" fontId="16" fillId="3" borderId="0" xfId="2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4" fillId="0" borderId="0" xfId="2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3" borderId="1" xfId="2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1" xfId="2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15" fillId="3" borderId="1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4" fillId="3" borderId="1" xfId="2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4" fillId="3" borderId="1" xfId="2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2" fillId="3" borderId="0" xfId="2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12" fillId="3" borderId="0" xfId="2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17" fillId="3" borderId="0" xfId="2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18" fillId="3" borderId="0" xfId="2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3" borderId="0" xfId="2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5" fontId="19" fillId="3" borderId="0" xfId="2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20" fillId="3" borderId="0" xfId="2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21" fillId="3" borderId="0" xfId="2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5" fillId="3" borderId="0" xfId="2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2" fillId="3" borderId="0" xfId="2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22" fillId="3" borderId="0" xfId="2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12" fillId="0" borderId="0" xfId="2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22" fillId="0" borderId="0" xfId="20" applyFont="tru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33CC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595959"/>
      <rgbColor rgb="FFA5A5A5"/>
      <rgbColor rgb="FF003366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sharedStrings" Target="sharedStrings.xml"/>
</Relationships>
</file>

<file path=xl/charts/_rels/chart47.xml.rels><?xml version="1.0" encoding="UTF-8"?>
<Relationships xmlns="http://schemas.openxmlformats.org/package/2006/relationships"><Relationship Id="rId1" Type="http://schemas.openxmlformats.org/officeDocument/2006/relationships/chartUserShapes" Target="../drawings/drawing3.xml"/>
</Relationships>
</file>

<file path=xl/charts/_rels/chart48.xml.rels><?xml version="1.0" encoding="UTF-8"?>
<Relationships xmlns="http://schemas.openxmlformats.org/package/2006/relationships"><Relationship Id="rId1" Type="http://schemas.openxmlformats.org/officeDocument/2006/relationships/chartUserShapes" Target="../drawings/drawing4.xml"/>
</Relationships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sz="1400" spc="-1" strike="noStrike">
                <a:solidFill>
                  <a:srgbClr val="595959"/>
                </a:solidFill>
                <a:latin typeface="Calibri"/>
              </a:rPr>
              <a:t>Chart Title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spPr>
            <a:solidFill>
              <a:srgbClr val="4472c4"/>
            </a:solidFill>
            <a:ln w="19080">
              <a:noFill/>
            </a:ln>
          </c:spPr>
          <c:marker>
            <c:symbol val="circle"/>
            <c:size val="5"/>
            <c:spPr>
              <a:solidFill>
                <a:srgbClr val="4472c4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analyses!$B$4:$I$4</c:f>
              <c:numCache>
                <c:formatCode>General</c:formatCode>
                <c:ptCount val="8"/>
                <c:pt idx="0">
                  <c:v>2259</c:v>
                </c:pt>
                <c:pt idx="2">
                  <c:v>3254</c:v>
                </c:pt>
                <c:pt idx="6">
                  <c:v>1300</c:v>
                </c:pt>
              </c:numCache>
            </c:numRef>
          </c:xVal>
          <c:yVal>
            <c:numRef>
              <c:f>analyses!$B$16:$I$16</c:f>
              <c:numCache>
                <c:formatCode>General</c:formatCode>
                <c:ptCount val="8"/>
                <c:pt idx="0">
                  <c:v>0.961</c:v>
                </c:pt>
                <c:pt idx="1">
                  <c:v>1.2576</c:v>
                </c:pt>
                <c:pt idx="2">
                  <c:v>1.148</c:v>
                </c:pt>
                <c:pt idx="3">
                  <c:v>1.137</c:v>
                </c:pt>
                <c:pt idx="4">
                  <c:v>1.254</c:v>
                </c:pt>
                <c:pt idx="6">
                  <c:v>0.7329</c:v>
                </c:pt>
                <c:pt idx="7">
                  <c:v>0.8787</c:v>
                </c:pt>
              </c:numCache>
            </c:numRef>
          </c:yVal>
          <c:smooth val="0"/>
        </c:ser>
        <c:axId val="36832405"/>
        <c:axId val="26881022"/>
      </c:scatterChart>
      <c:valAx>
        <c:axId val="36832405"/>
        <c:scaling>
          <c:orientation val="minMax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26881022"/>
        <c:crosses val="autoZero"/>
        <c:crossBetween val="midCat"/>
      </c:valAx>
      <c:valAx>
        <c:axId val="26881022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0.00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36832405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151164720854313"/>
          <c:y val="0.0779683671196258"/>
          <c:w val="0.811818735129752"/>
          <c:h val="0.761565307789411"/>
        </c:manualLayout>
      </c:layout>
      <c:scatterChart>
        <c:scatterStyle val="lineMarker"/>
        <c:varyColors val="0"/>
        <c:ser>
          <c:idx val="0"/>
          <c:order val="0"/>
          <c:tx>
            <c:strRef>
              <c:f>Raman!$A$4</c:f>
              <c:strCache>
                <c:ptCount val="1"/>
                <c:pt idx="0">
                  <c:v>standards matin</c:v>
                </c:pt>
              </c:strCache>
            </c:strRef>
          </c:tx>
          <c:spPr>
            <a:solidFill>
              <a:srgbClr val="000000"/>
            </a:solidFill>
            <a:ln w="25560">
              <a:noFill/>
            </a:ln>
          </c:spPr>
          <c:marker>
            <c:symbol val="circle"/>
            <c:size val="8"/>
            <c:spPr>
              <a:solidFill>
                <a:srgbClr val="0000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cap="rnd" w="19080">
                <a:solidFill>
                  <a:srgbClr val="000000"/>
                </a:solidFill>
                <a:prstDash val="sysDot"/>
                <a:round/>
              </a:ln>
            </c:spPr>
            <c:trendlineType val="linear"/>
            <c:forward val="0"/>
            <c:backward val="0"/>
            <c:dispRSqr val="1"/>
            <c:dispEq val="1"/>
          </c:trendline>
          <c:errBars>
            <c:errDir val="x"/>
            <c:errBarType val="both"/>
            <c:errValType val="cust"/>
            <c:noEndCap val="0"/>
            <c:plus>
              <c:numRef>
                <c:f>Raman!$G$5:$G$8</c:f>
                <c:numCache>
                  <c:formatCode>General</c:formatCode>
                  <c:ptCount val="4"/>
                  <c:pt idx="0">
                    <c:v>0.001</c:v>
                  </c:pt>
                  <c:pt idx="1">
                    <c:v>0.13</c:v>
                  </c:pt>
                  <c:pt idx="2">
                    <c:v>0.1</c:v>
                  </c:pt>
                  <c:pt idx="3">
                    <c:v>0.07</c:v>
                  </c:pt>
                </c:numCache>
              </c:numRef>
            </c:plus>
            <c:minus>
              <c:numRef>
                <c:f>Raman!$G$5:$G$8</c:f>
                <c:numCache>
                  <c:formatCode>General</c:formatCode>
                  <c:ptCount val="4"/>
                  <c:pt idx="0">
                    <c:v>0.001</c:v>
                  </c:pt>
                  <c:pt idx="1">
                    <c:v>0.13</c:v>
                  </c:pt>
                  <c:pt idx="2">
                    <c:v>0.1</c:v>
                  </c:pt>
                  <c:pt idx="3">
                    <c:v>0.07</c:v>
                  </c:pt>
                </c:numCache>
              </c:numRef>
            </c:minus>
            <c:spPr>
              <a:ln w="9360">
                <a:solidFill>
                  <a:srgbClr val="595959"/>
                </a:solidFill>
                <a:round/>
              </a:ln>
            </c:spPr>
          </c:errBars>
          <c:xVal>
            <c:numRef>
              <c:f>Raman!$F$5:$F$8</c:f>
              <c:numCache>
                <c:formatCode>General</c:formatCode>
                <c:ptCount val="4"/>
                <c:pt idx="0">
                  <c:v>0.023</c:v>
                </c:pt>
                <c:pt idx="1">
                  <c:v>2.21</c:v>
                </c:pt>
                <c:pt idx="2">
                  <c:v>2.48</c:v>
                </c:pt>
                <c:pt idx="3">
                  <c:v>1.92</c:v>
                </c:pt>
              </c:numCache>
            </c:numRef>
          </c:xVal>
          <c:yVal>
            <c:numRef>
              <c:f>Raman!$E$5:$E$8</c:f>
              <c:numCache>
                <c:formatCode>General</c:formatCode>
                <c:ptCount val="4"/>
                <c:pt idx="0">
                  <c:v>0</c:v>
                </c:pt>
                <c:pt idx="1">
                  <c:v>6768.55796296296</c:v>
                </c:pt>
                <c:pt idx="2">
                  <c:v>7248.98166666667</c:v>
                </c:pt>
                <c:pt idx="3">
                  <c:v>5394.53240740741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Raman!$A$10</c:f>
              <c:strCache>
                <c:ptCount val="1"/>
                <c:pt idx="0">
                  <c:v>standards après-midi</c:v>
                </c:pt>
              </c:strCache>
            </c:strRef>
          </c:tx>
          <c:spPr>
            <a:solidFill>
              <a:srgbClr val="a5a5a5"/>
            </a:solidFill>
            <a:ln w="25560">
              <a:noFill/>
            </a:ln>
          </c:spPr>
          <c:marker>
            <c:symbol val="circle"/>
            <c:size val="8"/>
            <c:spPr>
              <a:solidFill>
                <a:srgbClr val="a5a5a5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cap="rnd" w="19080">
                <a:solidFill>
                  <a:srgbClr val="a5a5a5"/>
                </a:solidFill>
                <a:prstDash val="sysDot"/>
                <a:round/>
              </a:ln>
            </c:spPr>
            <c:trendlineType val="linear"/>
            <c:forward val="0"/>
            <c:backward val="0"/>
            <c:dispRSqr val="1"/>
            <c:dispEq val="1"/>
          </c:trendline>
          <c:errBars>
            <c:errDir val="y"/>
            <c:errBarType val="both"/>
            <c:errValType val="cust"/>
            <c:noEndCap val="0"/>
            <c:plus>
              <c:numRef>
                <c:f>Raman!$F$11:$F$14</c:f>
                <c:numCache>
                  <c:formatCode>General</c:formatCode>
                  <c:ptCount val="4"/>
                  <c:pt idx="0">
                    <c:v>0.023</c:v>
                  </c:pt>
                  <c:pt idx="1">
                    <c:v>2.21</c:v>
                  </c:pt>
                  <c:pt idx="2">
                    <c:v>2.48</c:v>
                  </c:pt>
                  <c:pt idx="3">
                    <c:v>1.92</c:v>
                  </c:pt>
                </c:numCache>
              </c:numRef>
            </c:plus>
            <c:minus>
              <c:numRef>
                <c:f>Raman!$F$11:$F$14</c:f>
                <c:numCache>
                  <c:formatCode>General</c:formatCode>
                  <c:ptCount val="4"/>
                  <c:pt idx="0">
                    <c:v>0.023</c:v>
                  </c:pt>
                  <c:pt idx="1">
                    <c:v>2.21</c:v>
                  </c:pt>
                  <c:pt idx="2">
                    <c:v>2.48</c:v>
                  </c:pt>
                  <c:pt idx="3">
                    <c:v>1.92</c:v>
                  </c:pt>
                </c:numCache>
              </c:numRef>
            </c:minus>
            <c:spPr>
              <a:ln w="9360">
                <a:solidFill>
                  <a:srgbClr val="595959"/>
                </a:solidFill>
                <a:round/>
              </a:ln>
            </c:spPr>
          </c:errBars>
          <c:errBars>
            <c:errDir val="x"/>
            <c:errBarType val="both"/>
            <c:errValType val="cust"/>
            <c:noEndCap val="0"/>
            <c:plus>
              <c:numRef>
                <c:f>Raman!$G$11:$G$14</c:f>
                <c:numCache>
                  <c:formatCode>General</c:formatCode>
                  <c:ptCount val="4"/>
                  <c:pt idx="0">
                    <c:v>0.001</c:v>
                  </c:pt>
                  <c:pt idx="1">
                    <c:v>0.13</c:v>
                  </c:pt>
                  <c:pt idx="2">
                    <c:v>0.1</c:v>
                  </c:pt>
                  <c:pt idx="3">
                    <c:v>0.07</c:v>
                  </c:pt>
                </c:numCache>
              </c:numRef>
            </c:plus>
            <c:minus>
              <c:numRef>
                <c:f>Raman!$G$11:$G$14</c:f>
                <c:numCache>
                  <c:formatCode>General</c:formatCode>
                  <c:ptCount val="4"/>
                  <c:pt idx="0">
                    <c:v>0.001</c:v>
                  </c:pt>
                  <c:pt idx="1">
                    <c:v>0.13</c:v>
                  </c:pt>
                  <c:pt idx="2">
                    <c:v>0.1</c:v>
                  </c:pt>
                  <c:pt idx="3">
                    <c:v>0.07</c:v>
                  </c:pt>
                </c:numCache>
              </c:numRef>
            </c:minus>
            <c:spPr>
              <a:ln w="9360">
                <a:solidFill>
                  <a:srgbClr val="595959"/>
                </a:solidFill>
                <a:round/>
              </a:ln>
            </c:spPr>
          </c:errBars>
          <c:xVal>
            <c:numRef>
              <c:f>Raman!$F$11:$F$14</c:f>
              <c:numCache>
                <c:formatCode>General</c:formatCode>
                <c:ptCount val="4"/>
                <c:pt idx="0">
                  <c:v>0.023</c:v>
                </c:pt>
                <c:pt idx="1">
                  <c:v>2.21</c:v>
                </c:pt>
                <c:pt idx="2">
                  <c:v>2.48</c:v>
                </c:pt>
                <c:pt idx="3">
                  <c:v>1.92</c:v>
                </c:pt>
              </c:numCache>
            </c:numRef>
          </c:xVal>
          <c:yVal>
            <c:numRef>
              <c:f>Raman!$E$11:$E$14</c:f>
              <c:numCache>
                <c:formatCode>General</c:formatCode>
                <c:ptCount val="4"/>
                <c:pt idx="0">
                  <c:v>0</c:v>
                </c:pt>
                <c:pt idx="1">
                  <c:v>7052.4512962963</c:v>
                </c:pt>
                <c:pt idx="2">
                  <c:v>7561.74425925926</c:v>
                </c:pt>
                <c:pt idx="3">
                  <c:v>5273.14833333333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Raman!$A$16</c:f>
              <c:strCache>
                <c:ptCount val="1"/>
                <c:pt idx="0">
                  <c:v>Mayotte</c:v>
                </c:pt>
              </c:strCache>
            </c:strRef>
          </c:tx>
          <c:spPr>
            <a:solidFill>
              <a:srgbClr val="ff0000"/>
            </a:solidFill>
            <a:ln w="25560">
              <a:noFill/>
            </a:ln>
          </c:spPr>
          <c:marker>
            <c:symbol val="square"/>
            <c:size val="8"/>
            <c:spPr>
              <a:solidFill>
                <a:srgbClr val="ff00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Raman!$F$17:$F$66</c:f>
              <c:numCache>
                <c:formatCode>General</c:formatCode>
                <c:ptCount val="50"/>
                <c:pt idx="0">
                  <c:v>1.16715343737972</c:v>
                </c:pt>
                <c:pt idx="1">
                  <c:v>1.17066925541029</c:v>
                </c:pt>
                <c:pt idx="2">
                  <c:v>1.10760746079636</c:v>
                </c:pt>
                <c:pt idx="5">
                  <c:v>0.917945627071926</c:v>
                </c:pt>
                <c:pt idx="6">
                  <c:v>0.95596315230752</c:v>
                </c:pt>
                <c:pt idx="7">
                  <c:v>1.00884409803702</c:v>
                </c:pt>
                <c:pt idx="10">
                  <c:v>0.946622192423735</c:v>
                </c:pt>
                <c:pt idx="11">
                  <c:v>1.0679610384773</c:v>
                </c:pt>
                <c:pt idx="12">
                  <c:v>1.03508306328454</c:v>
                </c:pt>
                <c:pt idx="13">
                  <c:v>1.07135098893731</c:v>
                </c:pt>
                <c:pt idx="16">
                  <c:v>1.16903871940999</c:v>
                </c:pt>
                <c:pt idx="17">
                  <c:v>1.17428148396469</c:v>
                </c:pt>
                <c:pt idx="18">
                  <c:v>1.14203123253995</c:v>
                </c:pt>
                <c:pt idx="19">
                  <c:v>1.06349694565501</c:v>
                </c:pt>
                <c:pt idx="22">
                  <c:v>1.24575799903155</c:v>
                </c:pt>
                <c:pt idx="23">
                  <c:v>1.31261574850076</c:v>
                </c:pt>
                <c:pt idx="24">
                  <c:v>1.20406367564346</c:v>
                </c:pt>
                <c:pt idx="27">
                  <c:v>0.720020514396394</c:v>
                </c:pt>
                <c:pt idx="28">
                  <c:v>0.709405637501397</c:v>
                </c:pt>
                <c:pt idx="29">
                  <c:v>0.75619359704995</c:v>
                </c:pt>
                <c:pt idx="30">
                  <c:v>0.755446074049242</c:v>
                </c:pt>
                <c:pt idx="31">
                  <c:v>0.723514051849369</c:v>
                </c:pt>
                <c:pt idx="35">
                  <c:v>0.922967260104284</c:v>
                </c:pt>
                <c:pt idx="36">
                  <c:v>0.923822187172913</c:v>
                </c:pt>
                <c:pt idx="37">
                  <c:v>0.988215870135108</c:v>
                </c:pt>
                <c:pt idx="40">
                  <c:v>1.21344921211074</c:v>
                </c:pt>
                <c:pt idx="41">
                  <c:v>1.23955194499659</c:v>
                </c:pt>
                <c:pt idx="42">
                  <c:v>1.31341728363053</c:v>
                </c:pt>
                <c:pt idx="43">
                  <c:v>1.26391007451579</c:v>
                </c:pt>
                <c:pt idx="46">
                  <c:v>0.889851784633999</c:v>
                </c:pt>
                <c:pt idx="47">
                  <c:v>0.855010490786353</c:v>
                </c:pt>
                <c:pt idx="48">
                  <c:v>0.880839010841279</c:v>
                </c:pt>
                <c:pt idx="49">
                  <c:v>0.88925366577363</c:v>
                </c:pt>
              </c:numCache>
            </c:numRef>
          </c:xVal>
          <c:yVal>
            <c:numRef>
              <c:f>Raman!$E$17:$E$66</c:f>
              <c:numCache>
                <c:formatCode>General</c:formatCode>
                <c:ptCount val="50"/>
                <c:pt idx="0">
                  <c:v>3388.1087037037</c:v>
                </c:pt>
                <c:pt idx="1">
                  <c:v>3398.59638888889</c:v>
                </c:pt>
                <c:pt idx="2">
                  <c:v>3210.48305555556</c:v>
                </c:pt>
                <c:pt idx="5">
                  <c:v>2644.72180555556</c:v>
                </c:pt>
                <c:pt idx="6">
                  <c:v>2758.12808333333</c:v>
                </c:pt>
                <c:pt idx="7">
                  <c:v>2915.87194444444</c:v>
                </c:pt>
                <c:pt idx="10">
                  <c:v>2730.264</c:v>
                </c:pt>
                <c:pt idx="11">
                  <c:v>3092.21777777778</c:v>
                </c:pt>
                <c:pt idx="12">
                  <c:v>2994.14277777778</c:v>
                </c:pt>
                <c:pt idx="13">
                  <c:v>3102.33</c:v>
                </c:pt>
                <c:pt idx="16">
                  <c:v>3393.7325</c:v>
                </c:pt>
                <c:pt idx="17">
                  <c:v>3409.37166666667</c:v>
                </c:pt>
                <c:pt idx="18">
                  <c:v>3313.16916666667</c:v>
                </c:pt>
                <c:pt idx="19">
                  <c:v>3078.90138888889</c:v>
                </c:pt>
                <c:pt idx="22">
                  <c:v>3622.58611111111</c:v>
                </c:pt>
                <c:pt idx="23">
                  <c:v>3822.02277777778</c:v>
                </c:pt>
                <c:pt idx="24">
                  <c:v>3498.21194444444</c:v>
                </c:pt>
                <c:pt idx="27">
                  <c:v>2054.31119444444</c:v>
                </c:pt>
                <c:pt idx="28">
                  <c:v>2022.64701666667</c:v>
                </c:pt>
                <c:pt idx="29">
                  <c:v>2162.2155</c:v>
                </c:pt>
                <c:pt idx="30">
                  <c:v>2159.98563888889</c:v>
                </c:pt>
                <c:pt idx="31">
                  <c:v>2064.73241666667</c:v>
                </c:pt>
                <c:pt idx="35">
                  <c:v>2703.08777777778</c:v>
                </c:pt>
                <c:pt idx="36">
                  <c:v>2705.72574074074</c:v>
                </c:pt>
                <c:pt idx="37">
                  <c:v>2904.41888888889</c:v>
                </c:pt>
                <c:pt idx="40">
                  <c:v>3599.39888888889</c:v>
                </c:pt>
                <c:pt idx="41">
                  <c:v>3679.94148148148</c:v>
                </c:pt>
                <c:pt idx="42">
                  <c:v>3907.86037037037</c:v>
                </c:pt>
                <c:pt idx="43">
                  <c:v>3755.10092592593</c:v>
                </c:pt>
                <c:pt idx="46">
                  <c:v>2600.90666666667</c:v>
                </c:pt>
                <c:pt idx="47">
                  <c:v>2493.40037037037</c:v>
                </c:pt>
                <c:pt idx="48">
                  <c:v>2573.09685185185</c:v>
                </c:pt>
                <c:pt idx="49">
                  <c:v>2599.06111111111</c:v>
                </c:pt>
              </c:numCache>
            </c:numRef>
          </c:yVal>
          <c:smooth val="0"/>
        </c:ser>
        <c:axId val="89509927"/>
        <c:axId val="24016179"/>
      </c:scatterChart>
      <c:valAx>
        <c:axId val="89509927"/>
        <c:scaling>
          <c:orientation val="minMax"/>
          <c:max val="3"/>
          <c:min val="0"/>
        </c:scaling>
        <c:delete val="0"/>
        <c:axPos val="b"/>
        <c:title>
          <c:tx>
            <c:rich>
              <a:bodyPr rot="0"/>
              <a:lstStyle/>
              <a:p>
                <a:pPr>
                  <a:defRPr b="1" lang="en-US" sz="1500" spc="-1" strike="noStrike">
                    <a:solidFill>
                      <a:srgbClr val="595959"/>
                    </a:solidFill>
                    <a:latin typeface="Calibri"/>
                  </a:defRPr>
                </a:pPr>
                <a:r>
                  <a:rPr b="1" lang="en-US" sz="1500" spc="-1" strike="noStrike">
                    <a:solidFill>
                      <a:srgbClr val="595959"/>
                    </a:solidFill>
                    <a:latin typeface="Calibri"/>
                  </a:rPr>
                  <a:t>H2O (wt%)</a:t>
                </a:r>
              </a:p>
            </c:rich>
          </c:tx>
          <c:layout>
            <c:manualLayout>
              <c:xMode val="edge"/>
              <c:yMode val="edge"/>
              <c:x val="0.487799479887124"/>
              <c:y val="0.911413083834559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0"/>
        <c:majorTickMark val="in"/>
        <c:minorTickMark val="none"/>
        <c:tickLblPos val="nextTo"/>
        <c:spPr>
          <a:ln w="9360">
            <a:solidFill>
              <a:srgbClr val="000000"/>
            </a:solidFill>
            <a:round/>
          </a:ln>
        </c:spPr>
        <c:txPr>
          <a:bodyPr/>
          <a:lstStyle/>
          <a:p>
            <a:pPr>
              <a:defRPr b="0" sz="105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24016179"/>
        <c:crosses val="autoZero"/>
        <c:crossBetween val="midCat"/>
      </c:valAx>
      <c:valAx>
        <c:axId val="24016179"/>
        <c:scaling>
          <c:orientation val="minMax"/>
          <c:min val="0"/>
        </c:scaling>
        <c:delete val="0"/>
        <c:axPos val="l"/>
        <c:title>
          <c:tx>
            <c:rich>
              <a:bodyPr rot="-5400000"/>
              <a:lstStyle/>
              <a:p>
                <a:pPr>
                  <a:defRPr b="1" lang="en-US" sz="1500" spc="-1" strike="noStrike">
                    <a:solidFill>
                      <a:srgbClr val="595959"/>
                    </a:solidFill>
                    <a:latin typeface="Calibri"/>
                  </a:defRPr>
                </a:pPr>
                <a:r>
                  <a:rPr b="1" lang="en-US" sz="1500" spc="-1" strike="noStrike">
                    <a:solidFill>
                      <a:srgbClr val="595959"/>
                    </a:solidFill>
                    <a:latin typeface="Calibri"/>
                  </a:rPr>
                  <a:t>AOH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0"/>
        <c:majorTickMark val="in"/>
        <c:minorTickMark val="none"/>
        <c:tickLblPos val="nextTo"/>
        <c:spPr>
          <a:ln w="9360">
            <a:solidFill>
              <a:srgbClr val="000000"/>
            </a:solidFill>
            <a:round/>
          </a:ln>
        </c:spPr>
        <c:txPr>
          <a:bodyPr/>
          <a:lstStyle/>
          <a:p>
            <a:pPr>
              <a:defRPr b="0" sz="105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89509927"/>
        <c:crosses val="autoZero"/>
        <c:crossBetween val="midCat"/>
      </c:valAx>
      <c:spPr>
        <a:noFill/>
        <a:ln w="0">
          <a:solidFill>
            <a:srgbClr val="000000"/>
          </a:solidFill>
        </a:ln>
      </c:spPr>
    </c:plotArea>
    <c:legend>
      <c:legendPos val="t"/>
      <c:layout>
        <c:manualLayout>
          <c:xMode val="edge"/>
          <c:yMode val="edge"/>
          <c:x val="0.296385195349496"/>
          <c:y val="0.752976582472646"/>
          <c:w val="0.663836434975916"/>
          <c:h val="0.0439357807546784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b="0" sz="1100" spc="-1" strike="noStrike">
              <a:solidFill>
                <a:srgbClr val="595959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  <c:userShapes r:id="rId1"/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151171918806774"/>
          <c:y val="0.0779651246577317"/>
          <c:w val="0.811820118874061"/>
          <c:h val="0.761637123504828"/>
        </c:manualLayout>
      </c:layout>
      <c:scatterChart>
        <c:scatterStyle val="lineMarker"/>
        <c:varyColors val="0"/>
        <c:ser>
          <c:idx val="0"/>
          <c:order val="0"/>
          <c:tx>
            <c:strRef>
              <c:f>Raman!$A$4</c:f>
              <c:strCache>
                <c:ptCount val="1"/>
                <c:pt idx="0">
                  <c:v>standards matin</c:v>
                </c:pt>
              </c:strCache>
            </c:strRef>
          </c:tx>
          <c:spPr>
            <a:solidFill>
              <a:srgbClr val="000000"/>
            </a:solidFill>
            <a:ln w="25560">
              <a:noFill/>
            </a:ln>
          </c:spPr>
          <c:marker>
            <c:symbol val="circle"/>
            <c:size val="7"/>
            <c:spPr>
              <a:solidFill>
                <a:srgbClr val="0000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cap="rnd" w="19080">
                <a:solidFill>
                  <a:srgbClr val="000000"/>
                </a:solidFill>
                <a:prstDash val="sysDot"/>
                <a:round/>
              </a:ln>
            </c:spPr>
            <c:trendlineType val="linear"/>
            <c:forward val="0"/>
            <c:backward val="0"/>
            <c:dispRSqr val="1"/>
            <c:dispEq val="1"/>
          </c:trendline>
          <c:errBars>
            <c:errDir val="x"/>
            <c:errBarType val="both"/>
            <c:errValType val="cust"/>
            <c:noEndCap val="0"/>
            <c:plus>
              <c:numRef>
                <c:f>Raman!$G$5:$G$8</c:f>
                <c:numCache>
                  <c:formatCode>General</c:formatCode>
                  <c:ptCount val="4"/>
                  <c:pt idx="0">
                    <c:v>0.001</c:v>
                  </c:pt>
                  <c:pt idx="1">
                    <c:v>0.13</c:v>
                  </c:pt>
                  <c:pt idx="2">
                    <c:v>0.1</c:v>
                  </c:pt>
                  <c:pt idx="3">
                    <c:v>0.07</c:v>
                  </c:pt>
                </c:numCache>
              </c:numRef>
            </c:plus>
            <c:minus>
              <c:numRef>
                <c:f>Raman!$G$5:$G$8</c:f>
                <c:numCache>
                  <c:formatCode>General</c:formatCode>
                  <c:ptCount val="4"/>
                  <c:pt idx="0">
                    <c:v>0.001</c:v>
                  </c:pt>
                  <c:pt idx="1">
                    <c:v>0.13</c:v>
                  </c:pt>
                  <c:pt idx="2">
                    <c:v>0.1</c:v>
                  </c:pt>
                  <c:pt idx="3">
                    <c:v>0.07</c:v>
                  </c:pt>
                </c:numCache>
              </c:numRef>
            </c:minus>
            <c:spPr>
              <a:ln w="9360">
                <a:solidFill>
                  <a:srgbClr val="595959"/>
                </a:solidFill>
                <a:round/>
              </a:ln>
            </c:spPr>
          </c:errBars>
          <c:xVal>
            <c:numRef>
              <c:f>Raman!$F$5:$F$8</c:f>
              <c:numCache>
                <c:formatCode>General</c:formatCode>
                <c:ptCount val="4"/>
                <c:pt idx="0">
                  <c:v>0.023</c:v>
                </c:pt>
                <c:pt idx="1">
                  <c:v>2.21</c:v>
                </c:pt>
                <c:pt idx="2">
                  <c:v>2.48</c:v>
                </c:pt>
                <c:pt idx="3">
                  <c:v>1.92</c:v>
                </c:pt>
              </c:numCache>
            </c:numRef>
          </c:xVal>
          <c:yVal>
            <c:numRef>
              <c:f>Raman!$L$5:$L$8</c:f>
              <c:numCache>
                <c:formatCode>General</c:formatCode>
                <c:ptCount val="4"/>
                <c:pt idx="0">
                  <c:v>0</c:v>
                </c:pt>
                <c:pt idx="1">
                  <c:v>4.45801963480921</c:v>
                </c:pt>
                <c:pt idx="2">
                  <c:v>4.88349579569254</c:v>
                </c:pt>
                <c:pt idx="3">
                  <c:v>3.16166571590319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Raman!$A$10</c:f>
              <c:strCache>
                <c:ptCount val="1"/>
                <c:pt idx="0">
                  <c:v>standards après-midi</c:v>
                </c:pt>
              </c:strCache>
            </c:strRef>
          </c:tx>
          <c:spPr>
            <a:solidFill>
              <a:srgbClr val="a5a5a5"/>
            </a:solidFill>
            <a:ln w="25560">
              <a:noFill/>
            </a:ln>
          </c:spPr>
          <c:marker>
            <c:symbol val="circle"/>
            <c:size val="8"/>
            <c:spPr>
              <a:solidFill>
                <a:srgbClr val="a5a5a5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cap="rnd" w="19080">
                <a:solidFill>
                  <a:srgbClr val="a5a5a5"/>
                </a:solidFill>
                <a:prstDash val="sysDot"/>
                <a:round/>
              </a:ln>
            </c:spPr>
            <c:trendlineType val="linear"/>
            <c:forward val="0"/>
            <c:backward val="0"/>
            <c:dispRSqr val="0"/>
            <c:dispEq val="0"/>
          </c:trendline>
          <c:trendline>
            <c:spPr>
              <a:ln cap="rnd" w="19080">
                <a:solidFill>
                  <a:srgbClr val="a5a5a5"/>
                </a:solidFill>
                <a:prstDash val="sysDot"/>
                <a:round/>
              </a:ln>
            </c:spPr>
            <c:trendlineType val="linear"/>
            <c:forward val="0"/>
            <c:backward val="0"/>
            <c:dispRSqr val="1"/>
            <c:dispEq val="1"/>
          </c:trendline>
          <c:errBars>
            <c:errDir val="x"/>
            <c:errBarType val="both"/>
            <c:errValType val="cust"/>
            <c:noEndCap val="0"/>
            <c:plus>
              <c:numRef>
                <c:f>Raman!$G$11:$G$14</c:f>
                <c:numCache>
                  <c:formatCode>General</c:formatCode>
                  <c:ptCount val="4"/>
                  <c:pt idx="0">
                    <c:v>0.001</c:v>
                  </c:pt>
                  <c:pt idx="1">
                    <c:v>0.13</c:v>
                  </c:pt>
                  <c:pt idx="2">
                    <c:v>0.1</c:v>
                  </c:pt>
                  <c:pt idx="3">
                    <c:v>0.07</c:v>
                  </c:pt>
                </c:numCache>
              </c:numRef>
            </c:plus>
            <c:minus>
              <c:numRef>
                <c:f>Raman!$G$11:$G$14</c:f>
                <c:numCache>
                  <c:formatCode>General</c:formatCode>
                  <c:ptCount val="4"/>
                  <c:pt idx="0">
                    <c:v>0.001</c:v>
                  </c:pt>
                  <c:pt idx="1">
                    <c:v>0.13</c:v>
                  </c:pt>
                  <c:pt idx="2">
                    <c:v>0.1</c:v>
                  </c:pt>
                  <c:pt idx="3">
                    <c:v>0.07</c:v>
                  </c:pt>
                </c:numCache>
              </c:numRef>
            </c:minus>
            <c:spPr>
              <a:ln w="9360">
                <a:solidFill>
                  <a:srgbClr val="595959"/>
                </a:solidFill>
                <a:round/>
              </a:ln>
            </c:spPr>
          </c:errBars>
          <c:xVal>
            <c:numRef>
              <c:f>Raman!$F$11:$F$14</c:f>
              <c:numCache>
                <c:formatCode>General</c:formatCode>
                <c:ptCount val="4"/>
                <c:pt idx="0">
                  <c:v>0.023</c:v>
                </c:pt>
                <c:pt idx="1">
                  <c:v>2.21</c:v>
                </c:pt>
                <c:pt idx="2">
                  <c:v>2.48</c:v>
                </c:pt>
                <c:pt idx="3">
                  <c:v>1.92</c:v>
                </c:pt>
              </c:numCache>
            </c:numRef>
          </c:xVal>
          <c:yVal>
            <c:numRef>
              <c:f>Raman!$L$11:$L$14</c:f>
              <c:numCache>
                <c:formatCode>General</c:formatCode>
                <c:ptCount val="4"/>
                <c:pt idx="0">
                  <c:v>0</c:v>
                </c:pt>
                <c:pt idx="1">
                  <c:v>4.50385986891878</c:v>
                </c:pt>
                <c:pt idx="2">
                  <c:v>4.85487585850868</c:v>
                </c:pt>
                <c:pt idx="3">
                  <c:v>3.38936516163147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Raman!$A$16</c:f>
              <c:strCache>
                <c:ptCount val="1"/>
                <c:pt idx="0">
                  <c:v>Mayotte</c:v>
                </c:pt>
              </c:strCache>
            </c:strRef>
          </c:tx>
          <c:spPr>
            <a:solidFill>
              <a:srgbClr val="ff0000"/>
            </a:solidFill>
            <a:ln w="25560">
              <a:noFill/>
            </a:ln>
          </c:spPr>
          <c:marker>
            <c:symbol val="square"/>
            <c:size val="8"/>
            <c:spPr>
              <a:solidFill>
                <a:srgbClr val="ff00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Raman!$M$17:$M$66</c:f>
              <c:numCache>
                <c:formatCode>General</c:formatCode>
                <c:ptCount val="50"/>
                <c:pt idx="0">
                  <c:v>1.22693904718794</c:v>
                </c:pt>
                <c:pt idx="1">
                  <c:v>1.43195664060864</c:v>
                </c:pt>
                <c:pt idx="2">
                  <c:v>1.20467986447848</c:v>
                </c:pt>
                <c:pt idx="5">
                  <c:v>0.961564642813393</c:v>
                </c:pt>
                <c:pt idx="6">
                  <c:v>0.972470958298664</c:v>
                </c:pt>
                <c:pt idx="7">
                  <c:v>1.07087034340576</c:v>
                </c:pt>
                <c:pt idx="11">
                  <c:v>0.910151409930419</c:v>
                </c:pt>
                <c:pt idx="12">
                  <c:v>0.938987612296829</c:v>
                </c:pt>
                <c:pt idx="13">
                  <c:v>0.991114168451476</c:v>
                </c:pt>
                <c:pt idx="16">
                  <c:v>1.1787338572137</c:v>
                </c:pt>
                <c:pt idx="17">
                  <c:v>1.20867637527981</c:v>
                </c:pt>
                <c:pt idx="18">
                  <c:v>1.17192186422335</c:v>
                </c:pt>
                <c:pt idx="19">
                  <c:v>1.12454885640555</c:v>
                </c:pt>
                <c:pt idx="22">
                  <c:v>1.22678052662089</c:v>
                </c:pt>
                <c:pt idx="23">
                  <c:v>1.2778667570271</c:v>
                </c:pt>
                <c:pt idx="24">
                  <c:v>1.3391318289691</c:v>
                </c:pt>
                <c:pt idx="27">
                  <c:v>0.712258123020809</c:v>
                </c:pt>
                <c:pt idx="28">
                  <c:v>0.767291244177349</c:v>
                </c:pt>
                <c:pt idx="29">
                  <c:v>0.797563716525687</c:v>
                </c:pt>
                <c:pt idx="30">
                  <c:v>0.764541020938392</c:v>
                </c:pt>
                <c:pt idx="31">
                  <c:v>0.67691129933657</c:v>
                </c:pt>
                <c:pt idx="35">
                  <c:v>0.845351659057863</c:v>
                </c:pt>
                <c:pt idx="36">
                  <c:v>0.803824710327988</c:v>
                </c:pt>
                <c:pt idx="37">
                  <c:v>0.876618688222459</c:v>
                </c:pt>
                <c:pt idx="40">
                  <c:v>1.21142512514789</c:v>
                </c:pt>
                <c:pt idx="41">
                  <c:v>1.19576563211249</c:v>
                </c:pt>
                <c:pt idx="42">
                  <c:v>1.282168850562</c:v>
                </c:pt>
                <c:pt idx="43">
                  <c:v>1.23046946059086</c:v>
                </c:pt>
              </c:numCache>
            </c:numRef>
          </c:xVal>
          <c:yVal>
            <c:numRef>
              <c:f>Raman!$L$17:$L$66</c:f>
              <c:numCache>
                <c:formatCode>General</c:formatCode>
                <c:ptCount val="50"/>
                <c:pt idx="0">
                  <c:v>2.27989555324971</c:v>
                </c:pt>
                <c:pt idx="1">
                  <c:v>2.68199655922573</c:v>
                </c:pt>
                <c:pt idx="2">
                  <c:v>2.23623861820164</c:v>
                </c:pt>
                <c:pt idx="5">
                  <c:v>1.75941673394991</c:v>
                </c:pt>
                <c:pt idx="6">
                  <c:v>1.78080729051117</c:v>
                </c:pt>
                <c:pt idx="7">
                  <c:v>1.97379800452172</c:v>
                </c:pt>
                <c:pt idx="11">
                  <c:v>1.65857996029653</c:v>
                </c:pt>
                <c:pt idx="12">
                  <c:v>1.71513640399777</c:v>
                </c:pt>
                <c:pt idx="13">
                  <c:v>1.81737221858388</c:v>
                </c:pt>
                <c:pt idx="16">
                  <c:v>2.18535071415322</c:v>
                </c:pt>
                <c:pt idx="17">
                  <c:v>2.24407697483629</c:v>
                </c:pt>
                <c:pt idx="18">
                  <c:v>2.17199035230125</c:v>
                </c:pt>
                <c:pt idx="19">
                  <c:v>2.07907767206821</c:v>
                </c:pt>
                <c:pt idx="22">
                  <c:v>2.27958464686156</c:v>
                </c:pt>
                <c:pt idx="23">
                  <c:v>2.37978007055724</c:v>
                </c:pt>
                <c:pt idx="24">
                  <c:v>2.4999392561571</c:v>
                </c:pt>
                <c:pt idx="27">
                  <c:v>1.27045185668071</c:v>
                </c:pt>
                <c:pt idx="28">
                  <c:v>1.37838831720503</c:v>
                </c:pt>
                <c:pt idx="29">
                  <c:v>1.43776171722183</c:v>
                </c:pt>
                <c:pt idx="30">
                  <c:v>1.37299430436647</c:v>
                </c:pt>
                <c:pt idx="31">
                  <c:v>1.20112613138881</c:v>
                </c:pt>
                <c:pt idx="35">
                  <c:v>1.57925197611874</c:v>
                </c:pt>
                <c:pt idx="36">
                  <c:v>1.49712412961566</c:v>
                </c:pt>
                <c:pt idx="37">
                  <c:v>1.64108877969756</c:v>
                </c:pt>
                <c:pt idx="40">
                  <c:v>2.30323547000498</c:v>
                </c:pt>
                <c:pt idx="41">
                  <c:v>2.27226569062887</c:v>
                </c:pt>
                <c:pt idx="42">
                  <c:v>2.44314533575647</c:v>
                </c:pt>
                <c:pt idx="43">
                  <c:v>2.34089945221054</c:v>
                </c:pt>
              </c:numCache>
            </c:numRef>
          </c:yVal>
          <c:smooth val="0"/>
        </c:ser>
        <c:axId val="95142673"/>
        <c:axId val="15086340"/>
      </c:scatterChart>
      <c:valAx>
        <c:axId val="95142673"/>
        <c:scaling>
          <c:orientation val="minMax"/>
          <c:min val="0"/>
        </c:scaling>
        <c:delete val="0"/>
        <c:axPos val="b"/>
        <c:title>
          <c:tx>
            <c:rich>
              <a:bodyPr rot="0"/>
              <a:lstStyle/>
              <a:p>
                <a:pPr>
                  <a:defRPr b="1" lang="en-US" sz="1500" spc="-1" strike="noStrike">
                    <a:solidFill>
                      <a:srgbClr val="595959"/>
                    </a:solidFill>
                    <a:latin typeface="Calibri"/>
                  </a:defRPr>
                </a:pPr>
                <a:r>
                  <a:rPr b="1" lang="en-US" sz="1500" spc="-1" strike="noStrike">
                    <a:solidFill>
                      <a:srgbClr val="595959"/>
                    </a:solidFill>
                    <a:latin typeface="Calibri"/>
                  </a:rPr>
                  <a:t>H2O (wt%)</a:t>
                </a:r>
              </a:p>
            </c:rich>
          </c:tx>
          <c:layout>
            <c:manualLayout>
              <c:xMode val="edge"/>
              <c:yMode val="edge"/>
              <c:x val="0.487776157900639"/>
              <c:y val="0.911442570975645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0"/>
        <c:majorTickMark val="in"/>
        <c:minorTickMark val="none"/>
        <c:tickLblPos val="nextTo"/>
        <c:spPr>
          <a:ln w="9360">
            <a:solidFill>
              <a:srgbClr val="000000"/>
            </a:solidFill>
            <a:round/>
          </a:ln>
        </c:spPr>
        <c:txPr>
          <a:bodyPr/>
          <a:lstStyle/>
          <a:p>
            <a:pPr>
              <a:defRPr b="0" sz="105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15086340"/>
        <c:crosses val="autoZero"/>
        <c:crossBetween val="midCat"/>
      </c:valAx>
      <c:valAx>
        <c:axId val="15086340"/>
        <c:scaling>
          <c:orientation val="minMax"/>
          <c:min val="0"/>
        </c:scaling>
        <c:delete val="0"/>
        <c:axPos val="l"/>
        <c:title>
          <c:tx>
            <c:rich>
              <a:bodyPr rot="-5400000"/>
              <a:lstStyle/>
              <a:p>
                <a:pPr>
                  <a:defRPr b="1" lang="en-US" sz="1500" spc="-1" strike="noStrike">
                    <a:solidFill>
                      <a:srgbClr val="595959"/>
                    </a:solidFill>
                    <a:latin typeface="Calibri"/>
                  </a:defRPr>
                </a:pPr>
                <a:r>
                  <a:rPr b="1" lang="en-US" sz="1500" spc="-1" strike="noStrike">
                    <a:solidFill>
                      <a:srgbClr val="595959"/>
                    </a:solidFill>
                    <a:latin typeface="Calibri"/>
                  </a:rPr>
                  <a:t>OH/Si</a:t>
                </a:r>
              </a:p>
            </c:rich>
          </c:tx>
          <c:layout>
            <c:manualLayout>
              <c:xMode val="edge"/>
              <c:yMode val="edge"/>
              <c:x val="0.0314006953011102"/>
              <c:y val="0.412595474852284"/>
            </c:manualLayout>
          </c:layout>
          <c:overlay val="0"/>
          <c:spPr>
            <a:noFill/>
            <a:ln w="0">
              <a:noFill/>
            </a:ln>
          </c:spPr>
        </c:title>
        <c:numFmt formatCode="0.00" sourceLinked="0"/>
        <c:majorTickMark val="in"/>
        <c:minorTickMark val="none"/>
        <c:tickLblPos val="nextTo"/>
        <c:spPr>
          <a:ln w="9360">
            <a:solidFill>
              <a:srgbClr val="000000"/>
            </a:solidFill>
            <a:round/>
          </a:ln>
        </c:spPr>
        <c:txPr>
          <a:bodyPr/>
          <a:lstStyle/>
          <a:p>
            <a:pPr>
              <a:defRPr b="0" sz="105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95142673"/>
        <c:crosses val="autoZero"/>
        <c:crossBetween val="midCat"/>
      </c:valAx>
      <c:spPr>
        <a:noFill/>
        <a:ln w="0">
          <a:solidFill>
            <a:srgbClr val="000000"/>
          </a:solidFill>
        </a:ln>
      </c:spPr>
    </c:plotArea>
    <c:legend>
      <c:legendPos val="t"/>
      <c:layout>
        <c:manualLayout>
          <c:xMode val="edge"/>
          <c:yMode val="edge"/>
          <c:x val="0.279765555188528"/>
          <c:y val="0.727107142845077"/>
          <c:w val="0.664437908875199"/>
          <c:h val="0.0994555158515381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b="0" sz="1100" spc="-1" strike="noStrike">
              <a:solidFill>
                <a:srgbClr val="595959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  <c:userShapes r:id="rId1"/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46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47.xml"/><Relationship Id="rId2" Type="http://schemas.openxmlformats.org/officeDocument/2006/relationships/chart" Target="../charts/chart48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399960</xdr:colOff>
      <xdr:row>4</xdr:row>
      <xdr:rowOff>7560</xdr:rowOff>
    </xdr:from>
    <xdr:to>
      <xdr:col>20</xdr:col>
      <xdr:colOff>230760</xdr:colOff>
      <xdr:row>17</xdr:row>
      <xdr:rowOff>174240</xdr:rowOff>
    </xdr:to>
    <xdr:graphicFrame>
      <xdr:nvGraphicFramePr>
        <xdr:cNvPr id="0" name="Graphique 1"/>
        <xdr:cNvGraphicFramePr/>
      </xdr:nvGraphicFramePr>
      <xdr:xfrm>
        <a:off x="18628920" y="769680"/>
        <a:ext cx="4398840" cy="26431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1174680</xdr:colOff>
      <xdr:row>0</xdr:row>
      <xdr:rowOff>127080</xdr:rowOff>
    </xdr:from>
    <xdr:to>
      <xdr:col>23</xdr:col>
      <xdr:colOff>14760</xdr:colOff>
      <xdr:row>30</xdr:row>
      <xdr:rowOff>117000</xdr:rowOff>
    </xdr:to>
    <xdr:graphicFrame>
      <xdr:nvGraphicFramePr>
        <xdr:cNvPr id="1" name="Graphique 1"/>
        <xdr:cNvGraphicFramePr/>
      </xdr:nvGraphicFramePr>
      <xdr:xfrm>
        <a:off x="11956320" y="127080"/>
        <a:ext cx="6505920" cy="48477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14</xdr:col>
      <xdr:colOff>1265400</xdr:colOff>
      <xdr:row>30</xdr:row>
      <xdr:rowOff>111240</xdr:rowOff>
    </xdr:from>
    <xdr:to>
      <xdr:col>23</xdr:col>
      <xdr:colOff>19440</xdr:colOff>
      <xdr:row>61</xdr:row>
      <xdr:rowOff>87480</xdr:rowOff>
    </xdr:to>
    <xdr:graphicFrame>
      <xdr:nvGraphicFramePr>
        <xdr:cNvPr id="3" name="Graphique 2"/>
        <xdr:cNvGraphicFramePr/>
      </xdr:nvGraphicFramePr>
      <xdr:xfrm>
        <a:off x="12047040" y="4969080"/>
        <a:ext cx="6419880" cy="49957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twoCell">
    <xdr:from>
      <xdr:col>16</xdr:col>
      <xdr:colOff>527040</xdr:colOff>
      <xdr:row>4</xdr:row>
      <xdr:rowOff>139680</xdr:rowOff>
    </xdr:from>
    <xdr:to>
      <xdr:col>16</xdr:col>
      <xdr:colOff>527040</xdr:colOff>
      <xdr:row>5</xdr:row>
      <xdr:rowOff>133200</xdr:rowOff>
    </xdr:to>
    <xdr:sp>
      <xdr:nvSpPr>
        <xdr:cNvPr id="5" name="Connettore diritto 5"/>
        <xdr:cNvSpPr/>
      </xdr:nvSpPr>
      <xdr:spPr>
        <a:xfrm>
          <a:off x="13426920" y="787320"/>
          <a:ext cx="0" cy="155520"/>
        </a:xfrm>
        <a:prstGeom prst="line">
          <a:avLst/>
        </a:prstGeom>
        <a:ln w="28575">
          <a:solidFill>
            <a:srgbClr val="000000"/>
          </a:solidFill>
          <a:round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16</xdr:col>
      <xdr:colOff>567000</xdr:colOff>
      <xdr:row>35</xdr:row>
      <xdr:rowOff>25920</xdr:rowOff>
    </xdr:from>
    <xdr:to>
      <xdr:col>16</xdr:col>
      <xdr:colOff>567000</xdr:colOff>
      <xdr:row>37</xdr:row>
      <xdr:rowOff>56880</xdr:rowOff>
    </xdr:to>
    <xdr:sp>
      <xdr:nvSpPr>
        <xdr:cNvPr id="6" name="Connettore diritto 7"/>
        <xdr:cNvSpPr/>
      </xdr:nvSpPr>
      <xdr:spPr>
        <a:xfrm>
          <a:off x="13466880" y="5693400"/>
          <a:ext cx="0" cy="354600"/>
        </a:xfrm>
        <a:prstGeom prst="line">
          <a:avLst/>
        </a:prstGeom>
        <a:ln w="28575">
          <a:solidFill>
            <a:srgbClr val="000000"/>
          </a:solidFill>
          <a:round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/>
      </xdr:style>
    </xdr:sp>
    <xdr:clientData/>
  </xdr:twoCellAnchor>
</xdr:wsDr>
</file>

<file path=xl/drawings/drawing3.xml><?xml version="1.0" encoding="utf-8"?>
<c:userShapes xmlns:cdr="http://schemas.openxmlformats.org/drawingml/2006/chartDrawing" xmlns:a="http://schemas.openxmlformats.org/drawingml/2006/main" xmlns:c="http://schemas.openxmlformats.org/drawingml/2006/chart" xmlns:r="http://schemas.openxmlformats.org/officeDocument/2006/relationships">
  <cdr:relSizeAnchor>
    <cdr:from>
      <cdr:x>0.222209926409561</cdr:x>
      <cdr:y>0.116878295091706</cdr:y>
    </cdr:from>
    <cdr:to>
      <cdr:x>0.312953023847729</cdr:x>
      <cdr:y>0.191802183114279</cdr:y>
    </cdr:to>
    <cdr:sp>
      <cdr:nvSpPr>
        <cdr:cNvPr id="2" name="CasellaDiTesto 1"/>
        <cdr:cNvSpPr/>
      </cdr:nvSpPr>
      <cdr:spPr>
        <a:xfrm>
          <a:off x="1445760" y="566640"/>
          <a:ext cx="590400" cy="363240"/>
        </a:xfrm>
        <a:prstGeom prst="rect">
          <a:avLst/>
        </a:prstGeom>
        <a:noFill/>
        <a:ln w="0">
          <a:noFill/>
        </a:ln>
      </cdr:spPr>
      <cdr:style>
        <a:lnRef idx="0"/>
        <a:fillRef idx="0"/>
        <a:effectRef idx="0"/>
        <a:fontRef idx="minor"/>
      </cdr:style>
      <cdr:txBody>
        <a:bodyPr vertOverflow="clip" lIns="90000" rIns="90000" tIns="45000" bIns="45000" anchor="t">
          <a:noAutofit/>
        </a:bodyPr>
        <a:p>
          <a:pPr>
            <a:lnSpc>
              <a:spcPct val="100000"/>
            </a:lnSpc>
          </a:pPr>
          <a:r>
            <a:rPr b="0" lang="el-GR" sz="1400" spc="-1" strike="noStrike">
              <a:latin typeface="Calibri"/>
            </a:rPr>
            <a:t>σ</a:t>
          </a:r>
          <a:r>
            <a:rPr b="0" lang="it-IT" sz="1400" spc="-1" strike="noStrike" baseline="-25000">
              <a:latin typeface="Calibri"/>
            </a:rPr>
            <a:t>y</a:t>
          </a:r>
          <a:endParaRPr b="0" sz="1400" spc="-1" strike="noStrike">
            <a:latin typeface="Times New Roman"/>
          </a:endParaRPr>
        </a:p>
      </cdr:txBody>
    </cdr:sp>
  </cdr:relSizeAnchor>
</c:userShapes>
</file>

<file path=xl/drawings/drawing4.xml><?xml version="1.0" encoding="utf-8"?>
<c:userShapes xmlns:cdr="http://schemas.openxmlformats.org/drawingml/2006/chartDrawing" xmlns:a="http://schemas.openxmlformats.org/drawingml/2006/main" xmlns:c="http://schemas.openxmlformats.org/drawingml/2006/chart" xmlns:r="http://schemas.openxmlformats.org/officeDocument/2006/relationships">
  <cdr:relSizeAnchor>
    <cdr:from>
      <cdr:x>0.222103846585174</cdr:x>
      <cdr:y>0.151030407839746</cdr:y>
    </cdr:from>
    <cdr:to>
      <cdr:x>0.314119098351464</cdr:x>
      <cdr:y>0.223735408560311</cdr:y>
    </cdr:to>
    <cdr:sp>
      <cdr:nvSpPr>
        <cdr:cNvPr id="4" name="CasellaDiTesto 1"/>
        <cdr:cNvSpPr/>
      </cdr:nvSpPr>
      <cdr:spPr>
        <a:xfrm>
          <a:off x="1425960" y="754560"/>
          <a:ext cx="590760" cy="363240"/>
        </a:xfrm>
        <a:prstGeom prst="rect">
          <a:avLst/>
        </a:prstGeom>
        <a:noFill/>
        <a:ln w="0">
          <a:noFill/>
        </a:ln>
      </cdr:spPr>
      <cdr:style>
        <a:lnRef idx="0"/>
        <a:fillRef idx="0"/>
        <a:effectRef idx="0"/>
        <a:fontRef idx="minor"/>
      </cdr:style>
      <cdr:txBody>
        <a:bodyPr lIns="90000" rIns="90000" tIns="45000" bIns="45000" anchor="t">
          <a:noAutofit/>
        </a:bodyPr>
        <a:p>
          <a:pPr>
            <a:lnSpc>
              <a:spcPct val="100000"/>
            </a:lnSpc>
            <a:tabLst>
              <a:tab algn="l" pos="0"/>
            </a:tabLst>
          </a:pPr>
          <a:r>
            <a:rPr b="0" lang="el-GR" sz="1400" spc="-1" strike="noStrike">
              <a:latin typeface="Calibri"/>
            </a:rPr>
            <a:t>σ</a:t>
          </a:r>
          <a:r>
            <a:rPr b="0" lang="it-IT" sz="1400" spc="-1" strike="noStrike" baseline="-25000">
              <a:latin typeface="Calibri"/>
            </a:rPr>
            <a:t>y</a:t>
          </a:r>
          <a:endParaRPr b="0" sz="1400" spc="-1" strike="noStrike">
            <a:latin typeface="Times New Roman"/>
          </a:endParaRPr>
        </a:p>
      </cdr:txBody>
    </cdr:sp>
  </cdr:relSizeAnchor>
</c:userShape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17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O76"/>
  <sheetViews>
    <sheetView showFormulas="false" showGridLines="true" showRowColHeaders="true" showZeros="true" rightToLeft="false" tabSelected="true" showOutlineSymbols="true" defaultGridColor="true" view="normal" topLeftCell="A2" colorId="64" zoomScale="55" zoomScaleNormal="55" zoomScalePageLayoutView="100" workbookViewId="0">
      <pane xSplit="0" ySplit="796" topLeftCell="A49" activePane="bottomLeft" state="split"/>
      <selection pane="topLeft" activeCell="A2" activeCellId="0" sqref="A2"/>
      <selection pane="bottomLeft" activeCell="L75" activeCellId="0" sqref="L75"/>
    </sheetView>
  </sheetViews>
  <sheetFormatPr defaultColWidth="10.64453125" defaultRowHeight="15" zeroHeight="false" outlineLevelRow="0" outlineLevelCol="0"/>
  <cols>
    <col collapsed="false" customWidth="true" hidden="false" outlineLevel="0" max="1" min="1" style="1" width="12.2"/>
    <col collapsed="false" customWidth="true" hidden="false" outlineLevel="0" max="2" min="2" style="1" width="21.55"/>
    <col collapsed="false" customWidth="true" hidden="false" outlineLevel="0" max="3" min="3" style="1" width="23.4"/>
    <col collapsed="false" customWidth="true" hidden="false" outlineLevel="0" max="4" min="4" style="1" width="18.02"/>
    <col collapsed="false" customWidth="true" hidden="false" outlineLevel="0" max="5" min="5" style="1" width="18.35"/>
    <col collapsed="false" customWidth="true" hidden="false" outlineLevel="0" max="6" min="6" style="1" width="16.5"/>
    <col collapsed="false" customWidth="true" hidden="false" outlineLevel="0" max="7" min="7" style="1" width="18.51"/>
    <col collapsed="false" customWidth="true" hidden="false" outlineLevel="0" max="9" min="8" style="1" width="13.63"/>
    <col collapsed="false" customWidth="true" hidden="false" outlineLevel="0" max="10" min="10" style="2" width="14.14"/>
    <col collapsed="false" customWidth="true" hidden="false" outlineLevel="0" max="11" min="11" style="1" width="22.22"/>
    <col collapsed="false" customWidth="true" hidden="false" outlineLevel="0" max="12" min="12" style="1" width="21.55"/>
    <col collapsed="false" customWidth="true" hidden="false" outlineLevel="0" max="13" min="13" style="1" width="16.83"/>
    <col collapsed="false" customWidth="true" hidden="false" outlineLevel="0" max="14" min="14" style="2" width="8.69"/>
    <col collapsed="false" customWidth="true" hidden="false" outlineLevel="0" max="16" min="15" style="1" width="8.69"/>
  </cols>
  <sheetData>
    <row r="3" customFormat="false" ht="15" hidden="false" customHeight="false" outlineLevel="0" collapsed="false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2" t="s">
        <v>9</v>
      </c>
      <c r="K3" s="1" t="s">
        <v>10</v>
      </c>
      <c r="L3" s="1" t="s">
        <v>11</v>
      </c>
      <c r="M3" s="1" t="s">
        <v>12</v>
      </c>
      <c r="N3" s="2" t="s">
        <v>13</v>
      </c>
    </row>
    <row r="4" customFormat="false" ht="15" hidden="false" customHeight="false" outlineLevel="0" collapsed="false">
      <c r="B4" s="1" t="n">
        <v>2259</v>
      </c>
      <c r="D4" s="1" t="n">
        <v>3254</v>
      </c>
      <c r="H4" s="1" t="n">
        <v>1300</v>
      </c>
    </row>
    <row r="5" customFormat="false" ht="15" hidden="false" customHeight="false" outlineLevel="0" collapsed="false">
      <c r="A5" s="1" t="s">
        <v>14</v>
      </c>
    </row>
    <row r="6" customFormat="false" ht="15" hidden="false" customHeight="false" outlineLevel="0" collapsed="false">
      <c r="A6" s="1" t="s">
        <v>15</v>
      </c>
      <c r="B6" s="3" t="n">
        <v>50.4803475553549</v>
      </c>
      <c r="C6" s="3" t="n">
        <v>48.0196969080104</v>
      </c>
      <c r="D6" s="3" t="n">
        <v>51.1889582257819</v>
      </c>
      <c r="E6" s="3" t="n">
        <v>48.4718592459989</v>
      </c>
      <c r="F6" s="3" t="n">
        <v>50.9044599440323</v>
      </c>
      <c r="G6" s="3" t="n">
        <v>46.9811912956825</v>
      </c>
      <c r="H6" s="3" t="n">
        <v>48.3213319927627</v>
      </c>
      <c r="I6" s="3" t="n">
        <v>45.3901379346064</v>
      </c>
      <c r="J6" s="4" t="n">
        <v>44.7185194136532</v>
      </c>
      <c r="K6" s="3" t="n">
        <v>56.0945156385155</v>
      </c>
      <c r="L6" s="3" t="n">
        <v>59.5770738409744</v>
      </c>
      <c r="M6" s="3" t="n">
        <v>59.8456780064366</v>
      </c>
      <c r="N6" s="4" t="n">
        <v>59.2023453450057</v>
      </c>
      <c r="O6" s="3"/>
    </row>
    <row r="7" customFormat="false" ht="15" hidden="false" customHeight="false" outlineLevel="0" collapsed="false">
      <c r="A7" s="1" t="s">
        <v>16</v>
      </c>
      <c r="B7" s="3" t="n">
        <v>2.721188124509</v>
      </c>
      <c r="C7" s="3" t="n">
        <v>2.88896113008189</v>
      </c>
      <c r="D7" s="3" t="n">
        <v>2.71920779154541</v>
      </c>
      <c r="E7" s="3" t="n">
        <v>2.5687151377664</v>
      </c>
      <c r="F7" s="3" t="n">
        <v>2.37190776141439</v>
      </c>
      <c r="G7" s="3" t="n">
        <v>3.84987667784867</v>
      </c>
      <c r="H7" s="3" t="n">
        <v>2.61797610435395</v>
      </c>
      <c r="I7" s="3" t="n">
        <v>3.40834223851511</v>
      </c>
      <c r="J7" s="4" t="n">
        <v>3.86486306284188</v>
      </c>
      <c r="K7" s="3" t="n">
        <v>1.15385520794542</v>
      </c>
      <c r="L7" s="3" t="n">
        <v>0.213418546570905</v>
      </c>
      <c r="M7" s="3" t="n">
        <v>0.240862041112196</v>
      </c>
      <c r="N7" s="4" t="n">
        <v>0.0490055792393535</v>
      </c>
      <c r="O7" s="3"/>
    </row>
    <row r="8" customFormat="false" ht="15" hidden="false" customHeight="false" outlineLevel="0" collapsed="false">
      <c r="A8" s="1" t="s">
        <v>17</v>
      </c>
      <c r="B8" s="3" t="n">
        <v>16.4196702554185</v>
      </c>
      <c r="C8" s="3" t="n">
        <v>15.5899824106702</v>
      </c>
      <c r="D8" s="3" t="n">
        <v>16.8199754994449</v>
      </c>
      <c r="E8" s="3" t="n">
        <v>15.2113758958387</v>
      </c>
      <c r="F8" s="3" t="n">
        <v>15.9275569184989</v>
      </c>
      <c r="G8" s="3" t="n">
        <v>14.4105455908985</v>
      </c>
      <c r="H8" s="3" t="n">
        <v>15.169159305811</v>
      </c>
      <c r="I8" s="3" t="n">
        <v>15.9188984583913</v>
      </c>
      <c r="J8" s="4" t="n">
        <v>14.0872647132555</v>
      </c>
      <c r="K8" s="3" t="n">
        <v>17.8105819095124</v>
      </c>
      <c r="L8" s="3" t="n">
        <v>18.695167599039</v>
      </c>
      <c r="M8" s="3" t="n">
        <v>18.5890110969559</v>
      </c>
      <c r="N8" s="4" t="n">
        <v>19.4883557922493</v>
      </c>
      <c r="O8" s="3"/>
    </row>
    <row r="9" customFormat="false" ht="15" hidden="false" customHeight="false" outlineLevel="0" collapsed="false">
      <c r="A9" s="1" t="s">
        <v>18</v>
      </c>
      <c r="B9" s="3" t="n">
        <v>10.4305105068557</v>
      </c>
      <c r="C9" s="3" t="n">
        <v>11.5105227013127</v>
      </c>
      <c r="D9" s="3" t="n">
        <v>9.85507445492476</v>
      </c>
      <c r="E9" s="3" t="n">
        <v>12.1330153066879</v>
      </c>
      <c r="F9" s="3" t="n">
        <v>10.1444736785091</v>
      </c>
      <c r="G9" s="3" t="n">
        <v>11.7682354256402</v>
      </c>
      <c r="H9" s="3" t="n">
        <v>11.9532938481646</v>
      </c>
      <c r="I9" s="3" t="n">
        <v>11.9256519580321</v>
      </c>
      <c r="J9" s="4" t="n">
        <v>12.8835407038012</v>
      </c>
      <c r="K9" s="3" t="n">
        <v>7.91095740893473</v>
      </c>
      <c r="L9" s="3" t="n">
        <v>5.68458974442139</v>
      </c>
      <c r="M9" s="3" t="n">
        <v>5.55907536838388</v>
      </c>
      <c r="N9" s="4" t="n">
        <v>5.05215895485532</v>
      </c>
      <c r="O9" s="3"/>
    </row>
    <row r="10" customFormat="false" ht="15" hidden="false" customHeight="false" outlineLevel="0" collapsed="false">
      <c r="A10" s="1" t="s">
        <v>19</v>
      </c>
      <c r="B10" s="3" t="n">
        <v>0.22326078729</v>
      </c>
      <c r="C10" s="3" t="n">
        <v>0.237469385038922</v>
      </c>
      <c r="D10" s="3" t="n">
        <v>0.231257160032213</v>
      </c>
      <c r="E10" s="3" t="n">
        <v>0.26860214371401</v>
      </c>
      <c r="F10" s="3" t="n">
        <v>0.250079275242799</v>
      </c>
      <c r="G10" s="3" t="n">
        <v>0.220455719219141</v>
      </c>
      <c r="H10" s="3" t="n">
        <v>0.28535692316485</v>
      </c>
      <c r="I10" s="3" t="n">
        <v>0.205619501371159</v>
      </c>
      <c r="J10" s="4" t="n">
        <v>0.231282867933053</v>
      </c>
      <c r="K10" s="3" t="n">
        <v>0.19750301024869</v>
      </c>
      <c r="L10" s="3" t="n">
        <v>0.238162725883474</v>
      </c>
      <c r="M10" s="3" t="n">
        <v>0.246067563372057</v>
      </c>
      <c r="N10" s="4" t="n">
        <v>0.23296450891712</v>
      </c>
      <c r="O10" s="3"/>
    </row>
    <row r="11" customFormat="false" ht="15" hidden="false" customHeight="false" outlineLevel="0" collapsed="false">
      <c r="A11" s="1" t="s">
        <v>20</v>
      </c>
      <c r="B11" s="3" t="n">
        <v>3.33273619119146</v>
      </c>
      <c r="C11" s="3" t="n">
        <v>3.75856965744517</v>
      </c>
      <c r="D11" s="3" t="n">
        <v>3.22872636448312</v>
      </c>
      <c r="E11" s="3" t="n">
        <v>3.85875489235247</v>
      </c>
      <c r="F11" s="3" t="n">
        <v>3.05225394451192</v>
      </c>
      <c r="G11" s="3" t="n">
        <v>4.05684652448753</v>
      </c>
      <c r="H11" s="3" t="n">
        <v>3.89655973685913</v>
      </c>
      <c r="I11" s="3" t="n">
        <v>4.52573794812827</v>
      </c>
      <c r="J11" s="4" t="n">
        <v>4.70741171815673</v>
      </c>
      <c r="K11" s="3" t="n">
        <v>1.44796824935592</v>
      </c>
      <c r="L11" s="3" t="n">
        <v>0.315356668260184</v>
      </c>
      <c r="M11" s="3" t="n">
        <v>0.288854720085568</v>
      </c>
      <c r="N11" s="4" t="n">
        <v>0.0578136032565171</v>
      </c>
      <c r="O11" s="3"/>
    </row>
    <row r="12" customFormat="false" ht="15" hidden="false" customHeight="false" outlineLevel="0" collapsed="false">
      <c r="A12" s="1" t="s">
        <v>21</v>
      </c>
      <c r="B12" s="3" t="n">
        <v>6.86969085527003</v>
      </c>
      <c r="C12" s="3" t="n">
        <v>8.55150185100261</v>
      </c>
      <c r="D12" s="3" t="n">
        <v>6.7815232916189</v>
      </c>
      <c r="E12" s="3" t="n">
        <v>7.44191200888285</v>
      </c>
      <c r="F12" s="3" t="n">
        <v>6.81411627354493</v>
      </c>
      <c r="G12" s="3" t="n">
        <v>9.23094638552366</v>
      </c>
      <c r="H12" s="3" t="n">
        <v>7.45071372600923</v>
      </c>
      <c r="I12" s="3" t="n">
        <v>11.3584564043755</v>
      </c>
      <c r="J12" s="4" t="n">
        <v>10.1688865196437</v>
      </c>
      <c r="K12" s="3" t="n">
        <v>3.87876415900584</v>
      </c>
      <c r="L12" s="3" t="n">
        <v>1.2592455751682</v>
      </c>
      <c r="M12" s="3" t="n">
        <v>1.3637391601832</v>
      </c>
      <c r="N12" s="4" t="n">
        <v>1.08898082199571</v>
      </c>
      <c r="O12" s="3"/>
    </row>
    <row r="13" customFormat="false" ht="15" hidden="false" customHeight="false" outlineLevel="0" collapsed="false">
      <c r="A13" s="1" t="s">
        <v>22</v>
      </c>
      <c r="B13" s="3" t="n">
        <v>5.04261183556423</v>
      </c>
      <c r="C13" s="3" t="n">
        <v>5.16253338428335</v>
      </c>
      <c r="D13" s="3" t="n">
        <v>4.96213405142407</v>
      </c>
      <c r="E13" s="3" t="n">
        <v>5.22412715366372</v>
      </c>
      <c r="F13" s="3" t="n">
        <v>5.92472354957256</v>
      </c>
      <c r="G13" s="3" t="n">
        <v>4.9355797853741</v>
      </c>
      <c r="H13" s="3" t="n">
        <v>5.31706512796835</v>
      </c>
      <c r="I13" s="3" t="n">
        <v>3.9351065267186</v>
      </c>
      <c r="J13" s="4" t="n">
        <v>4.68235089627488</v>
      </c>
      <c r="K13" s="3" t="n">
        <v>6.76298218034405</v>
      </c>
      <c r="L13" s="3" t="n">
        <v>7.70184204056748</v>
      </c>
      <c r="M13" s="3" t="n">
        <v>7.62348527895284</v>
      </c>
      <c r="N13" s="4" t="n">
        <v>8.86351971936296</v>
      </c>
      <c r="O13" s="3"/>
    </row>
    <row r="14" customFormat="false" ht="15" hidden="false" customHeight="false" outlineLevel="0" collapsed="false">
      <c r="A14" s="1" t="s">
        <v>23</v>
      </c>
      <c r="B14" s="3" t="n">
        <v>2.9400609002192</v>
      </c>
      <c r="C14" s="3" t="n">
        <v>2.9929037150045</v>
      </c>
      <c r="D14" s="3" t="n">
        <v>2.97582560452927</v>
      </c>
      <c r="E14" s="3" t="n">
        <v>3.15062367990398</v>
      </c>
      <c r="F14" s="3" t="n">
        <v>3.38578676727612</v>
      </c>
      <c r="G14" s="3" t="n">
        <v>3.07321262487664</v>
      </c>
      <c r="H14" s="3" t="n">
        <v>3.39999338237395</v>
      </c>
      <c r="I14" s="3" t="n">
        <v>2.35671582340789</v>
      </c>
      <c r="J14" s="4" t="n">
        <v>2.70665638849022</v>
      </c>
      <c r="K14" s="3" t="n">
        <v>4.25733320017825</v>
      </c>
      <c r="L14" s="3" t="n">
        <v>6.13480783070544</v>
      </c>
      <c r="M14" s="3" t="n">
        <v>6.01892548992682</v>
      </c>
      <c r="N14" s="4" t="n">
        <v>5.90181906814608</v>
      </c>
      <c r="O14" s="3"/>
    </row>
    <row r="15" customFormat="false" ht="15" hidden="false" customHeight="false" outlineLevel="0" collapsed="false">
      <c r="A15" s="1" t="s">
        <v>24</v>
      </c>
      <c r="B15" s="3" t="n">
        <v>1.49259662758542</v>
      </c>
      <c r="C15" s="3" t="n">
        <v>1.25535032030105</v>
      </c>
      <c r="D15" s="3" t="n">
        <v>1.22653339729801</v>
      </c>
      <c r="E15" s="3" t="n">
        <v>1.66143908720465</v>
      </c>
      <c r="F15" s="3" t="n">
        <v>1.19951578559773</v>
      </c>
      <c r="G15" s="3" t="n">
        <v>1.44182653277872</v>
      </c>
      <c r="H15" s="3" t="n">
        <v>1.57021038034806</v>
      </c>
      <c r="I15" s="3" t="n">
        <v>0.962783077008483</v>
      </c>
      <c r="J15" s="4" t="n">
        <v>1.93265457751525</v>
      </c>
      <c r="K15" s="3" t="n">
        <v>0.465493180416537</v>
      </c>
      <c r="L15" s="3" t="n">
        <v>0.156286944107957</v>
      </c>
      <c r="M15" s="3" t="n">
        <v>0.209065700689593</v>
      </c>
      <c r="N15" s="4" t="n">
        <v>0.0630366069719579</v>
      </c>
      <c r="O15" s="3"/>
    </row>
    <row r="16" customFormat="false" ht="15" hidden="false" customHeight="false" outlineLevel="0" collapsed="false">
      <c r="A16" s="1" t="s">
        <v>25</v>
      </c>
      <c r="B16" s="3" t="n">
        <v>0.961</v>
      </c>
      <c r="C16" s="3" t="n">
        <v>1.2576</v>
      </c>
      <c r="D16" s="3" t="n">
        <v>1.148</v>
      </c>
      <c r="E16" s="3" t="n">
        <v>1.137</v>
      </c>
      <c r="F16" s="3" t="n">
        <v>1.254</v>
      </c>
      <c r="H16" s="3" t="n">
        <v>0.7329</v>
      </c>
      <c r="I16" s="3" t="n">
        <v>0.8787</v>
      </c>
      <c r="J16" s="2" t="n">
        <v>1.03</v>
      </c>
      <c r="K16" s="1" t="n">
        <v>1.53</v>
      </c>
      <c r="L16" s="1" t="n">
        <v>1.78</v>
      </c>
      <c r="M16" s="1" t="n">
        <v>1.61</v>
      </c>
      <c r="N16" s="2" t="n">
        <v>1.27</v>
      </c>
    </row>
    <row r="17" customFormat="false" ht="15" hidden="false" customHeight="false" outlineLevel="0" collapsed="false">
      <c r="A17" s="1" t="s">
        <v>26</v>
      </c>
      <c r="B17" s="5" t="n">
        <v>869.052631578947</v>
      </c>
      <c r="C17" s="5" t="n">
        <v>1061.05</v>
      </c>
      <c r="D17" s="5" t="n">
        <v>985.05</v>
      </c>
      <c r="E17" s="5" t="n">
        <v>1071.85</v>
      </c>
      <c r="F17" s="5" t="n">
        <v>815.333333333333</v>
      </c>
      <c r="G17" s="5" t="n">
        <v>1318.05</v>
      </c>
      <c r="H17" s="5" t="n">
        <v>642.9</v>
      </c>
      <c r="I17" s="5" t="n">
        <v>918.05</v>
      </c>
      <c r="J17" s="6" t="n">
        <v>1218.05</v>
      </c>
      <c r="K17" s="5" t="n">
        <v>393.35</v>
      </c>
      <c r="L17" s="5" t="n">
        <v>111.35</v>
      </c>
      <c r="M17" s="5" t="n">
        <v>115.05</v>
      </c>
      <c r="N17" s="6" t="n">
        <v>50</v>
      </c>
    </row>
    <row r="18" customFormat="false" ht="15" hidden="false" customHeight="false" outlineLevel="0" collapsed="false">
      <c r="A18" s="1" t="s">
        <v>27</v>
      </c>
      <c r="B18" s="5" t="n">
        <v>1830.31578947368</v>
      </c>
      <c r="C18" s="5" t="n">
        <v>1726.45</v>
      </c>
      <c r="D18" s="5" t="n">
        <v>1568.7</v>
      </c>
      <c r="E18" s="5" t="n">
        <v>2356.65</v>
      </c>
      <c r="F18" s="5" t="n">
        <v>1392.27777777778</v>
      </c>
      <c r="G18" s="5" t="n">
        <v>1872.4</v>
      </c>
      <c r="H18" s="5" t="n">
        <v>1477.65</v>
      </c>
      <c r="I18" s="5" t="n">
        <v>1437.2</v>
      </c>
      <c r="J18" s="6" t="n">
        <v>1898.45</v>
      </c>
      <c r="K18" s="5" t="n">
        <v>1230.65</v>
      </c>
      <c r="L18" s="5" t="n">
        <v>1678.35</v>
      </c>
      <c r="M18" s="5" t="n">
        <v>1678.75</v>
      </c>
      <c r="N18" s="6" t="n">
        <v>2234</v>
      </c>
    </row>
    <row r="19" customFormat="false" ht="15" hidden="false" customHeight="false" outlineLevel="0" collapsed="false">
      <c r="A19" s="1" t="s">
        <v>28</v>
      </c>
      <c r="B19" s="5" t="n">
        <v>956.736842105263</v>
      </c>
      <c r="C19" s="5" t="n">
        <v>1289.1</v>
      </c>
      <c r="D19" s="5" t="n">
        <v>717.9</v>
      </c>
      <c r="E19" s="5" t="n">
        <v>1146.65</v>
      </c>
      <c r="F19" s="5" t="n">
        <v>1412.11111111111</v>
      </c>
      <c r="G19" s="5" t="n">
        <v>1416.55</v>
      </c>
      <c r="H19" s="5" t="n">
        <v>1774.4</v>
      </c>
      <c r="I19" s="5" t="n">
        <v>1293.8</v>
      </c>
      <c r="J19" s="6" t="n">
        <v>1573.2</v>
      </c>
      <c r="K19" s="5" t="n">
        <v>1240.3</v>
      </c>
      <c r="L19" s="5" t="n">
        <v>1556.85</v>
      </c>
      <c r="M19" s="5" t="n">
        <v>1492.25</v>
      </c>
      <c r="N19" s="6" t="n">
        <v>2301.2</v>
      </c>
    </row>
    <row r="20" customFormat="false" ht="15" hidden="false" customHeight="false" outlineLevel="0" collapsed="false">
      <c r="A20" s="1" t="s">
        <v>29</v>
      </c>
      <c r="B20" s="7" t="n">
        <f aca="false">(B11/40.304)/(B11/40.34+B9/71.846)*100</f>
        <v>36.3001826231904</v>
      </c>
      <c r="C20" s="7" t="n">
        <f aca="false">(C11/40.304)/(C11/40.34+C9/71.846)*100</f>
        <v>36.8041191765973</v>
      </c>
      <c r="D20" s="7" t="n">
        <f aca="false">(D11/40.304)/(D11/40.34+D9/71.846)*100</f>
        <v>36.8815147216104</v>
      </c>
      <c r="E20" s="7" t="n">
        <f aca="false">(E11/40.304)/(E11/40.34+E9/71.846)*100</f>
        <v>36.1928094936632</v>
      </c>
      <c r="F20" s="7" t="n">
        <f aca="false">(F11/40.304)/(F11/40.34+F9/71.846)*100</f>
        <v>34.9214034118631</v>
      </c>
      <c r="G20" s="7" t="n">
        <f aca="false">(G11/40.304)/(G11/40.34+G9/71.846)*100</f>
        <v>38.0747833880342</v>
      </c>
      <c r="H20" s="7" t="n">
        <f aca="false">(H11/40.304)/(H11/40.34+H9/71.846)*100</f>
        <v>36.7648080088544</v>
      </c>
      <c r="I20" s="7" t="n">
        <f aca="false">(I11/40.304)/(I11/40.34+I9/71.846)*100</f>
        <v>40.3661224369324</v>
      </c>
      <c r="J20" s="7" t="n">
        <f aca="false">(J11/40.304)/(J11/40.34+J9/71.846)*100</f>
        <v>39.4566578285156</v>
      </c>
      <c r="K20" s="7" t="n">
        <f aca="false">(K11/40.304)/(K11/40.34+K9/71.846)*100</f>
        <v>24.6062851375286</v>
      </c>
      <c r="L20" s="7" t="n">
        <f aca="false">(L11/40.304)/(L11/40.34+L9/71.846)*100</f>
        <v>8.99989716883334</v>
      </c>
      <c r="M20" s="7" t="n">
        <f aca="false">(M11/40.304)/(M11/40.34+M9/71.846)*100</f>
        <v>8.47798821858523</v>
      </c>
      <c r="N20" s="8" t="n">
        <f aca="false">(N11/40.304)/(N11/40.34+N9/71.846)*100</f>
        <v>1.99914929058057</v>
      </c>
    </row>
    <row r="21" customFormat="false" ht="15" hidden="false" customHeight="false" outlineLevel="0" collapsed="false">
      <c r="C21" s="5"/>
      <c r="D21" s="3"/>
    </row>
    <row r="22" customFormat="false" ht="15" hidden="false" customHeight="false" outlineLevel="0" collapsed="false">
      <c r="A22" s="1" t="s">
        <v>30</v>
      </c>
    </row>
    <row r="23" customFormat="false" ht="15" hidden="false" customHeight="false" outlineLevel="0" collapsed="false">
      <c r="A23" s="1" t="s">
        <v>15</v>
      </c>
      <c r="B23" s="3" t="n">
        <v>0.0893310570148452</v>
      </c>
      <c r="C23" s="3" t="n">
        <v>0.11279706702606</v>
      </c>
      <c r="D23" s="3" t="n">
        <v>0.083838619987286</v>
      </c>
      <c r="E23" s="3" t="n">
        <v>0.0954059116269095</v>
      </c>
      <c r="F23" s="3" t="n">
        <v>0.121388697433081</v>
      </c>
      <c r="G23" s="3" t="n">
        <v>0.123094400647419</v>
      </c>
      <c r="H23" s="3" t="n">
        <v>0.125374719669036</v>
      </c>
      <c r="I23" s="3" t="n">
        <v>0.12353291504783</v>
      </c>
      <c r="J23" s="4" t="n">
        <v>0.1065</v>
      </c>
      <c r="K23" s="3" t="n">
        <v>0.0909842725710308</v>
      </c>
      <c r="L23" s="3" t="n">
        <v>0.260753629534294</v>
      </c>
      <c r="M23" s="3" t="n">
        <v>0.170920169719034</v>
      </c>
      <c r="N23" s="4" t="n">
        <v>0.853821401071016</v>
      </c>
    </row>
    <row r="24" customFormat="false" ht="15" hidden="false" customHeight="false" outlineLevel="0" collapsed="false">
      <c r="A24" s="1" t="s">
        <v>16</v>
      </c>
      <c r="B24" s="3" t="n">
        <v>19.5611096186011</v>
      </c>
      <c r="C24" s="3" t="n">
        <v>17.7836147769579</v>
      </c>
      <c r="D24" s="3" t="n">
        <v>20.7447882945251</v>
      </c>
      <c r="E24" s="3" t="n">
        <v>18.2856918497622</v>
      </c>
      <c r="F24" s="3" t="n">
        <v>19.4195079777063</v>
      </c>
      <c r="G24" s="3" t="n">
        <v>19.5187707663139</v>
      </c>
      <c r="H24" s="3" t="n">
        <v>17.1442339667438</v>
      </c>
      <c r="I24" s="3" t="n">
        <v>15.9385882982696</v>
      </c>
      <c r="J24" s="4" t="n">
        <v>18.39415</v>
      </c>
      <c r="K24" s="3" t="n">
        <v>21.8099259213655</v>
      </c>
      <c r="L24" s="3" t="n">
        <v>14.2282455997714</v>
      </c>
      <c r="M24" s="3" t="n">
        <v>18.9744168539989</v>
      </c>
      <c r="N24" s="4" t="n">
        <v>1.23841701375521</v>
      </c>
    </row>
    <row r="25" customFormat="false" ht="15" hidden="false" customHeight="false" outlineLevel="0" collapsed="false">
      <c r="A25" s="1" t="s">
        <v>17</v>
      </c>
      <c r="B25" s="3" t="n">
        <v>5.18267455867442</v>
      </c>
      <c r="C25" s="3" t="n">
        <v>4.67538630389239</v>
      </c>
      <c r="D25" s="3" t="n">
        <v>4.62897350046455</v>
      </c>
      <c r="E25" s="3" t="n">
        <v>4.49576748739051</v>
      </c>
      <c r="F25" s="3" t="n">
        <v>3.81566331647578</v>
      </c>
      <c r="G25" s="3" t="n">
        <v>4.01191801308047</v>
      </c>
      <c r="H25" s="3" t="n">
        <v>4.98121123913003</v>
      </c>
      <c r="I25" s="3" t="n">
        <v>7.00195299906811</v>
      </c>
      <c r="J25" s="4" t="n">
        <v>4.1795</v>
      </c>
      <c r="K25" s="3" t="n">
        <v>3.15358430310572</v>
      </c>
      <c r="L25" s="3" t="n">
        <v>2.83874457781771</v>
      </c>
      <c r="M25" s="3" t="n">
        <v>2.9333932520358</v>
      </c>
      <c r="N25" s="4" t="n">
        <v>1.95018550278254</v>
      </c>
    </row>
    <row r="26" customFormat="false" ht="15" hidden="false" customHeight="false" outlineLevel="0" collapsed="false">
      <c r="A26" s="1" t="s">
        <v>31</v>
      </c>
      <c r="B26" s="3" t="n">
        <v>0.704075707810835</v>
      </c>
      <c r="C26" s="3" t="n">
        <v>0.16054296046223</v>
      </c>
      <c r="D26" s="3" t="n">
        <v>0.137974315869431</v>
      </c>
      <c r="E26" s="3" t="n">
        <v>0.02975950571558</v>
      </c>
      <c r="F26" s="3" t="n">
        <v>0.0368847503622503</v>
      </c>
      <c r="G26" s="3" t="n">
        <v>0.966539597740987</v>
      </c>
      <c r="H26" s="3" t="n">
        <v>2.06997395848781</v>
      </c>
      <c r="I26" s="3" t="n">
        <v>0.478051853822717</v>
      </c>
      <c r="J26" s="4" t="n">
        <v>0.145033333333333</v>
      </c>
      <c r="K26" s="3" t="n">
        <v>0.00799521196298568</v>
      </c>
      <c r="L26" s="3" t="n">
        <v>0.0181204376749937</v>
      </c>
      <c r="M26" s="3" t="n">
        <v>0</v>
      </c>
      <c r="N26" s="4"/>
    </row>
    <row r="27" customFormat="false" ht="15" hidden="false" customHeight="false" outlineLevel="0" collapsed="false">
      <c r="A27" s="1" t="s">
        <v>18</v>
      </c>
      <c r="B27" s="3" t="n">
        <v>68.5167647390178</v>
      </c>
      <c r="C27" s="3" t="n">
        <v>71.3216271800483</v>
      </c>
      <c r="D27" s="3" t="n">
        <v>68.4044173207271</v>
      </c>
      <c r="E27" s="3" t="n">
        <v>71.1754127290969</v>
      </c>
      <c r="F27" s="3" t="n">
        <v>71.0264322323221</v>
      </c>
      <c r="G27" s="3" t="n">
        <v>68.7788486206544</v>
      </c>
      <c r="H27" s="3" t="n">
        <v>69.8847515657882</v>
      </c>
      <c r="I27" s="3" t="n">
        <v>68.9792902094507</v>
      </c>
      <c r="J27" s="4" t="n">
        <v>66.0415666666667</v>
      </c>
      <c r="K27" s="3" t="n">
        <v>71.0164889367546</v>
      </c>
      <c r="L27" s="3" t="n">
        <v>80.6913363229399</v>
      </c>
      <c r="M27" s="3" t="n">
        <v>75.6312086699877</v>
      </c>
      <c r="N27" s="4" t="n">
        <v>94.7644136537048</v>
      </c>
    </row>
    <row r="28" customFormat="false" ht="15" hidden="false" customHeight="false" outlineLevel="0" collapsed="false">
      <c r="A28" s="1" t="s">
        <v>19</v>
      </c>
      <c r="B28" s="3" t="n">
        <v>0.524685634061582</v>
      </c>
      <c r="C28" s="3" t="n">
        <v>0.534816555690476</v>
      </c>
      <c r="D28" s="3" t="n">
        <v>0.548527821825308</v>
      </c>
      <c r="E28" s="3" t="n">
        <v>0.509614804023021</v>
      </c>
      <c r="F28" s="3" t="n">
        <v>0.661554982952357</v>
      </c>
      <c r="G28" s="3" t="n">
        <v>0.484747209779139</v>
      </c>
      <c r="H28" s="3" t="n">
        <v>0.453658984251916</v>
      </c>
      <c r="I28" s="3" t="n">
        <v>0.424075286127127</v>
      </c>
      <c r="J28" s="4" t="n">
        <v>0.422116666666667</v>
      </c>
      <c r="K28" s="3" t="n">
        <v>0.848153570874455</v>
      </c>
      <c r="L28" s="3" t="n">
        <v>1.14782256283213</v>
      </c>
      <c r="M28" s="3" t="n">
        <v>1.37578311086444</v>
      </c>
      <c r="N28" s="4" t="n">
        <v>0.917806735851038</v>
      </c>
    </row>
    <row r="29" customFormat="false" ht="15" hidden="false" customHeight="false" outlineLevel="0" collapsed="false">
      <c r="A29" s="1" t="s">
        <v>20</v>
      </c>
      <c r="B29" s="3" t="n">
        <v>5.35258382369509</v>
      </c>
      <c r="C29" s="3" t="n">
        <v>5.33874147662828</v>
      </c>
      <c r="D29" s="3" t="n">
        <v>5.38924049156525</v>
      </c>
      <c r="E29" s="3" t="n">
        <v>5.11808470736189</v>
      </c>
      <c r="F29" s="3" t="n">
        <v>4.76919524004831</v>
      </c>
      <c r="G29" s="3" t="n">
        <v>5.98601708790838</v>
      </c>
      <c r="H29" s="3" t="n">
        <v>5.17482149019701</v>
      </c>
      <c r="I29" s="3" t="n">
        <v>6.78744153964014</v>
      </c>
      <c r="J29" s="4" t="n">
        <v>5.98261666666667</v>
      </c>
      <c r="K29" s="3" t="n">
        <v>3.00122076763538</v>
      </c>
      <c r="L29" s="3" t="n">
        <v>0.701524862285559</v>
      </c>
      <c r="M29" s="3" t="n">
        <v>0.861676501824656</v>
      </c>
      <c r="N29" s="4" t="n">
        <v>0.102814042210633</v>
      </c>
    </row>
    <row r="30" customFormat="false" ht="15" hidden="false" customHeight="false" outlineLevel="0" collapsed="false">
      <c r="A30" s="1" t="s">
        <v>21</v>
      </c>
      <c r="B30" s="3" t="n">
        <v>0.0448561846244508</v>
      </c>
      <c r="C30" s="3" t="n">
        <v>0.0481420384035441</v>
      </c>
      <c r="D30" s="3" t="n">
        <v>0.0488482643660465</v>
      </c>
      <c r="E30" s="3" t="n">
        <v>0.267225786455543</v>
      </c>
      <c r="F30" s="3" t="n">
        <v>0.104735396643011</v>
      </c>
      <c r="G30" s="3" t="n">
        <v>0.0927118798437351</v>
      </c>
      <c r="H30" s="3" t="n">
        <v>0.125793449598351</v>
      </c>
      <c r="I30" s="3" t="n">
        <v>0.221880274130434</v>
      </c>
      <c r="J30" s="4" t="n">
        <v>0.0786666666666667</v>
      </c>
      <c r="K30" s="3" t="n">
        <v>0.0459466444591218</v>
      </c>
      <c r="L30" s="3" t="n">
        <v>0.0527671396224891</v>
      </c>
      <c r="M30" s="3" t="n">
        <v>0.0423848886136863</v>
      </c>
      <c r="N30" s="4" t="n">
        <v>0.0483171310069651</v>
      </c>
    </row>
    <row r="32" customFormat="false" ht="15" hidden="false" customHeight="false" outlineLevel="0" collapsed="false">
      <c r="A32" s="1" t="s">
        <v>32</v>
      </c>
    </row>
    <row r="33" customFormat="false" ht="15" hidden="false" customHeight="false" outlineLevel="0" collapsed="false">
      <c r="A33" s="1" t="s">
        <v>15</v>
      </c>
      <c r="B33" s="3" t="n">
        <v>37.6954729074888</v>
      </c>
      <c r="C33" s="3" t="n">
        <v>38.1713505423278</v>
      </c>
      <c r="D33" s="3" t="n">
        <v>37.8890320959248</v>
      </c>
      <c r="E33" s="3" t="n">
        <v>37.6178779291012</v>
      </c>
      <c r="F33" s="3" t="n">
        <v>37.5735644067254</v>
      </c>
      <c r="G33" s="3" t="n">
        <v>38.3743999304175</v>
      </c>
      <c r="H33" s="3" t="n">
        <v>38.3706246861077</v>
      </c>
      <c r="I33" s="3" t="n">
        <v>39.2041225359369</v>
      </c>
      <c r="J33" s="4" t="n">
        <v>38.4867455707168</v>
      </c>
      <c r="K33" s="3" t="n">
        <v>35.556322021352</v>
      </c>
      <c r="L33" s="3" t="n">
        <v>31.5555442258918</v>
      </c>
      <c r="M33" s="3" t="n">
        <v>31.956976440452</v>
      </c>
    </row>
    <row r="34" customFormat="false" ht="15" hidden="false" customHeight="false" outlineLevel="0" collapsed="false">
      <c r="A34" s="1" t="s">
        <v>16</v>
      </c>
      <c r="B34" s="3" t="n">
        <v>0.0677581108983028</v>
      </c>
      <c r="C34" s="3" t="n">
        <v>0.0308652229011435</v>
      </c>
      <c r="D34" s="3" t="n">
        <v>0.0325647934881297</v>
      </c>
      <c r="E34" s="3" t="n">
        <v>0.0995004259888095</v>
      </c>
      <c r="F34" s="3" t="n">
        <v>0.0684151482186565</v>
      </c>
      <c r="G34" s="3" t="n">
        <v>0.0959951739084639</v>
      </c>
      <c r="H34" s="3" t="n">
        <v>0.0949762168198227</v>
      </c>
      <c r="I34" s="3" t="n">
        <v>0.06143382173255</v>
      </c>
      <c r="J34" s="4" t="n">
        <v>0.0589329740426193</v>
      </c>
      <c r="K34" s="3" t="n">
        <v>0.054032934324406</v>
      </c>
      <c r="L34" s="3" t="n">
        <v>0.0418013860913497</v>
      </c>
      <c r="M34" s="3" t="n">
        <v>0.0410541613866454</v>
      </c>
    </row>
    <row r="35" customFormat="false" ht="15" hidden="false" customHeight="false" outlineLevel="0" collapsed="false">
      <c r="A35" s="1" t="s">
        <v>17</v>
      </c>
      <c r="B35" s="3" t="n">
        <v>0.0489353091908541</v>
      </c>
      <c r="C35" s="3" t="n">
        <v>0.0334633534397403</v>
      </c>
      <c r="D35" s="3" t="n">
        <v>0.0381303677644906</v>
      </c>
      <c r="E35" s="3" t="n">
        <v>0.0416047121263032</v>
      </c>
      <c r="F35" s="3" t="n">
        <v>0.0254213393271369</v>
      </c>
      <c r="G35" s="3" t="n">
        <v>0.0251857662218279</v>
      </c>
      <c r="H35" s="3" t="n">
        <v>0.0312425051910592</v>
      </c>
      <c r="I35" s="3" t="n">
        <v>0.0270513127648545</v>
      </c>
      <c r="J35" s="4" t="n">
        <v>0.0310783600052658</v>
      </c>
      <c r="K35" s="3" t="n">
        <v>0.0308315084822745</v>
      </c>
      <c r="L35" s="3" t="n">
        <v>0.0400131593198448</v>
      </c>
      <c r="M35" s="3" t="n">
        <v>0.0395688685559903</v>
      </c>
    </row>
    <row r="36" customFormat="false" ht="15" hidden="false" customHeight="false" outlineLevel="0" collapsed="false">
      <c r="A36" s="1" t="s">
        <v>18</v>
      </c>
      <c r="B36" s="3" t="n">
        <v>26.7574772436899</v>
      </c>
      <c r="C36" s="3" t="n">
        <v>24.3113463342082</v>
      </c>
      <c r="D36" s="3" t="n">
        <v>26.2775126434388</v>
      </c>
      <c r="E36" s="3" t="n">
        <v>26.4331779032528</v>
      </c>
      <c r="F36" s="3" t="n">
        <v>27.1604014021981</v>
      </c>
      <c r="G36" s="3" t="n">
        <v>22.7510058347191</v>
      </c>
      <c r="H36" s="3" t="n">
        <v>23.459192151896</v>
      </c>
      <c r="I36" s="3" t="n">
        <v>18.6186243631274</v>
      </c>
      <c r="J36" s="4" t="n">
        <v>22.2572311576406</v>
      </c>
      <c r="K36" s="3" t="n">
        <v>37.2580420510907</v>
      </c>
      <c r="L36" s="3" t="n">
        <v>55.0711828397193</v>
      </c>
      <c r="M36" s="3" t="n">
        <v>54.6020012668713</v>
      </c>
    </row>
    <row r="37" customFormat="false" ht="15" hidden="false" customHeight="false" outlineLevel="0" collapsed="false">
      <c r="A37" s="1" t="s">
        <v>19</v>
      </c>
      <c r="B37" s="3" t="n">
        <v>0.535505727140532</v>
      </c>
      <c r="C37" s="3" t="n">
        <v>0.474875793743077</v>
      </c>
      <c r="D37" s="3" t="n">
        <v>0.518785730213858</v>
      </c>
      <c r="E37" s="3" t="n">
        <v>0.564103086785592</v>
      </c>
      <c r="F37" s="3" t="n">
        <v>0.634996060567278</v>
      </c>
      <c r="G37" s="3" t="n">
        <v>0.406583050587781</v>
      </c>
      <c r="H37" s="3" t="n">
        <v>0.359675907083641</v>
      </c>
      <c r="I37" s="3" t="n">
        <v>0.318516438304579</v>
      </c>
      <c r="J37" s="4" t="n">
        <v>0.367742482463241</v>
      </c>
      <c r="K37" s="3" t="n">
        <v>1.08550061494981</v>
      </c>
      <c r="L37" s="3" t="n">
        <v>3.18900440918383</v>
      </c>
      <c r="M37" s="3" t="n">
        <v>3.11402489591101</v>
      </c>
    </row>
    <row r="38" customFormat="false" ht="15" hidden="false" customHeight="false" outlineLevel="0" collapsed="false">
      <c r="A38" s="1" t="s">
        <v>20</v>
      </c>
      <c r="B38" s="3" t="n">
        <v>34.3909084476416</v>
      </c>
      <c r="C38" s="3" t="n">
        <v>36.4613405274574</v>
      </c>
      <c r="D38" s="3" t="n">
        <v>34.8721074319092</v>
      </c>
      <c r="E38" s="3" t="n">
        <v>34.7542874157108</v>
      </c>
      <c r="F38" s="3" t="n">
        <v>34.0940279599738</v>
      </c>
      <c r="G38" s="3" t="n">
        <v>37.9220934927561</v>
      </c>
      <c r="H38" s="3" t="n">
        <v>37.3301818333781</v>
      </c>
      <c r="I38" s="3" t="n">
        <v>41.2662017433024</v>
      </c>
      <c r="J38" s="4" t="n">
        <v>38.2672682363789</v>
      </c>
      <c r="K38" s="3" t="n">
        <v>25.5220165225519</v>
      </c>
      <c r="L38" s="3" t="n">
        <v>9.20390173326099</v>
      </c>
      <c r="M38" s="3" t="n">
        <v>9.32680454233922</v>
      </c>
    </row>
    <row r="39" customFormat="false" ht="15" hidden="false" customHeight="false" outlineLevel="0" collapsed="false">
      <c r="A39" s="1" t="s">
        <v>21</v>
      </c>
      <c r="B39" s="3" t="n">
        <v>0.302019505749402</v>
      </c>
      <c r="C39" s="3" t="n">
        <v>0.346999499966352</v>
      </c>
      <c r="D39" s="3" t="n">
        <v>0.24692597872788</v>
      </c>
      <c r="E39" s="3" t="n">
        <v>0.428294612824711</v>
      </c>
      <c r="F39" s="3" t="n">
        <v>0.395618031003536</v>
      </c>
      <c r="G39" s="3" t="n">
        <v>0.380858658078437</v>
      </c>
      <c r="H39" s="3" t="n">
        <v>0.310069168891922</v>
      </c>
      <c r="I39" s="3" t="n">
        <v>0.463998618690464</v>
      </c>
      <c r="J39" s="4" t="n">
        <v>0.375340018606719</v>
      </c>
      <c r="K39" s="3" t="n">
        <v>0.363816778937586</v>
      </c>
      <c r="L39" s="3" t="n">
        <v>0.562961689080377</v>
      </c>
      <c r="M39" s="3" t="n">
        <v>0.603312596865291</v>
      </c>
    </row>
    <row r="40" customFormat="false" ht="15" hidden="false" customHeight="false" outlineLevel="0" collapsed="false">
      <c r="A40" s="1" t="s">
        <v>31</v>
      </c>
      <c r="B40" s="3" t="n">
        <v>0.0157221078675733</v>
      </c>
      <c r="C40" s="3" t="n">
        <v>0.0210405981322423</v>
      </c>
      <c r="D40" s="3" t="n">
        <v>0.0134315859202844</v>
      </c>
      <c r="E40" s="3" t="n">
        <v>0.0031245305894051</v>
      </c>
      <c r="F40" s="3" t="n">
        <v>0.0157102377257675</v>
      </c>
      <c r="G40" s="3" t="n">
        <v>0.0155303912900538</v>
      </c>
      <c r="H40" s="3" t="n">
        <v>0.0155338435082644</v>
      </c>
      <c r="I40" s="3" t="n">
        <v>0.0181577304859982</v>
      </c>
      <c r="J40" s="4" t="n">
        <v>0.0230733278826973</v>
      </c>
      <c r="K40" s="3" t="n">
        <v>0.0195668677166474</v>
      </c>
      <c r="L40" s="3" t="n">
        <v>0.0177808080400705</v>
      </c>
      <c r="M40" s="3" t="n">
        <v>0.0183742405230474</v>
      </c>
    </row>
    <row r="41" customFormat="false" ht="15" hidden="false" customHeight="false" outlineLevel="0" collapsed="false">
      <c r="A41" s="1" t="s">
        <v>24</v>
      </c>
      <c r="B41" s="3" t="n">
        <v>0.157757737224943</v>
      </c>
      <c r="C41" s="3" t="n">
        <v>0.119386227863715</v>
      </c>
      <c r="D41" s="3" t="n">
        <v>0.0940705732133362</v>
      </c>
      <c r="E41" s="3"/>
      <c r="J41" s="4" t="n">
        <v>0.11352837977448</v>
      </c>
      <c r="K41" s="3" t="n">
        <v>0.0699030083312287</v>
      </c>
      <c r="L41" s="3" t="n">
        <v>0.228740837240165</v>
      </c>
      <c r="M41" s="3" t="n">
        <v>0.200204122625509</v>
      </c>
    </row>
    <row r="42" customFormat="false" ht="15" hidden="false" customHeight="false" outlineLevel="0" collapsed="false">
      <c r="A42" s="1" t="s">
        <v>29</v>
      </c>
      <c r="B42" s="7" t="n">
        <f aca="false">(B38/40.304)/(B38/40.304+B36/71.846)*100</f>
        <v>69.615454920583</v>
      </c>
      <c r="C42" s="7" t="n">
        <f aca="false">(C38/40.304)/(C38/40.304+C36/71.846)*100</f>
        <v>72.7779077758064</v>
      </c>
      <c r="D42" s="7" t="n">
        <f aca="false">(D38/40.304)/(D38/40.304+D36/71.846)*100</f>
        <v>70.2879559769736</v>
      </c>
      <c r="E42" s="7" t="n">
        <f aca="false">(E38/40.304)/(E38/40.304+E36/71.846)*100</f>
        <v>70.0935625989024</v>
      </c>
      <c r="F42" s="7" t="n">
        <f aca="false">(F38/40.304)/(F38/40.304+F36/71.846)*100</f>
        <v>69.1136171594061</v>
      </c>
      <c r="G42" s="7" t="n">
        <f aca="false">(G38/40.304)/(G38/40.304+G36/71.846)*100</f>
        <v>74.8193132234245</v>
      </c>
      <c r="H42" s="7" t="n">
        <f aca="false">(H38/40.304)/(H38/40.304+H36/71.846)*100</f>
        <v>73.9354059565276</v>
      </c>
      <c r="I42" s="7" t="n">
        <f aca="false">(I38/40.304)/(I38/40.304+I36/71.846)*100</f>
        <v>79.8018494253834</v>
      </c>
      <c r="J42" s="7" t="n">
        <f aca="false">(J38/40.304)/(J38/40.304+J36/71.846)*100</f>
        <v>75.3989121506776</v>
      </c>
      <c r="K42" s="7" t="n">
        <f aca="false">(K38/40.304)/(K38/40.304+K36/71.846)*100</f>
        <v>54.9771591910482</v>
      </c>
      <c r="L42" s="7" t="n">
        <f aca="false">(L38/40.304)/(L38/40.304+L36/71.846)*100</f>
        <v>22.953744739944</v>
      </c>
      <c r="M42" s="7" t="n">
        <f aca="false">(M38/40.304)/(M38/40.304+M36/71.846)*100</f>
        <v>23.3419249424991</v>
      </c>
    </row>
    <row r="43" customFormat="false" ht="15" hidden="false" customHeight="false" outlineLevel="0" collapsed="false">
      <c r="C43" s="3"/>
      <c r="D43" s="3"/>
      <c r="E43" s="3"/>
      <c r="F43" s="3"/>
    </row>
    <row r="44" customFormat="false" ht="15" hidden="false" customHeight="false" outlineLevel="0" collapsed="false">
      <c r="A44" s="1" t="s">
        <v>33</v>
      </c>
      <c r="L44" s="1" t="s">
        <v>34</v>
      </c>
      <c r="M44" s="1" t="s">
        <v>34</v>
      </c>
      <c r="N44" s="2" t="s">
        <v>34</v>
      </c>
    </row>
    <row r="45" customFormat="false" ht="15" hidden="false" customHeight="false" outlineLevel="0" collapsed="false">
      <c r="A45" s="1" t="s">
        <v>15</v>
      </c>
      <c r="B45" s="3" t="n">
        <v>54.9326601377939</v>
      </c>
      <c r="D45" s="3" t="n">
        <v>54.1039532204997</v>
      </c>
      <c r="L45" s="3" t="n">
        <v>63.7763921526594</v>
      </c>
      <c r="M45" s="3" t="n">
        <v>63.9862949860987</v>
      </c>
      <c r="N45" s="4" t="n">
        <v>66.9471442510711</v>
      </c>
    </row>
    <row r="46" customFormat="false" ht="15" hidden="false" customHeight="false" outlineLevel="0" collapsed="false">
      <c r="A46" s="1" t="s">
        <v>16</v>
      </c>
      <c r="B46" s="3" t="n">
        <v>0.201011830793702</v>
      </c>
      <c r="D46" s="3" t="n">
        <v>0.156544585771853</v>
      </c>
      <c r="L46" s="3" t="n">
        <v>0.0600351391090051</v>
      </c>
      <c r="M46" s="3" t="n">
        <v>0.0733567771508692</v>
      </c>
      <c r="N46" s="4" t="n">
        <v>0.033203791321052</v>
      </c>
    </row>
    <row r="47" customFormat="false" ht="15" hidden="false" customHeight="false" outlineLevel="0" collapsed="false">
      <c r="A47" s="1" t="s">
        <v>17</v>
      </c>
      <c r="B47" s="3" t="n">
        <v>27.9317155040387</v>
      </c>
      <c r="D47" s="3" t="n">
        <v>28.7006423613807</v>
      </c>
      <c r="L47" s="3" t="n">
        <v>22.2774283639435</v>
      </c>
      <c r="M47" s="3" t="n">
        <v>21.6417312146004</v>
      </c>
      <c r="N47" s="4" t="n">
        <v>21.59109083388</v>
      </c>
    </row>
    <row r="48" customFormat="false" ht="15" hidden="false" customHeight="false" outlineLevel="0" collapsed="false">
      <c r="A48" s="1" t="s">
        <v>18</v>
      </c>
      <c r="B48" s="3" t="n">
        <v>0.892897628587746</v>
      </c>
      <c r="D48" s="3" t="n">
        <v>0.634495322200272</v>
      </c>
      <c r="L48" s="3" t="n">
        <v>0.539461091863365</v>
      </c>
      <c r="M48" s="3" t="n">
        <v>0.693287965036006</v>
      </c>
      <c r="N48" s="4" t="n">
        <v>0.702488055596375</v>
      </c>
    </row>
    <row r="49" customFormat="false" ht="15" hidden="false" customHeight="false" outlineLevel="0" collapsed="false">
      <c r="A49" s="1" t="s">
        <v>19</v>
      </c>
      <c r="B49" s="3" t="n">
        <v>0.0269267562267624</v>
      </c>
      <c r="D49" s="3" t="n">
        <v>0.00551125121936433</v>
      </c>
      <c r="L49" s="3" t="n">
        <v>0.0247996434127252</v>
      </c>
      <c r="M49" s="3" t="n">
        <v>0.0211812770861505</v>
      </c>
      <c r="N49" s="4" t="n">
        <v>0.0380275150156434</v>
      </c>
    </row>
    <row r="50" customFormat="false" ht="15" hidden="false" customHeight="false" outlineLevel="0" collapsed="false">
      <c r="A50" s="1" t="s">
        <v>20</v>
      </c>
      <c r="B50" s="3" t="n">
        <v>0.0850549911079781</v>
      </c>
      <c r="D50" s="3" t="n">
        <v>0.0856999564611153</v>
      </c>
      <c r="L50" s="3" t="n">
        <v>0.00859508389464992</v>
      </c>
      <c r="M50" s="3" t="n">
        <v>0.016021136150886</v>
      </c>
      <c r="N50" s="4" t="n">
        <v>0.005415591632578</v>
      </c>
    </row>
    <row r="51" customFormat="false" ht="15" hidden="false" customHeight="false" outlineLevel="0" collapsed="false">
      <c r="A51" s="1" t="s">
        <v>21</v>
      </c>
      <c r="B51" s="3" t="n">
        <v>10.4523754972111</v>
      </c>
      <c r="D51" s="3" t="n">
        <v>11.314323190794</v>
      </c>
      <c r="L51" s="3" t="n">
        <v>3.2365056548731</v>
      </c>
      <c r="M51" s="3" t="n">
        <v>3.10219261931624</v>
      </c>
      <c r="N51" s="4" t="n">
        <v>2.30961666100847</v>
      </c>
    </row>
    <row r="52" customFormat="false" ht="15" hidden="false" customHeight="false" outlineLevel="0" collapsed="false">
      <c r="A52" s="1" t="s">
        <v>22</v>
      </c>
      <c r="B52" s="3" t="n">
        <v>4.80868319972162</v>
      </c>
      <c r="D52" s="3" t="n">
        <v>4.50316821791688</v>
      </c>
      <c r="L52" s="3" t="n">
        <v>7.37595893434149</v>
      </c>
      <c r="M52" s="3" t="n">
        <v>7.2487096476812</v>
      </c>
      <c r="N52" s="4" t="n">
        <v>7.76187451234475</v>
      </c>
    </row>
    <row r="53" customFormat="false" ht="15" hidden="false" customHeight="false" outlineLevel="0" collapsed="false">
      <c r="A53" s="1" t="s">
        <v>23</v>
      </c>
      <c r="B53" s="3" t="n">
        <v>0.604034259303464</v>
      </c>
      <c r="D53" s="3" t="n">
        <v>0.445133740531295</v>
      </c>
      <c r="L53" s="3" t="n">
        <v>3.45351340541391</v>
      </c>
      <c r="M53" s="3" t="n">
        <v>3.65223827621654</v>
      </c>
      <c r="N53" s="4" t="n">
        <v>4.40959369838206</v>
      </c>
    </row>
    <row r="54" customFormat="false" ht="15" hidden="false" customHeight="false" outlineLevel="0" collapsed="false">
      <c r="B54" s="3"/>
      <c r="D54" s="3"/>
    </row>
    <row r="55" customFormat="false" ht="15" hidden="false" customHeight="false" outlineLevel="0" collapsed="false">
      <c r="A55" s="1" t="s">
        <v>35</v>
      </c>
      <c r="N55" s="2" t="s">
        <v>36</v>
      </c>
    </row>
    <row r="56" customFormat="false" ht="15" hidden="false" customHeight="false" outlineLevel="0" collapsed="false">
      <c r="A56" s="1" t="s">
        <v>15</v>
      </c>
      <c r="H56" s="3" t="n">
        <v>44.5845932534111</v>
      </c>
      <c r="I56" s="3" t="n">
        <v>43.8920486537668</v>
      </c>
      <c r="N56" s="4" t="n">
        <v>39.8399570599811</v>
      </c>
    </row>
    <row r="57" customFormat="false" ht="15" hidden="false" customHeight="false" outlineLevel="0" collapsed="false">
      <c r="A57" s="1" t="s">
        <v>16</v>
      </c>
      <c r="H57" s="3" t="n">
        <v>4.01690804188843</v>
      </c>
      <c r="I57" s="3" t="n">
        <v>3.94206329340378</v>
      </c>
      <c r="N57" s="4" t="n">
        <v>0.27063346423171</v>
      </c>
    </row>
    <row r="58" customFormat="false" ht="15" hidden="false" customHeight="false" outlineLevel="0" collapsed="false">
      <c r="A58" s="1" t="s">
        <v>17</v>
      </c>
      <c r="H58" s="3" t="n">
        <v>7.817473186626</v>
      </c>
      <c r="I58" s="3" t="n">
        <v>8.84504159433062</v>
      </c>
      <c r="N58" s="4" t="n">
        <v>9.87436030867023</v>
      </c>
    </row>
    <row r="59" customFormat="false" ht="15" hidden="false" customHeight="false" outlineLevel="0" collapsed="false">
      <c r="A59" s="1" t="s">
        <v>31</v>
      </c>
      <c r="H59" s="3" t="n">
        <v>0.0418715200589744</v>
      </c>
      <c r="I59" s="3" t="n">
        <v>0.0484417255471828</v>
      </c>
      <c r="N59" s="4" t="n">
        <v>0.0445380623334967</v>
      </c>
    </row>
    <row r="60" customFormat="false" ht="15" hidden="false" customHeight="false" outlineLevel="0" collapsed="false">
      <c r="A60" s="1" t="s">
        <v>18</v>
      </c>
      <c r="H60" s="3" t="n">
        <v>9.53486981681411</v>
      </c>
      <c r="I60" s="3" t="n">
        <v>8.3577769798255</v>
      </c>
      <c r="N60" s="4" t="n">
        <v>33.3777172633913</v>
      </c>
    </row>
    <row r="61" customFormat="false" ht="15" hidden="false" customHeight="false" outlineLevel="0" collapsed="false">
      <c r="A61" s="1" t="s">
        <v>19</v>
      </c>
      <c r="H61" s="3" t="n">
        <v>0.149167290210096</v>
      </c>
      <c r="I61" s="3" t="n">
        <v>0.110360340152285</v>
      </c>
      <c r="N61" s="4" t="n">
        <v>1.59460504976176</v>
      </c>
    </row>
    <row r="62" customFormat="false" ht="15" hidden="false" customHeight="false" outlineLevel="0" collapsed="false">
      <c r="A62" s="1" t="s">
        <v>20</v>
      </c>
      <c r="H62" s="3" t="n">
        <v>11.1119767242662</v>
      </c>
      <c r="I62" s="3" t="n">
        <v>11.3899305299329</v>
      </c>
      <c r="N62" s="4" t="n">
        <v>0.414061561478941</v>
      </c>
    </row>
    <row r="63" customFormat="false" ht="15" hidden="false" customHeight="false" outlineLevel="0" collapsed="false">
      <c r="A63" s="1" t="s">
        <v>21</v>
      </c>
      <c r="H63" s="3" t="n">
        <v>22.0893405376504</v>
      </c>
      <c r="I63" s="3" t="n">
        <v>22.9557839017462</v>
      </c>
      <c r="N63" s="4" t="n">
        <v>9.97679785203727</v>
      </c>
    </row>
    <row r="64" customFormat="false" ht="15" hidden="false" customHeight="false" outlineLevel="0" collapsed="false">
      <c r="A64" s="1" t="s">
        <v>22</v>
      </c>
      <c r="H64" s="3" t="n">
        <v>0.63290413012219</v>
      </c>
      <c r="I64" s="3" t="n">
        <v>0.434455717707515</v>
      </c>
      <c r="N64" s="4" t="n">
        <v>2.7554041935508</v>
      </c>
    </row>
    <row r="65" customFormat="false" ht="15" hidden="false" customHeight="false" outlineLevel="0" collapsed="false">
      <c r="A65" s="1" t="s">
        <v>23</v>
      </c>
      <c r="H65" s="3" t="n">
        <v>0.0208954989525074</v>
      </c>
      <c r="I65" s="3" t="n">
        <v>0.0240972635872586</v>
      </c>
      <c r="N65" s="4" t="n">
        <v>1.84232212726955</v>
      </c>
    </row>
    <row r="66" customFormat="false" ht="15" hidden="false" customHeight="false" outlineLevel="0" collapsed="false">
      <c r="A66" s="1" t="s">
        <v>29</v>
      </c>
      <c r="H66" s="7" t="n">
        <f aca="false">(H62/40.304)/(H62/40.304+H60/71.846)*100</f>
        <v>67.5055858352958</v>
      </c>
      <c r="I66" s="7" t="n">
        <f aca="false">(I62/40.304)/(I62/40.304+I60/71.846)*100</f>
        <v>70.8397007222414</v>
      </c>
      <c r="N66" s="8" t="n">
        <f aca="false">(N62/40.304)/(N62/40.304+N60/71.846)*100</f>
        <v>2.16353283156193</v>
      </c>
    </row>
    <row r="68" customFormat="false" ht="15" hidden="false" customHeight="false" outlineLevel="0" collapsed="false">
      <c r="A68" s="1" t="s">
        <v>37</v>
      </c>
      <c r="B68" s="1" t="s">
        <v>38</v>
      </c>
      <c r="D68" s="1" t="s">
        <v>38</v>
      </c>
      <c r="K68" s="1" t="s">
        <v>38</v>
      </c>
      <c r="M68" s="1" t="s">
        <v>38</v>
      </c>
    </row>
    <row r="69" customFormat="false" ht="15" hidden="false" customHeight="false" outlineLevel="0" collapsed="false">
      <c r="A69" s="1" t="s">
        <v>39</v>
      </c>
      <c r="D69" s="1" t="s">
        <v>38</v>
      </c>
    </row>
    <row r="71" customFormat="false" ht="15" hidden="false" customHeight="false" outlineLevel="0" collapsed="false">
      <c r="B71" s="9" t="n">
        <f aca="false">(B36*B11)/(B9*B38*0.3)</f>
        <v>0.828658586372492</v>
      </c>
      <c r="C71" s="9" t="n">
        <f aca="false">(C36*C11)/(C9*C38*0.3)</f>
        <v>0.725742708957689</v>
      </c>
      <c r="D71" s="9" t="n">
        <f aca="false">(D36*D11)/(D9*D38*0.3)</f>
        <v>0.822917191659297</v>
      </c>
    </row>
    <row r="72" customFormat="false" ht="15" hidden="false" customHeight="false" outlineLevel="0" collapsed="false">
      <c r="B72" s="9" t="n">
        <f aca="false">1-B71</f>
        <v>0.171341413627508</v>
      </c>
      <c r="C72" s="9" t="n">
        <f aca="false">1-C71</f>
        <v>0.274257291042311</v>
      </c>
      <c r="D72" s="9" t="n">
        <f aca="false">1-D71</f>
        <v>0.177082808340703</v>
      </c>
    </row>
    <row r="74" customFormat="false" ht="15" hidden="false" customHeight="false" outlineLevel="0" collapsed="false">
      <c r="A74" s="1" t="s">
        <v>40</v>
      </c>
      <c r="B74" s="5" t="n">
        <v>1174.79466788695</v>
      </c>
      <c r="C74" s="5" t="n">
        <v>1124.76101814856</v>
      </c>
      <c r="D74" s="5" t="n">
        <v>1107.78890084373</v>
      </c>
      <c r="E74" s="5" t="n">
        <v>1141.67158863955</v>
      </c>
      <c r="F74" s="5" t="n">
        <v>1113.12054755358</v>
      </c>
      <c r="G74" s="5" t="n">
        <v>1130.28182998317</v>
      </c>
      <c r="H74" s="5" t="n">
        <v>1144.8816547615</v>
      </c>
      <c r="I74" s="5" t="n">
        <v>1123.79095397321</v>
      </c>
      <c r="J74" s="6" t="n">
        <v>1151.04978065157</v>
      </c>
      <c r="K74" s="5" t="n">
        <v>1065.93454014046</v>
      </c>
      <c r="L74" s="5" t="n">
        <v>1029.34940903481</v>
      </c>
      <c r="M74" s="5" t="n">
        <v>1020.16164671169</v>
      </c>
      <c r="N74" s="6" t="n">
        <v>994.911765258914</v>
      </c>
    </row>
    <row r="75" customFormat="false" ht="15" hidden="false" customHeight="false" outlineLevel="0" collapsed="false">
      <c r="A75" s="1" t="s">
        <v>41</v>
      </c>
      <c r="B75" s="5" t="n">
        <f aca="false">B74-40.4*B16-2.97*B16*B16+0.0761*B16*B16*B16</f>
        <v>1133.29494954708</v>
      </c>
      <c r="C75" s="5" t="n">
        <f aca="false">C74-40.4*C16-2.97*C16*C16+0.0761*C16*C16*C16</f>
        <v>1069.40811199303</v>
      </c>
      <c r="D75" s="5" t="n">
        <f aca="false">D74-40.4*D16-2.97*D16*D16+0.0761*D16*D16*D16</f>
        <v>1057.6106617473</v>
      </c>
      <c r="E75" s="5" t="n">
        <f aca="false">E74-40.4*E16-2.97*E16*E16+0.0761*E16*E16*E16</f>
        <v>1092.00912245221</v>
      </c>
      <c r="F75" s="5" t="n">
        <f aca="false">F74-40.4*F16-2.97*F16*F16+0.0761*F16*F16*F16</f>
        <v>1057.93863929195</v>
      </c>
      <c r="H75" s="5" t="n">
        <f aca="false">H74-40.4*H16-2.97*H16*H16+0.0761*H16*H16*H16</f>
        <v>1113.70714021806</v>
      </c>
      <c r="I75" s="5" t="n">
        <f aca="false">I74-40.4*I16-2.97*I16*I16+0.0761*I16*I16*I16</f>
        <v>1086.0499268383</v>
      </c>
      <c r="J75" s="5" t="n">
        <f aca="false">J74-40.4*J16-2.97*J16*J16+0.0761*J16*J16*J16</f>
        <v>1106.37006417627</v>
      </c>
      <c r="K75" s="5" t="n">
        <f aca="false">K74-40.4*K16-2.97*K16*K16+0.0761*K16*K16*K16</f>
        <v>997.44262515016</v>
      </c>
      <c r="L75" s="5" t="n">
        <f aca="false">L74-40.4*L16-2.97*L16*L16+0.0761*L16*L16*L16</f>
        <v>948.45644616201</v>
      </c>
      <c r="M75" s="5" t="n">
        <f aca="false">M74-40.4*M16-2.97*M16*M16+0.0761*M16*M16*M16</f>
        <v>947.73669639579</v>
      </c>
      <c r="N75" s="5" t="n">
        <f aca="false">N74-40.4*N16-2.97*N16*N16+0.0761*N16*N16*N16</f>
        <v>938.969334205214</v>
      </c>
    </row>
    <row r="76" customFormat="false" ht="15" hidden="false" customHeight="false" outlineLevel="0" collapsed="false">
      <c r="A76" s="1" t="s">
        <v>42</v>
      </c>
      <c r="G76" s="5" t="n">
        <f aca="false">G74-40.4*1.2-2.97*1.2*1.2+0.0761*1.2*1.2*1.2</f>
        <v>1077.65653078317</v>
      </c>
      <c r="K76" s="5"/>
      <c r="L76" s="5"/>
      <c r="M76" s="5"/>
      <c r="N76" s="5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P25"/>
  <sheetViews>
    <sheetView showFormulas="false" showGridLines="true" showRowColHeaders="true" showZeros="true" rightToLeft="false" tabSelected="false" showOutlineSymbols="true" defaultGridColor="true" view="normal" topLeftCell="A1" colorId="64" zoomScale="55" zoomScaleNormal="55" zoomScalePageLayoutView="100" workbookViewId="0">
      <selection pane="topLeft" activeCell="K10" activeCellId="0" sqref="K10"/>
    </sheetView>
  </sheetViews>
  <sheetFormatPr defaultColWidth="10.64453125" defaultRowHeight="15" zeroHeight="false" outlineLevelRow="0" outlineLevelCol="0"/>
  <cols>
    <col collapsed="false" customWidth="true" hidden="false" outlineLevel="0" max="1" min="1" style="1" width="22.3"/>
    <col collapsed="false" customWidth="true" hidden="false" outlineLevel="0" max="15" min="2" style="1" width="5.9"/>
  </cols>
  <sheetData>
    <row r="2" customFormat="false" ht="15" hidden="false" customHeight="false" outlineLevel="0" collapsed="false">
      <c r="B2" s="1" t="s">
        <v>43</v>
      </c>
      <c r="F2" s="1" t="s">
        <v>44</v>
      </c>
      <c r="J2" s="1" t="s">
        <v>45</v>
      </c>
      <c r="M2" s="1" t="s">
        <v>46</v>
      </c>
    </row>
    <row r="3" customFormat="false" ht="15" hidden="false" customHeight="false" outlineLevel="0" collapsed="false">
      <c r="B3" s="1" t="s">
        <v>47</v>
      </c>
      <c r="C3" s="1" t="s">
        <v>48</v>
      </c>
      <c r="D3" s="1" t="s">
        <v>49</v>
      </c>
      <c r="E3" s="1" t="s">
        <v>25</v>
      </c>
      <c r="F3" s="1" t="s">
        <v>47</v>
      </c>
      <c r="G3" s="1" t="s">
        <v>48</v>
      </c>
      <c r="H3" s="1" t="s">
        <v>49</v>
      </c>
      <c r="I3" s="1" t="s">
        <v>25</v>
      </c>
      <c r="J3" s="1" t="s">
        <v>47</v>
      </c>
      <c r="K3" s="1" t="s">
        <v>48</v>
      </c>
      <c r="L3" s="1" t="s">
        <v>49</v>
      </c>
      <c r="M3" s="1" t="s">
        <v>47</v>
      </c>
      <c r="N3" s="1" t="s">
        <v>48</v>
      </c>
      <c r="O3" s="1" t="s">
        <v>49</v>
      </c>
    </row>
    <row r="5" customFormat="false" ht="15" hidden="false" customHeight="false" outlineLevel="0" collapsed="false">
      <c r="A5" s="10" t="s">
        <v>50</v>
      </c>
    </row>
    <row r="6" customFormat="false" ht="15" hidden="false" customHeight="false" outlineLevel="0" collapsed="false">
      <c r="A6" s="1" t="s">
        <v>51</v>
      </c>
      <c r="B6" s="5" t="n">
        <v>869.052631578947</v>
      </c>
      <c r="C6" s="5" t="n">
        <v>1830.31578947368</v>
      </c>
      <c r="D6" s="5" t="n">
        <v>956.736842105263</v>
      </c>
      <c r="E6" s="3" t="n">
        <v>0.961</v>
      </c>
      <c r="F6" s="5" t="n">
        <v>72.3426748460279</v>
      </c>
      <c r="G6" s="5" t="n">
        <v>354.913215563633</v>
      </c>
      <c r="H6" s="5" t="n">
        <v>132.004532785432</v>
      </c>
      <c r="I6" s="3" t="n">
        <v>0.046</v>
      </c>
      <c r="J6" s="5" t="n">
        <v>91.7543859649123</v>
      </c>
      <c r="K6" s="5" t="n">
        <v>393.052631578947</v>
      </c>
      <c r="L6" s="5" t="n">
        <v>92.6666666666667</v>
      </c>
      <c r="M6" s="5" t="n">
        <v>94.3157894736842</v>
      </c>
      <c r="N6" s="5" t="n">
        <v>517.684210526316</v>
      </c>
      <c r="O6" s="5" t="n">
        <v>113.157894736842</v>
      </c>
      <c r="P6" s="1" t="s">
        <v>52</v>
      </c>
    </row>
    <row r="7" customFormat="false" ht="15" hidden="false" customHeight="false" outlineLevel="0" collapsed="false">
      <c r="A7" s="1" t="s">
        <v>53</v>
      </c>
      <c r="B7" s="5" t="n">
        <v>1061.05</v>
      </c>
      <c r="C7" s="5" t="n">
        <v>1726.45</v>
      </c>
      <c r="D7" s="5" t="n">
        <v>1289.1</v>
      </c>
      <c r="E7" s="3" t="n">
        <v>1.2576</v>
      </c>
      <c r="F7" s="5" t="n">
        <v>80.9406572743266</v>
      </c>
      <c r="G7" s="5" t="n">
        <v>267.127291754324</v>
      </c>
      <c r="H7" s="5" t="n">
        <v>93.2113726966833</v>
      </c>
      <c r="I7" s="3" t="n">
        <v>0.0425</v>
      </c>
      <c r="J7" s="5" t="n">
        <v>99.8333333333333</v>
      </c>
      <c r="K7" s="5" t="n">
        <v>392.4</v>
      </c>
      <c r="L7" s="5" t="n">
        <v>101.5</v>
      </c>
      <c r="M7" s="5" t="n">
        <v>93.9</v>
      </c>
      <c r="N7" s="5" t="n">
        <v>530.1</v>
      </c>
      <c r="O7" s="5" t="n">
        <v>113.95</v>
      </c>
      <c r="P7" s="1" t="s">
        <v>54</v>
      </c>
    </row>
    <row r="8" customFormat="false" ht="15" hidden="false" customHeight="false" outlineLevel="0" collapsed="false">
      <c r="A8" s="1" t="s">
        <v>3</v>
      </c>
      <c r="B8" s="5" t="n">
        <v>985.05</v>
      </c>
      <c r="C8" s="5" t="n">
        <v>1568.7</v>
      </c>
      <c r="D8" s="5" t="n">
        <v>717.9</v>
      </c>
      <c r="E8" s="3" t="n">
        <v>1.148</v>
      </c>
      <c r="F8" s="5" t="n">
        <v>82.499636362835</v>
      </c>
      <c r="G8" s="5" t="n">
        <v>351.685711964531</v>
      </c>
      <c r="H8" s="5" t="n">
        <v>70.659465041847</v>
      </c>
      <c r="I8" s="3" t="n">
        <v>0.035</v>
      </c>
      <c r="J8" s="5" t="n">
        <v>96.6</v>
      </c>
      <c r="K8" s="5" t="n">
        <v>385.466666666667</v>
      </c>
      <c r="L8" s="5" t="n">
        <v>86.1333333333333</v>
      </c>
      <c r="M8" s="5" t="n">
        <v>93.55</v>
      </c>
      <c r="N8" s="5" t="n">
        <v>531.65</v>
      </c>
      <c r="O8" s="5" t="n">
        <v>113.25</v>
      </c>
      <c r="P8" s="1" t="s">
        <v>55</v>
      </c>
    </row>
    <row r="9" s="11" customFormat="true" ht="15" hidden="false" customHeight="false" outlineLevel="0" collapsed="false">
      <c r="A9" s="11" t="s">
        <v>56</v>
      </c>
      <c r="B9" s="12"/>
      <c r="C9" s="12"/>
      <c r="D9" s="12"/>
      <c r="E9" s="13" t="n">
        <v>0.945</v>
      </c>
      <c r="F9" s="12"/>
      <c r="G9" s="12"/>
      <c r="H9" s="12"/>
      <c r="I9" s="13" t="n">
        <v>0.0374</v>
      </c>
      <c r="J9" s="12"/>
      <c r="K9" s="12"/>
      <c r="L9" s="12"/>
      <c r="M9" s="12"/>
      <c r="N9" s="12"/>
      <c r="O9" s="12"/>
      <c r="P9" s="11" t="s">
        <v>52</v>
      </c>
    </row>
    <row r="10" customFormat="false" ht="15" hidden="false" customHeight="false" outlineLevel="0" collapsed="false">
      <c r="A10" s="10" t="s">
        <v>57</v>
      </c>
      <c r="E10" s="3"/>
      <c r="I10" s="3"/>
    </row>
    <row r="11" customFormat="false" ht="15" hidden="false" customHeight="false" outlineLevel="0" collapsed="false">
      <c r="A11" s="1" t="s">
        <v>4</v>
      </c>
      <c r="B11" s="5" t="n">
        <v>1071.85</v>
      </c>
      <c r="C11" s="5" t="n">
        <v>2356.65</v>
      </c>
      <c r="D11" s="5" t="n">
        <v>1146.65</v>
      </c>
      <c r="E11" s="3" t="n">
        <v>1.137</v>
      </c>
      <c r="F11" s="5" t="n">
        <v>85.1804555047694</v>
      </c>
      <c r="G11" s="5" t="n">
        <v>405.327657580876</v>
      </c>
      <c r="H11" s="5" t="n">
        <v>103.622922174585</v>
      </c>
      <c r="I11" s="3" t="n">
        <v>0.051</v>
      </c>
      <c r="J11" s="5" t="n">
        <v>100.833333333333</v>
      </c>
      <c r="K11" s="5" t="n">
        <v>423.466666666667</v>
      </c>
      <c r="L11" s="5" t="n">
        <v>98.3</v>
      </c>
      <c r="M11" s="5" t="n">
        <v>95.05</v>
      </c>
      <c r="N11" s="5" t="n">
        <v>529.3</v>
      </c>
      <c r="O11" s="5" t="n">
        <v>114.9</v>
      </c>
    </row>
    <row r="12" customFormat="false" ht="15" hidden="false" customHeight="false" outlineLevel="0" collapsed="false">
      <c r="A12" s="1" t="s">
        <v>5</v>
      </c>
      <c r="B12" s="5" t="n">
        <v>815.333333333333</v>
      </c>
      <c r="C12" s="5" t="n">
        <v>1392.27777777778</v>
      </c>
      <c r="D12" s="5" t="n">
        <v>1412.11111111111</v>
      </c>
      <c r="E12" s="3" t="n">
        <v>1.254</v>
      </c>
      <c r="F12" s="5" t="n">
        <v>68.1860200725437</v>
      </c>
      <c r="G12" s="5" t="n">
        <v>397.360069321715</v>
      </c>
      <c r="H12" s="5" t="n">
        <v>111.273215083693</v>
      </c>
      <c r="I12" s="3" t="n">
        <v>0.055</v>
      </c>
      <c r="J12" s="5" t="n">
        <v>89.4814814814815</v>
      </c>
      <c r="K12" s="5" t="n">
        <v>374.074074074074</v>
      </c>
      <c r="L12" s="5" t="n">
        <v>104.555555555556</v>
      </c>
      <c r="M12" s="5" t="n">
        <v>95</v>
      </c>
      <c r="N12" s="5" t="n">
        <v>526.888888888889</v>
      </c>
      <c r="O12" s="5" t="n">
        <v>113.833333333333</v>
      </c>
    </row>
    <row r="13" customFormat="false" ht="15" hidden="false" customHeight="false" outlineLevel="0" collapsed="false">
      <c r="A13" s="1" t="s">
        <v>6</v>
      </c>
      <c r="B13" s="5" t="n">
        <v>1318.05</v>
      </c>
      <c r="C13" s="5" t="n">
        <v>1872.4</v>
      </c>
      <c r="D13" s="5" t="n">
        <v>1416.55</v>
      </c>
      <c r="E13" s="14"/>
      <c r="F13" s="5" t="n">
        <v>87.0688807783815</v>
      </c>
      <c r="G13" s="5" t="n">
        <v>400.583774009878</v>
      </c>
      <c r="H13" s="5" t="n">
        <v>123.258224877693</v>
      </c>
      <c r="I13" s="3"/>
      <c r="J13" s="5" t="n">
        <v>111.3</v>
      </c>
      <c r="K13" s="5" t="n">
        <v>397.933333333333</v>
      </c>
      <c r="L13" s="5" t="n">
        <v>104.766666666667</v>
      </c>
      <c r="M13" s="5" t="n">
        <v>94.9</v>
      </c>
      <c r="N13" s="5" t="n">
        <v>524.8</v>
      </c>
      <c r="O13" s="5" t="n">
        <v>113.9</v>
      </c>
    </row>
    <row r="14" customFormat="false" ht="15" hidden="false" customHeight="false" outlineLevel="0" collapsed="false">
      <c r="A14" s="1" t="s">
        <v>7</v>
      </c>
      <c r="B14" s="5" t="n">
        <v>642.9</v>
      </c>
      <c r="C14" s="5" t="n">
        <v>1477.65</v>
      </c>
      <c r="D14" s="5" t="n">
        <v>1774.4</v>
      </c>
      <c r="E14" s="3" t="n">
        <v>0.7329</v>
      </c>
      <c r="F14" s="5" t="n">
        <v>57.6156228812984</v>
      </c>
      <c r="G14" s="5" t="n">
        <v>382.557329037096</v>
      </c>
      <c r="H14" s="5" t="n">
        <v>102.423434818405</v>
      </c>
      <c r="I14" s="3" t="n">
        <v>0.0215</v>
      </c>
      <c r="J14" s="5" t="n">
        <v>81.4666666666667</v>
      </c>
      <c r="K14" s="5" t="n">
        <v>378.433333333333</v>
      </c>
      <c r="L14" s="5" t="n">
        <v>113.166666666667</v>
      </c>
      <c r="M14" s="5" t="n">
        <v>93.75</v>
      </c>
      <c r="N14" s="5" t="n">
        <v>526.75</v>
      </c>
      <c r="O14" s="5" t="n">
        <v>113.6</v>
      </c>
    </row>
    <row r="15" customFormat="false" ht="15" hidden="false" customHeight="false" outlineLevel="0" collapsed="false">
      <c r="A15" s="1" t="s">
        <v>8</v>
      </c>
      <c r="B15" s="5" t="n">
        <v>918.05</v>
      </c>
      <c r="C15" s="5" t="n">
        <v>1437.2</v>
      </c>
      <c r="D15" s="5" t="n">
        <v>1293.8</v>
      </c>
      <c r="E15" s="3" t="n">
        <v>0.8787</v>
      </c>
      <c r="F15" s="5" t="n">
        <v>66.6407532970629</v>
      </c>
      <c r="G15" s="5" t="n">
        <v>316.555587535586</v>
      </c>
      <c r="H15" s="5" t="n">
        <v>123.349260232885</v>
      </c>
      <c r="I15" s="3" t="n">
        <v>0.0163</v>
      </c>
      <c r="J15" s="5" t="n">
        <v>94.2333333333333</v>
      </c>
      <c r="K15" s="5" t="n">
        <v>374.666666666667</v>
      </c>
      <c r="L15" s="5" t="n">
        <v>101.6</v>
      </c>
      <c r="M15" s="5" t="n">
        <v>95.75</v>
      </c>
      <c r="N15" s="5" t="n">
        <v>523.5</v>
      </c>
      <c r="O15" s="5" t="n">
        <v>114.1</v>
      </c>
    </row>
    <row r="16" customFormat="false" ht="15" hidden="false" customHeight="false" outlineLevel="0" collapsed="false">
      <c r="A16" s="10" t="s">
        <v>58</v>
      </c>
      <c r="B16" s="5"/>
      <c r="C16" s="5"/>
      <c r="D16" s="5"/>
      <c r="E16" s="3"/>
      <c r="F16" s="5"/>
      <c r="G16" s="5"/>
      <c r="H16" s="5"/>
      <c r="I16" s="3"/>
      <c r="J16" s="5"/>
      <c r="K16" s="5"/>
      <c r="L16" s="5"/>
      <c r="M16" s="5"/>
      <c r="N16" s="5"/>
      <c r="O16" s="5"/>
    </row>
    <row r="17" customFormat="false" ht="15" hidden="false" customHeight="false" outlineLevel="0" collapsed="false">
      <c r="A17" s="1" t="s">
        <v>9</v>
      </c>
      <c r="B17" s="5" t="n">
        <v>1218.05</v>
      </c>
      <c r="C17" s="5" t="n">
        <v>1898.45</v>
      </c>
      <c r="D17" s="5" t="n">
        <v>1573.2</v>
      </c>
      <c r="E17" s="3" t="n">
        <v>1.03</v>
      </c>
      <c r="F17" s="5" t="n">
        <v>99.2199072767154</v>
      </c>
      <c r="G17" s="5" t="n">
        <v>528.011164654691</v>
      </c>
      <c r="H17" s="5" t="n">
        <v>126.971807894509</v>
      </c>
      <c r="I17" s="3" t="n">
        <v>0.058</v>
      </c>
      <c r="J17" s="5" t="n">
        <v>106.766666666667</v>
      </c>
      <c r="K17" s="5" t="n">
        <v>399.733333333333</v>
      </c>
      <c r="L17" s="5" t="n">
        <v>108.1</v>
      </c>
      <c r="M17" s="5" t="n">
        <v>95.45</v>
      </c>
      <c r="N17" s="5" t="n">
        <v>527.55</v>
      </c>
      <c r="O17" s="5" t="n">
        <v>114.1</v>
      </c>
    </row>
    <row r="18" customFormat="false" ht="15" hidden="false" customHeight="false" outlineLevel="0" collapsed="false">
      <c r="A18" s="10" t="s">
        <v>59</v>
      </c>
      <c r="B18" s="5"/>
      <c r="C18" s="5"/>
      <c r="D18" s="5"/>
      <c r="E18" s="3"/>
      <c r="F18" s="5"/>
      <c r="G18" s="5"/>
      <c r="H18" s="5"/>
      <c r="I18" s="3"/>
      <c r="J18" s="5"/>
      <c r="K18" s="5"/>
      <c r="L18" s="5"/>
      <c r="M18" s="5"/>
      <c r="N18" s="5"/>
      <c r="O18" s="5"/>
    </row>
    <row r="19" customFormat="false" ht="15" hidden="false" customHeight="false" outlineLevel="0" collapsed="false">
      <c r="A19" s="1" t="s">
        <v>60</v>
      </c>
      <c r="B19" s="5" t="n">
        <v>393.35</v>
      </c>
      <c r="C19" s="5" t="n">
        <v>1230.65</v>
      </c>
      <c r="D19" s="5" t="n">
        <v>1240.3</v>
      </c>
      <c r="E19" s="15" t="n">
        <v>1.53</v>
      </c>
      <c r="F19" s="5" t="n">
        <v>70.7962569632039</v>
      </c>
      <c r="G19" s="5" t="n">
        <v>386.422191391744</v>
      </c>
      <c r="H19" s="5" t="n">
        <v>84.0454638871129</v>
      </c>
      <c r="I19" s="3" t="n">
        <v>0.1</v>
      </c>
      <c r="J19" s="5" t="n">
        <v>69.6666666666667</v>
      </c>
      <c r="K19" s="5" t="n">
        <v>359.333333333333</v>
      </c>
      <c r="L19" s="5" t="n">
        <v>100.2</v>
      </c>
      <c r="M19" s="5" t="n">
        <v>91.95</v>
      </c>
      <c r="N19" s="5" t="n">
        <v>513.65</v>
      </c>
      <c r="O19" s="5" t="n">
        <v>113.1</v>
      </c>
    </row>
    <row r="20" customFormat="false" ht="15" hidden="false" customHeight="false" outlineLevel="0" collapsed="false">
      <c r="A20" s="10" t="s">
        <v>61</v>
      </c>
      <c r="E20" s="15"/>
      <c r="I20" s="3"/>
    </row>
    <row r="21" customFormat="false" ht="15" hidden="false" customHeight="false" outlineLevel="0" collapsed="false">
      <c r="A21" s="1" t="s">
        <v>13</v>
      </c>
      <c r="B21" s="5" t="n">
        <v>50</v>
      </c>
      <c r="C21" s="5" t="n">
        <v>2234</v>
      </c>
      <c r="D21" s="5" t="n">
        <v>2301.2</v>
      </c>
      <c r="E21" s="15" t="n">
        <v>1.27</v>
      </c>
      <c r="F21" s="5" t="n">
        <v>34.8022987746499</v>
      </c>
      <c r="G21" s="5" t="n">
        <v>186.877499983278</v>
      </c>
      <c r="H21" s="5" t="n">
        <v>91.8381184476251</v>
      </c>
      <c r="I21" s="3" t="n">
        <v>0.05</v>
      </c>
      <c r="J21" s="5" t="n">
        <v>31.4666666666667</v>
      </c>
      <c r="K21" s="5" t="n">
        <v>248.4</v>
      </c>
      <c r="L21" s="5" t="n">
        <v>79.6</v>
      </c>
      <c r="M21" s="5" t="n">
        <v>53.8</v>
      </c>
      <c r="N21" s="5" t="n">
        <v>301.2</v>
      </c>
      <c r="O21" s="5" t="n">
        <v>67.2</v>
      </c>
    </row>
    <row r="22" customFormat="false" ht="15" hidden="false" customHeight="false" outlineLevel="0" collapsed="false">
      <c r="A22" s="1" t="s">
        <v>11</v>
      </c>
      <c r="B22" s="5" t="n">
        <v>111.35</v>
      </c>
      <c r="C22" s="5" t="n">
        <v>1678.35</v>
      </c>
      <c r="D22" s="5" t="n">
        <v>1556.85</v>
      </c>
      <c r="E22" s="15" t="n">
        <v>1.78</v>
      </c>
      <c r="F22" s="5" t="n">
        <v>26.9761005336205</v>
      </c>
      <c r="G22" s="5" t="n">
        <v>176.583436369327</v>
      </c>
      <c r="H22" s="5" t="n">
        <v>63.2464228237455</v>
      </c>
      <c r="I22" s="3" t="n">
        <v>0.09</v>
      </c>
      <c r="J22" s="5" t="n">
        <v>34.5333333333333</v>
      </c>
      <c r="K22" s="5" t="n">
        <v>235.633333333333</v>
      </c>
      <c r="L22" s="5" t="n">
        <v>68.5</v>
      </c>
      <c r="M22" s="5" t="n">
        <v>55.55</v>
      </c>
      <c r="N22" s="5" t="n">
        <v>309.5</v>
      </c>
      <c r="O22" s="5" t="n">
        <v>68.65</v>
      </c>
    </row>
    <row r="23" customFormat="false" ht="15" hidden="false" customHeight="false" outlineLevel="0" collapsed="false">
      <c r="A23" s="1" t="s">
        <v>62</v>
      </c>
      <c r="B23" s="5" t="n">
        <v>115.05</v>
      </c>
      <c r="C23" s="5" t="n">
        <v>1678.75</v>
      </c>
      <c r="D23" s="5" t="n">
        <v>1492.25</v>
      </c>
      <c r="E23" s="15" t="n">
        <v>1.61</v>
      </c>
      <c r="F23" s="5" t="n">
        <v>30.8056812942029</v>
      </c>
      <c r="G23" s="5" t="n">
        <v>274.245054650034</v>
      </c>
      <c r="H23" s="5" t="n">
        <v>77.4851598694872</v>
      </c>
      <c r="I23" s="3" t="n">
        <v>0.1</v>
      </c>
      <c r="J23" s="5" t="n">
        <v>34.4666666666667</v>
      </c>
      <c r="K23" s="5" t="n">
        <v>233.966666666667</v>
      </c>
      <c r="L23" s="5" t="n">
        <v>67</v>
      </c>
      <c r="M23" s="5" t="n">
        <v>55.55</v>
      </c>
      <c r="N23" s="5" t="n">
        <v>307.1</v>
      </c>
      <c r="O23" s="5" t="n">
        <v>67.85</v>
      </c>
    </row>
    <row r="24" customFormat="false" ht="15" hidden="false" customHeight="false" outlineLevel="0" collapsed="false">
      <c r="A24" s="10" t="s">
        <v>63</v>
      </c>
      <c r="B24" s="5"/>
      <c r="C24" s="5"/>
      <c r="D24" s="5"/>
      <c r="E24" s="3"/>
      <c r="F24" s="5"/>
      <c r="G24" s="5"/>
      <c r="H24" s="5"/>
      <c r="I24" s="3"/>
      <c r="J24" s="5"/>
      <c r="K24" s="5"/>
      <c r="L24" s="5"/>
      <c r="M24" s="5"/>
      <c r="N24" s="5"/>
      <c r="O24" s="5"/>
    </row>
    <row r="25" s="11" customFormat="true" ht="15" hidden="false" customHeight="false" outlineLevel="0" collapsed="false">
      <c r="A25" s="11" t="s">
        <v>64</v>
      </c>
      <c r="B25" s="12" t="n">
        <v>37.6</v>
      </c>
      <c r="C25" s="12" t="n">
        <v>1896</v>
      </c>
      <c r="D25" s="12" t="n">
        <v>2394.6</v>
      </c>
      <c r="E25" s="13"/>
      <c r="F25" s="12" t="n">
        <v>31.3968151251046</v>
      </c>
      <c r="G25" s="12" t="n">
        <v>268.192468201477</v>
      </c>
      <c r="H25" s="12" t="n">
        <v>144.723736822955</v>
      </c>
      <c r="I25" s="13"/>
      <c r="J25" s="12" t="n">
        <v>30.9333333333333</v>
      </c>
      <c r="K25" s="12" t="n">
        <v>245.966666666667</v>
      </c>
      <c r="L25" s="12" t="n">
        <v>83.4666666666667</v>
      </c>
      <c r="M25" s="12" t="n">
        <v>56.3157894736842</v>
      </c>
      <c r="N25" s="12" t="n">
        <v>311.55</v>
      </c>
      <c r="O25" s="12" t="n">
        <v>69.4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43"/>
  <sheetViews>
    <sheetView showFormulas="false" showGridLines="true" showRowColHeaders="true" showZeros="true" rightToLeft="false" tabSelected="false" showOutlineSymbols="true" defaultGridColor="true" view="normal" topLeftCell="A23" colorId="64" zoomScale="55" zoomScaleNormal="55" zoomScalePageLayoutView="100" workbookViewId="0">
      <selection pane="topLeft" activeCell="D43" activeCellId="0" sqref="D43"/>
    </sheetView>
  </sheetViews>
  <sheetFormatPr defaultColWidth="10.6445312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15" min="4" style="1" width="6.7"/>
    <col collapsed="false" customWidth="true" hidden="false" outlineLevel="0" max="24" min="16" style="1" width="6.9"/>
    <col collapsed="false" customWidth="true" hidden="false" outlineLevel="0" max="26" min="25" style="1" width="6.5"/>
  </cols>
  <sheetData>
    <row r="1" customFormat="false" ht="15" hidden="false" customHeight="false" outlineLevel="0" collapsed="false">
      <c r="D1" s="3" t="s">
        <v>65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1" t="s">
        <v>66</v>
      </c>
    </row>
    <row r="2" customFormat="false" ht="15" hidden="false" customHeight="false" outlineLevel="0" collapsed="false">
      <c r="B2" s="1" t="s">
        <v>67</v>
      </c>
      <c r="C2" s="1" t="s">
        <v>68</v>
      </c>
      <c r="D2" s="3" t="s">
        <v>15</v>
      </c>
      <c r="E2" s="3" t="s">
        <v>16</v>
      </c>
      <c r="F2" s="3" t="s">
        <v>17</v>
      </c>
      <c r="G2" s="3" t="s">
        <v>31</v>
      </c>
      <c r="H2" s="3" t="s">
        <v>18</v>
      </c>
      <c r="I2" s="3" t="s">
        <v>19</v>
      </c>
      <c r="J2" s="3" t="s">
        <v>20</v>
      </c>
      <c r="K2" s="3" t="s">
        <v>21</v>
      </c>
      <c r="L2" s="3" t="s">
        <v>22</v>
      </c>
      <c r="M2" s="3" t="s">
        <v>23</v>
      </c>
      <c r="N2" s="3" t="s">
        <v>24</v>
      </c>
      <c r="O2" s="3" t="s">
        <v>69</v>
      </c>
      <c r="P2" s="3" t="s">
        <v>15</v>
      </c>
      <c r="Q2" s="3" t="s">
        <v>16</v>
      </c>
      <c r="R2" s="3" t="s">
        <v>17</v>
      </c>
      <c r="S2" s="3" t="s">
        <v>31</v>
      </c>
      <c r="T2" s="3" t="s">
        <v>18</v>
      </c>
      <c r="U2" s="3" t="s">
        <v>19</v>
      </c>
      <c r="V2" s="3" t="s">
        <v>20</v>
      </c>
      <c r="W2" s="3" t="s">
        <v>21</v>
      </c>
      <c r="X2" s="3" t="s">
        <v>22</v>
      </c>
      <c r="Y2" s="3" t="s">
        <v>23</v>
      </c>
      <c r="Z2" s="3" t="s">
        <v>24</v>
      </c>
    </row>
    <row r="3" customFormat="false" ht="15" hidden="false" customHeight="false" outlineLevel="0" collapsed="false">
      <c r="A3" s="1" t="s">
        <v>70</v>
      </c>
      <c r="B3" s="1" t="s">
        <v>71</v>
      </c>
      <c r="C3" s="1" t="s">
        <v>51</v>
      </c>
      <c r="D3" s="3" t="n">
        <v>48.8717</v>
      </c>
      <c r="E3" s="3" t="n">
        <v>2.4425</v>
      </c>
      <c r="F3" s="3" t="n">
        <v>15.9666</v>
      </c>
      <c r="G3" s="3" t="n">
        <v>0.1557</v>
      </c>
      <c r="H3" s="3" t="n">
        <v>10.0414</v>
      </c>
      <c r="I3" s="3" t="n">
        <v>0.2337</v>
      </c>
      <c r="J3" s="3" t="n">
        <v>3.2166</v>
      </c>
      <c r="K3" s="3" t="n">
        <v>6.6108</v>
      </c>
      <c r="L3" s="3" t="n">
        <v>5.0441</v>
      </c>
      <c r="M3" s="3" t="n">
        <v>2.8174</v>
      </c>
      <c r="N3" s="3" t="n">
        <v>1.436</v>
      </c>
      <c r="O3" s="3" t="n">
        <f aca="false">SUM(D3:N3)</f>
        <v>96.8365</v>
      </c>
      <c r="P3" s="3" t="n">
        <f aca="false">D3/$O3*100</f>
        <v>50.4682635163394</v>
      </c>
      <c r="Q3" s="3" t="n">
        <f aca="false">E3/$O3*100</f>
        <v>2.52229273053033</v>
      </c>
      <c r="R3" s="3" t="n">
        <f aca="false">F3/$O3*100</f>
        <v>16.4882043444362</v>
      </c>
      <c r="S3" s="3" t="n">
        <f aca="false">G3/$O3*100</f>
        <v>0.160786480304431</v>
      </c>
      <c r="T3" s="3" t="n">
        <f aca="false">H3/$O3*100</f>
        <v>10.3694371440521</v>
      </c>
      <c r="U3" s="3" t="n">
        <f aca="false">I3/$O3*100</f>
        <v>0.241334620726689</v>
      </c>
      <c r="V3" s="3" t="n">
        <f aca="false">J3/$O3*100</f>
        <v>3.32168139079789</v>
      </c>
      <c r="W3" s="3" t="n">
        <f aca="false">K3/$O3*100</f>
        <v>6.82676470132646</v>
      </c>
      <c r="X3" s="3" t="n">
        <f aca="false">L3/$O3*100</f>
        <v>5.20888301415272</v>
      </c>
      <c r="Y3" s="3" t="n">
        <f aca="false">M3/$O3*100</f>
        <v>2.90944013879064</v>
      </c>
      <c r="Z3" s="3" t="n">
        <f aca="false">N3/$O3*100</f>
        <v>1.48291191854311</v>
      </c>
    </row>
    <row r="4" customFormat="false" ht="15" hidden="false" customHeight="false" outlineLevel="0" collapsed="false">
      <c r="A4" s="1" t="s">
        <v>72</v>
      </c>
      <c r="B4" s="1" t="s">
        <v>71</v>
      </c>
      <c r="C4" s="1" t="s">
        <v>51</v>
      </c>
      <c r="D4" s="3" t="n">
        <v>48.7959</v>
      </c>
      <c r="E4" s="3" t="n">
        <v>2.6525</v>
      </c>
      <c r="F4" s="3" t="n">
        <v>16.001</v>
      </c>
      <c r="G4" s="3" t="n">
        <v>0</v>
      </c>
      <c r="H4" s="3" t="n">
        <v>10.3992</v>
      </c>
      <c r="I4" s="3" t="n">
        <v>0.2343</v>
      </c>
      <c r="J4" s="3" t="n">
        <v>3.1906</v>
      </c>
      <c r="K4" s="3" t="n">
        <v>6.6702</v>
      </c>
      <c r="L4" s="3" t="n">
        <v>4.8663</v>
      </c>
      <c r="M4" s="3" t="n">
        <v>2.8606</v>
      </c>
      <c r="N4" s="3" t="n">
        <v>1.4576</v>
      </c>
      <c r="O4" s="3" t="n">
        <f aca="false">SUM(D4:N4)</f>
        <v>97.1282</v>
      </c>
      <c r="P4" s="3" t="n">
        <f aca="false">D4/$O4*100</f>
        <v>50.2386536556839</v>
      </c>
      <c r="Q4" s="3" t="n">
        <f aca="false">E4/$O4*100</f>
        <v>2.73092675453679</v>
      </c>
      <c r="R4" s="3" t="n">
        <f aca="false">F4/$O4*100</f>
        <v>16.4741032985271</v>
      </c>
      <c r="S4" s="3" t="n">
        <f aca="false">G4/$O4*100</f>
        <v>0</v>
      </c>
      <c r="T4" s="3" t="n">
        <f aca="false">H4/$O4*100</f>
        <v>10.7066742717357</v>
      </c>
      <c r="U4" s="3" t="n">
        <f aca="false">I4/$O4*100</f>
        <v>0.241227573454465</v>
      </c>
      <c r="V4" s="3" t="n">
        <f aca="false">J4/$O4*100</f>
        <v>3.28493681546657</v>
      </c>
      <c r="W4" s="3" t="n">
        <f aca="false">K4/$O4*100</f>
        <v>6.86741852520689</v>
      </c>
      <c r="X4" s="3" t="n">
        <f aca="false">L4/$O4*100</f>
        <v>5.01018241870023</v>
      </c>
      <c r="Y4" s="3" t="n">
        <f aca="false">M4/$O4*100</f>
        <v>2.94517966975605</v>
      </c>
      <c r="Z4" s="3" t="n">
        <f aca="false">N4/$O4*100</f>
        <v>1.50069701693226</v>
      </c>
    </row>
    <row r="5" customFormat="false" ht="15" hidden="false" customHeight="false" outlineLevel="0" collapsed="false">
      <c r="A5" s="1" t="s">
        <v>73</v>
      </c>
      <c r="B5" s="1" t="s">
        <v>71</v>
      </c>
      <c r="C5" s="1" t="s">
        <v>51</v>
      </c>
      <c r="D5" s="3" t="n">
        <v>48.7909</v>
      </c>
      <c r="E5" s="3" t="n">
        <v>2.5083</v>
      </c>
      <c r="F5" s="3" t="n">
        <v>15.9939</v>
      </c>
      <c r="G5" s="3" t="n">
        <v>0</v>
      </c>
      <c r="H5" s="3" t="n">
        <v>10.2771</v>
      </c>
      <c r="I5" s="3" t="n">
        <v>0.2142</v>
      </c>
      <c r="J5" s="3" t="n">
        <v>3.2153</v>
      </c>
      <c r="K5" s="3" t="n">
        <v>6.6628</v>
      </c>
      <c r="L5" s="3" t="n">
        <v>4.9112</v>
      </c>
      <c r="M5" s="3" t="n">
        <v>2.9366</v>
      </c>
      <c r="N5" s="3" t="n">
        <v>1.381</v>
      </c>
      <c r="O5" s="3" t="n">
        <f aca="false">SUM(D5:N5)</f>
        <v>96.8913</v>
      </c>
      <c r="P5" s="3" t="n">
        <f aca="false">D5/$O5*100</f>
        <v>50.356327141859</v>
      </c>
      <c r="Q5" s="3" t="n">
        <f aca="false">E5/$O5*100</f>
        <v>2.58877732056439</v>
      </c>
      <c r="R5" s="3" t="n">
        <f aca="false">F5/$O5*100</f>
        <v>16.5070548129708</v>
      </c>
      <c r="S5" s="3" t="n">
        <f aca="false">G5/$O5*100</f>
        <v>0</v>
      </c>
      <c r="T5" s="3" t="n">
        <f aca="false">H5/$O5*100</f>
        <v>10.6068346693666</v>
      </c>
      <c r="U5" s="3" t="n">
        <f aca="false">I5/$O5*100</f>
        <v>0.22107248019172</v>
      </c>
      <c r="V5" s="3" t="n">
        <f aca="false">J5/$O5*100</f>
        <v>3.31846099701418</v>
      </c>
      <c r="W5" s="3" t="n">
        <f aca="false">K5/$O5*100</f>
        <v>6.87657199356392</v>
      </c>
      <c r="X5" s="3" t="n">
        <f aca="false">L5/$O5*100</f>
        <v>5.0687729445265</v>
      </c>
      <c r="Y5" s="3" t="n">
        <f aca="false">M5/$O5*100</f>
        <v>3.03081907250703</v>
      </c>
      <c r="Z5" s="3" t="n">
        <f aca="false">N5/$O5*100</f>
        <v>1.42530856743588</v>
      </c>
    </row>
    <row r="6" customFormat="false" ht="15" hidden="false" customHeight="false" outlineLevel="0" collapsed="false">
      <c r="A6" s="1" t="s">
        <v>74</v>
      </c>
      <c r="B6" s="1" t="s">
        <v>71</v>
      </c>
      <c r="C6" s="1" t="s">
        <v>51</v>
      </c>
      <c r="D6" s="3" t="n">
        <v>48.9195</v>
      </c>
      <c r="E6" s="3" t="n">
        <v>2.6276</v>
      </c>
      <c r="F6" s="3" t="n">
        <v>15.926</v>
      </c>
      <c r="G6" s="3" t="n">
        <v>0</v>
      </c>
      <c r="H6" s="3" t="n">
        <v>9.9191</v>
      </c>
      <c r="I6" s="3" t="n">
        <v>0.1181</v>
      </c>
      <c r="J6" s="3" t="n">
        <v>3.1982</v>
      </c>
      <c r="K6" s="3" t="n">
        <v>6.4183</v>
      </c>
      <c r="L6" s="3" t="n">
        <v>4.8701</v>
      </c>
      <c r="M6" s="3" t="n">
        <v>2.8335</v>
      </c>
      <c r="N6" s="3" t="n">
        <v>1.3984</v>
      </c>
      <c r="O6" s="3" t="n">
        <f aca="false">SUM(D6:N6)</f>
        <v>96.2288</v>
      </c>
      <c r="P6" s="3" t="n">
        <f aca="false">D6/$O6*100</f>
        <v>50.8366518131786</v>
      </c>
      <c r="Q6" s="3" t="n">
        <f aca="false">E6/$O6*100</f>
        <v>2.73057546181601</v>
      </c>
      <c r="R6" s="3" t="n">
        <f aca="false">F6/$O6*100</f>
        <v>16.5501388357747</v>
      </c>
      <c r="S6" s="3" t="n">
        <f aca="false">G6/$O6*100</f>
        <v>0</v>
      </c>
      <c r="T6" s="3" t="n">
        <f aca="false">H6/$O6*100</f>
        <v>10.3078288412617</v>
      </c>
      <c r="U6" s="3" t="n">
        <f aca="false">I6/$O6*100</f>
        <v>0.122728330811566</v>
      </c>
      <c r="V6" s="3" t="n">
        <f aca="false">J6/$O6*100</f>
        <v>3.3235372362536</v>
      </c>
      <c r="W6" s="3" t="n">
        <f aca="false">K6/$O6*100</f>
        <v>6.66983273198876</v>
      </c>
      <c r="X6" s="3" t="n">
        <f aca="false">L6/$O6*100</f>
        <v>5.06095888133282</v>
      </c>
      <c r="Y6" s="3" t="n">
        <f aca="false">M6/$O6*100</f>
        <v>2.94454466853998</v>
      </c>
      <c r="Z6" s="3" t="n">
        <f aca="false">N6/$O6*100</f>
        <v>1.45320319904228</v>
      </c>
    </row>
    <row r="7" customFormat="false" ht="15" hidden="false" customHeight="false" outlineLevel="0" collapsed="false">
      <c r="A7" s="1" t="s">
        <v>75</v>
      </c>
      <c r="B7" s="1" t="s">
        <v>71</v>
      </c>
      <c r="C7" s="1" t="s">
        <v>51</v>
      </c>
      <c r="D7" s="3" t="n">
        <v>48.6903</v>
      </c>
      <c r="E7" s="3" t="n">
        <v>2.5272</v>
      </c>
      <c r="F7" s="3" t="n">
        <v>15.7197</v>
      </c>
      <c r="G7" s="3" t="n">
        <v>0.1005</v>
      </c>
      <c r="H7" s="3" t="n">
        <v>10.0148</v>
      </c>
      <c r="I7" s="3" t="n">
        <v>0.2367</v>
      </c>
      <c r="J7" s="3" t="n">
        <v>3.2392</v>
      </c>
      <c r="K7" s="3" t="n">
        <v>6.7643</v>
      </c>
      <c r="L7" s="3" t="n">
        <v>4.7909</v>
      </c>
      <c r="M7" s="3" t="n">
        <v>2.7756</v>
      </c>
      <c r="N7" s="3" t="n">
        <v>1.4737</v>
      </c>
      <c r="O7" s="3" t="n">
        <f aca="false">SUM(D7:N7)</f>
        <v>96.3329</v>
      </c>
      <c r="P7" s="3" t="n">
        <f aca="false">D7/$O7*100</f>
        <v>50.543791373456</v>
      </c>
      <c r="Q7" s="3" t="n">
        <f aca="false">E7/$O7*100</f>
        <v>2.62340280423407</v>
      </c>
      <c r="R7" s="3" t="n">
        <f aca="false">F7/$O7*100</f>
        <v>16.3181010848838</v>
      </c>
      <c r="S7" s="3" t="n">
        <f aca="false">G7/$O7*100</f>
        <v>0.104325728800856</v>
      </c>
      <c r="T7" s="3" t="n">
        <f aca="false">H7/$O7*100</f>
        <v>10.3960329233315</v>
      </c>
      <c r="U7" s="3" t="n">
        <f aca="false">I7/$O7*100</f>
        <v>0.245710447832464</v>
      </c>
      <c r="V7" s="3" t="n">
        <f aca="false">J7/$O7*100</f>
        <v>3.36250647494262</v>
      </c>
      <c r="W7" s="3" t="n">
        <f aca="false">K7/$O7*100</f>
        <v>7.02179629181723</v>
      </c>
      <c r="X7" s="3" t="n">
        <f aca="false">L7/$O7*100</f>
        <v>4.97327496628878</v>
      </c>
      <c r="Y7" s="3" t="n">
        <f aca="false">M7/$O7*100</f>
        <v>2.88125863541947</v>
      </c>
      <c r="Z7" s="3" t="n">
        <f aca="false">N7/$O7*100</f>
        <v>1.52979926899325</v>
      </c>
    </row>
    <row r="8" customFormat="false" ht="15" hidden="false" customHeight="false" outlineLevel="0" collapsed="false">
      <c r="A8" s="1" t="s">
        <v>76</v>
      </c>
      <c r="B8" s="1" t="s">
        <v>71</v>
      </c>
      <c r="C8" s="1" t="s">
        <v>51</v>
      </c>
      <c r="D8" s="3" t="n">
        <v>49.1041</v>
      </c>
      <c r="E8" s="3" t="n">
        <v>2.6823</v>
      </c>
      <c r="F8" s="3" t="n">
        <v>15.6186</v>
      </c>
      <c r="G8" s="3" t="n">
        <v>0.0653</v>
      </c>
      <c r="H8" s="3" t="n">
        <v>10.1369</v>
      </c>
      <c r="I8" s="3" t="n">
        <v>0.1646</v>
      </c>
      <c r="J8" s="3" t="n">
        <v>3.19</v>
      </c>
      <c r="K8" s="3" t="n">
        <v>6.6264</v>
      </c>
      <c r="L8" s="3" t="n">
        <v>4.774</v>
      </c>
      <c r="M8" s="3" t="n">
        <v>2.8602</v>
      </c>
      <c r="N8" s="3" t="n">
        <v>1.5897</v>
      </c>
      <c r="O8" s="3" t="n">
        <f aca="false">SUM(D8:N8)</f>
        <v>96.8121</v>
      </c>
      <c r="P8" s="3" t="n">
        <f aca="false">D8/$O8*100</f>
        <v>50.7210359035699</v>
      </c>
      <c r="Q8" s="3" t="n">
        <f aca="false">E8/$O8*100</f>
        <v>2.77062474628688</v>
      </c>
      <c r="R8" s="3" t="n">
        <f aca="false">F8/$O8*100</f>
        <v>16.1329007427791</v>
      </c>
      <c r="S8" s="3" t="n">
        <f aca="false">G8/$O8*100</f>
        <v>0.0674502464051498</v>
      </c>
      <c r="T8" s="3" t="n">
        <f aca="false">H8/$O8*100</f>
        <v>10.4706952953195</v>
      </c>
      <c r="U8" s="3" t="n">
        <f aca="false">I8/$O8*100</f>
        <v>0.170020069805324</v>
      </c>
      <c r="V8" s="3" t="n">
        <f aca="false">J8/$O8*100</f>
        <v>3.2950426651214</v>
      </c>
      <c r="W8" s="3" t="n">
        <f aca="false">K8/$O8*100</f>
        <v>6.84459897058322</v>
      </c>
      <c r="X8" s="3" t="n">
        <f aca="false">L8/$O8*100</f>
        <v>4.93120178159548</v>
      </c>
      <c r="Y8" s="3" t="n">
        <f aca="false">M8/$O8*100</f>
        <v>2.95438276826967</v>
      </c>
      <c r="Z8" s="3" t="n">
        <f aca="false">N8/$O8*100</f>
        <v>1.64204681026442</v>
      </c>
    </row>
    <row r="9" customFormat="false" ht="15" hidden="false" customHeight="false" outlineLevel="0" collapsed="false">
      <c r="A9" s="1" t="s">
        <v>77</v>
      </c>
      <c r="B9" s="1" t="s">
        <v>71</v>
      </c>
      <c r="C9" s="1" t="s">
        <v>51</v>
      </c>
      <c r="D9" s="3" t="n">
        <v>48.8766</v>
      </c>
      <c r="E9" s="3" t="n">
        <v>2.7197</v>
      </c>
      <c r="F9" s="3" t="n">
        <v>15.8524</v>
      </c>
      <c r="G9" s="3" t="n">
        <v>0.0703</v>
      </c>
      <c r="H9" s="3" t="n">
        <v>10.0389</v>
      </c>
      <c r="I9" s="3" t="n">
        <v>0.2235</v>
      </c>
      <c r="J9" s="3" t="n">
        <v>3.2378</v>
      </c>
      <c r="K9" s="3" t="n">
        <v>6.6101</v>
      </c>
      <c r="L9" s="3" t="n">
        <v>4.9655</v>
      </c>
      <c r="M9" s="3" t="n">
        <v>2.8132</v>
      </c>
      <c r="N9" s="3" t="n">
        <v>1.4969</v>
      </c>
      <c r="O9" s="3" t="n">
        <f aca="false">SUM(D9:N9)</f>
        <v>96.9049</v>
      </c>
      <c r="P9" s="3" t="n">
        <f aca="false">D9/$O9*100</f>
        <v>50.4376971649524</v>
      </c>
      <c r="Q9" s="3" t="n">
        <f aca="false">E9/$O9*100</f>
        <v>2.80656602504105</v>
      </c>
      <c r="R9" s="3" t="n">
        <f aca="false">F9/$O9*100</f>
        <v>16.358718702563</v>
      </c>
      <c r="S9" s="3" t="n">
        <f aca="false">G9/$O9*100</f>
        <v>0.072545351163873</v>
      </c>
      <c r="T9" s="3" t="n">
        <f aca="false">H9/$O9*100</f>
        <v>10.3595380625748</v>
      </c>
      <c r="U9" s="3" t="n">
        <f aca="false">I9/$O9*100</f>
        <v>0.230638491964803</v>
      </c>
      <c r="V9" s="3" t="n">
        <f aca="false">J9/$O9*100</f>
        <v>3.34121391178361</v>
      </c>
      <c r="W9" s="3" t="n">
        <f aca="false">K9/$O9*100</f>
        <v>6.82122369457066</v>
      </c>
      <c r="X9" s="3" t="n">
        <f aca="false">L9/$O9*100</f>
        <v>5.1240958919518</v>
      </c>
      <c r="Y9" s="3" t="n">
        <f aca="false">M9/$O9*100</f>
        <v>2.90305237402856</v>
      </c>
      <c r="Z9" s="3" t="n">
        <f aca="false">N9/$O9*100</f>
        <v>1.54471032940543</v>
      </c>
    </row>
    <row r="10" customFormat="false" ht="15" hidden="false" customHeight="false" outlineLevel="0" collapsed="false">
      <c r="A10" s="1" t="s">
        <v>78</v>
      </c>
      <c r="B10" s="1" t="s">
        <v>71</v>
      </c>
      <c r="C10" s="1" t="s">
        <v>51</v>
      </c>
      <c r="D10" s="3" t="n">
        <v>48.223</v>
      </c>
      <c r="E10" s="3" t="n">
        <v>2.553</v>
      </c>
      <c r="F10" s="3" t="n">
        <v>15.7797</v>
      </c>
      <c r="G10" s="3" t="n">
        <v>0.0302</v>
      </c>
      <c r="H10" s="3" t="n">
        <v>9.7101</v>
      </c>
      <c r="I10" s="3" t="n">
        <v>0.2781</v>
      </c>
      <c r="J10" s="3" t="n">
        <v>3.207</v>
      </c>
      <c r="K10" s="3" t="n">
        <v>6.6359</v>
      </c>
      <c r="L10" s="3" t="n">
        <v>4.8186</v>
      </c>
      <c r="M10" s="3" t="n">
        <v>2.9332</v>
      </c>
      <c r="N10" s="3" t="n">
        <v>1.4277</v>
      </c>
      <c r="O10" s="3" t="n">
        <f aca="false">SUM(D10:N10)</f>
        <v>95.5965</v>
      </c>
      <c r="P10" s="3" t="n">
        <f aca="false">D10/$O10*100</f>
        <v>50.4443154299582</v>
      </c>
      <c r="Q10" s="3" t="n">
        <f aca="false">E10/$O10*100</f>
        <v>2.67059986505782</v>
      </c>
      <c r="R10" s="3" t="n">
        <f aca="false">F10/$O10*100</f>
        <v>16.5065666630054</v>
      </c>
      <c r="S10" s="3" t="n">
        <f aca="false">G10/$O10*100</f>
        <v>0.0315911147374642</v>
      </c>
      <c r="T10" s="3" t="n">
        <f aca="false">H10/$O10*100</f>
        <v>10.1573802388163</v>
      </c>
      <c r="U10" s="3" t="n">
        <f aca="false">I10/$O10*100</f>
        <v>0.290910232069166</v>
      </c>
      <c r="V10" s="3" t="n">
        <f aca="false">J10/$O10*100</f>
        <v>3.35472532990225</v>
      </c>
      <c r="W10" s="3" t="n">
        <f aca="false">K10/$O10*100</f>
        <v>6.94157212868672</v>
      </c>
      <c r="X10" s="3" t="n">
        <f aca="false">L10/$O10*100</f>
        <v>5.04056110840878</v>
      </c>
      <c r="Y10" s="3" t="n">
        <f aca="false">M10/$O10*100</f>
        <v>3.06831317046126</v>
      </c>
      <c r="Z10" s="3" t="n">
        <f aca="false">N10/$O10*100</f>
        <v>1.49346471889661</v>
      </c>
    </row>
    <row r="11" customFormat="false" ht="15" hidden="false" customHeight="false" outlineLevel="0" collapsed="false">
      <c r="A11" s="1" t="s">
        <v>79</v>
      </c>
      <c r="B11" s="1" t="s">
        <v>71</v>
      </c>
      <c r="C11" s="1" t="s">
        <v>51</v>
      </c>
      <c r="D11" s="3" t="n">
        <v>48.9221</v>
      </c>
      <c r="E11" s="3" t="n">
        <v>2.7027</v>
      </c>
      <c r="F11" s="3" t="n">
        <v>16.0341</v>
      </c>
      <c r="G11" s="3" t="n">
        <v>0</v>
      </c>
      <c r="H11" s="3" t="n">
        <v>9.932</v>
      </c>
      <c r="I11" s="3" t="n">
        <v>0.1926</v>
      </c>
      <c r="J11" s="3" t="n">
        <v>3.2187</v>
      </c>
      <c r="K11" s="3" t="n">
        <v>6.6727</v>
      </c>
      <c r="L11" s="3" t="n">
        <v>4.7777</v>
      </c>
      <c r="M11" s="3" t="n">
        <v>2.7181</v>
      </c>
      <c r="N11" s="3" t="n">
        <v>1.3976</v>
      </c>
      <c r="O11" s="3" t="n">
        <f aca="false">SUM(D11:N11)</f>
        <v>96.5683</v>
      </c>
      <c r="P11" s="3" t="n">
        <f aca="false">D11/$O11*100</f>
        <v>50.6606205141853</v>
      </c>
      <c r="Q11" s="3" t="n">
        <f aca="false">E11/$O11*100</f>
        <v>2.79874451553978</v>
      </c>
      <c r="R11" s="3" t="n">
        <f aca="false">F11/$O11*100</f>
        <v>16.6038958954439</v>
      </c>
      <c r="S11" s="3" t="n">
        <f aca="false">G11/$O11*100</f>
        <v>0</v>
      </c>
      <c r="T11" s="3" t="n">
        <f aca="false">H11/$O11*100</f>
        <v>10.2849485804348</v>
      </c>
      <c r="U11" s="3" t="n">
        <f aca="false">I11/$O11*100</f>
        <v>0.199444331110727</v>
      </c>
      <c r="V11" s="3" t="n">
        <f aca="false">J11/$O11*100</f>
        <v>3.33308135278347</v>
      </c>
      <c r="W11" s="3" t="n">
        <f aca="false">K11/$O11*100</f>
        <v>6.90982444549609</v>
      </c>
      <c r="X11" s="3" t="n">
        <f aca="false">L11/$O11*100</f>
        <v>4.9474827660837</v>
      </c>
      <c r="Y11" s="3" t="n">
        <f aca="false">M11/$O11*100</f>
        <v>2.81469177773659</v>
      </c>
      <c r="Z11" s="3" t="n">
        <f aca="false">N11/$O11*100</f>
        <v>1.44726582118563</v>
      </c>
    </row>
    <row r="12" customFormat="false" ht="15" hidden="false" customHeight="false" outlineLevel="0" collapsed="false">
      <c r="A12" s="1" t="s">
        <v>80</v>
      </c>
      <c r="B12" s="1" t="s">
        <v>71</v>
      </c>
      <c r="C12" s="1" t="s">
        <v>51</v>
      </c>
      <c r="D12" s="3" t="n">
        <v>48.5819</v>
      </c>
      <c r="E12" s="3" t="n">
        <v>2.8782</v>
      </c>
      <c r="F12" s="3" t="n">
        <v>15.7662</v>
      </c>
      <c r="G12" s="3" t="n">
        <v>0.0351</v>
      </c>
      <c r="H12" s="3" t="n">
        <v>10.3173</v>
      </c>
      <c r="I12" s="3" t="n">
        <v>0.2615</v>
      </c>
      <c r="J12" s="3" t="n">
        <v>3.2898</v>
      </c>
      <c r="K12" s="3" t="n">
        <v>6.7082</v>
      </c>
      <c r="L12" s="3" t="n">
        <v>4.9068</v>
      </c>
      <c r="M12" s="3" t="n">
        <v>2.8605</v>
      </c>
      <c r="N12" s="3" t="n">
        <v>1.3639</v>
      </c>
      <c r="O12" s="3" t="n">
        <f aca="false">SUM(D12:N12)</f>
        <v>96.9694</v>
      </c>
      <c r="P12" s="3" t="n">
        <f aca="false">D12/$O12*100</f>
        <v>50.1002378069783</v>
      </c>
      <c r="Q12" s="3" t="n">
        <f aca="false">E12/$O12*100</f>
        <v>2.96815283996807</v>
      </c>
      <c r="R12" s="3" t="n">
        <f aca="false">F12/$O12*100</f>
        <v>16.2589435430146</v>
      </c>
      <c r="S12" s="3" t="n">
        <f aca="false">G12/$O12*100</f>
        <v>0.0361969858532692</v>
      </c>
      <c r="T12" s="3" t="n">
        <f aca="false">H12/$O12*100</f>
        <v>10.6397482092289</v>
      </c>
      <c r="U12" s="3" t="n">
        <f aca="false">I12/$O12*100</f>
        <v>0.269672700872646</v>
      </c>
      <c r="V12" s="3" t="n">
        <f aca="false">J12/$O12*100</f>
        <v>3.39261663988846</v>
      </c>
      <c r="W12" s="3" t="n">
        <f aca="false">K12/$O12*100</f>
        <v>6.91785243592309</v>
      </c>
      <c r="X12" s="3" t="n">
        <f aca="false">L12/$O12*100</f>
        <v>5.06015299671855</v>
      </c>
      <c r="Y12" s="3" t="n">
        <f aca="false">M12/$O12*100</f>
        <v>2.94989965906771</v>
      </c>
      <c r="Z12" s="3" t="n">
        <f aca="false">N12/$O12*100</f>
        <v>1.40652618248643</v>
      </c>
    </row>
    <row r="13" customFormat="false" ht="15" hidden="false" customHeight="false" outlineLevel="0" collapsed="false">
      <c r="C13" s="1" t="s">
        <v>14</v>
      </c>
      <c r="D13" s="3" t="n">
        <f aca="false">AVERAGE(D3:D12)</f>
        <v>48.7776</v>
      </c>
      <c r="E13" s="3" t="n">
        <f aca="false">AVERAGE(E3:E12)</f>
        <v>2.6294</v>
      </c>
      <c r="F13" s="3" t="n">
        <f aca="false">AVERAGE(F3:F12)</f>
        <v>15.86582</v>
      </c>
      <c r="G13" s="3" t="n">
        <f aca="false">AVERAGE(G3:G12)</f>
        <v>0.04571</v>
      </c>
      <c r="H13" s="3" t="n">
        <f aca="false">AVERAGE(H3:H12)</f>
        <v>10.07868</v>
      </c>
      <c r="I13" s="3" t="n">
        <f aca="false">AVERAGE(I3:I12)</f>
        <v>0.21573</v>
      </c>
      <c r="J13" s="3" t="n">
        <f aca="false">AVERAGE(J3:J12)</f>
        <v>3.22032</v>
      </c>
      <c r="K13" s="3" t="n">
        <f aca="false">AVERAGE(K3:K12)</f>
        <v>6.63797</v>
      </c>
      <c r="L13" s="3" t="n">
        <f aca="false">AVERAGE(L3:L12)</f>
        <v>4.87252</v>
      </c>
      <c r="M13" s="3" t="n">
        <f aca="false">AVERAGE(M3:M12)</f>
        <v>2.84089</v>
      </c>
      <c r="N13" s="3" t="n">
        <f aca="false">AVERAGE(N3:N12)</f>
        <v>1.44225</v>
      </c>
      <c r="O13" s="3" t="n">
        <f aca="false">SUM(D13:N13)</f>
        <v>96.62689</v>
      </c>
      <c r="P13" s="3" t="n">
        <f aca="false">AVERAGE(P3:P12)</f>
        <v>50.4807594320161</v>
      </c>
      <c r="Q13" s="3" t="n">
        <f aca="false">AVERAGE(Q3:Q12)</f>
        <v>2.72106630635752</v>
      </c>
      <c r="R13" s="3" t="n">
        <f aca="false">AVERAGE(R3:R12)</f>
        <v>16.4198627923399</v>
      </c>
      <c r="S13" s="3" t="n">
        <f aca="false">AVERAGE(S3:S12)</f>
        <v>0.0472895907265043</v>
      </c>
      <c r="T13" s="3" t="n">
        <f aca="false">AVERAGE(T3:T12)</f>
        <v>10.4299118236122</v>
      </c>
      <c r="U13" s="3" t="n">
        <f aca="false">AVERAGE(U3:U12)</f>
        <v>0.223275927883957</v>
      </c>
      <c r="V13" s="3" t="n">
        <f aca="false">AVERAGE(V3:V12)</f>
        <v>3.33278028139541</v>
      </c>
      <c r="W13" s="3" t="n">
        <f aca="false">AVERAGE(W3:W12)</f>
        <v>6.8697455919163</v>
      </c>
      <c r="X13" s="3" t="n">
        <f aca="false">AVERAGE(X3:X12)</f>
        <v>5.04255667697594</v>
      </c>
      <c r="Y13" s="3" t="n">
        <f aca="false">AVERAGE(Y3:Y12)</f>
        <v>2.94015819345769</v>
      </c>
      <c r="Z13" s="3" t="n">
        <f aca="false">AVERAGE(Z3:Z12)</f>
        <v>1.49259338331853</v>
      </c>
    </row>
    <row r="14" customFormat="false" ht="15" hidden="false" customHeight="false" outlineLevel="0" collapsed="false">
      <c r="C14" s="1" t="s">
        <v>81</v>
      </c>
      <c r="D14" s="3" t="n">
        <f aca="false">_xlfn.STDEV.P(D3:D12)</f>
        <v>0.228097926338668</v>
      </c>
      <c r="E14" s="3" t="n">
        <f aca="false">_xlfn.STDEV.P(E3:E12)</f>
        <v>0.120267327233958</v>
      </c>
      <c r="F14" s="3" t="n">
        <f aca="false">_xlfn.STDEV.P(F3:F12)</f>
        <v>0.132952696851173</v>
      </c>
      <c r="G14" s="3" t="n">
        <f aca="false">_xlfn.STDEV.P(G3:G12)</f>
        <v>0.0497985230704687</v>
      </c>
      <c r="H14" s="3" t="n">
        <f aca="false">_xlfn.STDEV.P(H3:H12)</f>
        <v>0.198070077497839</v>
      </c>
      <c r="I14" s="3" t="n">
        <f aca="false">_xlfn.STDEV.P(I3:I12)</f>
        <v>0.0445376481193159</v>
      </c>
      <c r="J14" s="3" t="n">
        <f aca="false">_xlfn.STDEV.P(J3:J12)</f>
        <v>0.0282850419833523</v>
      </c>
      <c r="K14" s="3" t="n">
        <f aca="false">_xlfn.STDEV.P(K3:K12)</f>
        <v>0.0858259873231878</v>
      </c>
      <c r="L14" s="3" t="n">
        <f aca="false">_xlfn.STDEV.P(L3:L12)</f>
        <v>0.0831065556980916</v>
      </c>
      <c r="M14" s="3" t="n">
        <f aca="false">_xlfn.STDEV.P(M3:M12)</f>
        <v>0.0628814352571567</v>
      </c>
      <c r="N14" s="3" t="n">
        <f aca="false">_xlfn.STDEV.P(N3:N12)</f>
        <v>0.0632537311152472</v>
      </c>
      <c r="O14" s="3"/>
      <c r="P14" s="3" t="n">
        <f aca="false">_xlfn.STDEV.P(P3:P12)</f>
        <v>0.210463580032377</v>
      </c>
      <c r="Q14" s="3" t="n">
        <f aca="false">_xlfn.STDEV.P(Q3:Q12)</f>
        <v>0.120886675926772</v>
      </c>
      <c r="R14" s="3" t="n">
        <f aca="false">_xlfn.STDEV.P(R3:R12)</f>
        <v>0.139967463342814</v>
      </c>
      <c r="S14" s="3" t="n">
        <f aca="false">_xlfn.STDEV.P(S3:S12)</f>
        <v>0.0514720118691086</v>
      </c>
      <c r="T14" s="3" t="n">
        <f aca="false">_xlfn.STDEV.P(T3:T12)</f>
        <v>0.165391426770709</v>
      </c>
      <c r="U14" s="3" t="n">
        <f aca="false">_xlfn.STDEV.P(U3:U12)</f>
        <v>0.0463160431499074</v>
      </c>
      <c r="V14" s="3" t="n">
        <f aca="false">_xlfn.STDEV.P(V3:V12)</f>
        <v>0.0302384265055179</v>
      </c>
      <c r="W14" s="3" t="n">
        <f aca="false">_xlfn.STDEV.P(W3:W12)</f>
        <v>0.0877783004364276</v>
      </c>
      <c r="X14" s="3" t="n">
        <f aca="false">_xlfn.STDEV.P(X3:X12)</f>
        <v>0.0793345132219078</v>
      </c>
      <c r="Y14" s="3" t="n">
        <f aca="false">_xlfn.STDEV.P(Y3:Y12)</f>
        <v>0.0682027890327758</v>
      </c>
      <c r="Z14" s="3" t="n">
        <f aca="false">_xlfn.STDEV.P(Z3:Z12)</f>
        <v>0.0649137302128229</v>
      </c>
    </row>
    <row r="15" customFormat="false" ht="15" hidden="false" customHeight="false" outlineLevel="0" collapsed="false">
      <c r="C15" s="1" t="s">
        <v>66</v>
      </c>
      <c r="D15" s="3" t="n">
        <f aca="false">D13/$O$13*100</f>
        <v>50.4803580038641</v>
      </c>
      <c r="E15" s="3" t="n">
        <f aca="false">E13/$O$13*100</f>
        <v>2.7211886877452</v>
      </c>
      <c r="F15" s="3" t="n">
        <f aca="false">F13/$O$13*100</f>
        <v>16.4196736539901</v>
      </c>
      <c r="G15" s="3" t="n">
        <f aca="false">G13/$O$13*100</f>
        <v>0.0473056723651149</v>
      </c>
      <c r="H15" s="3" t="n">
        <f aca="false">H13/$O$13*100</f>
        <v>10.4305126657807</v>
      </c>
      <c r="I15" s="3" t="n">
        <f aca="false">I13/$O$13*100</f>
        <v>0.223260833500902</v>
      </c>
      <c r="J15" s="3" t="n">
        <f aca="false">J13/$O$13*100</f>
        <v>3.33273688100693</v>
      </c>
      <c r="K15" s="3" t="n">
        <f aca="false">K13/$O$13*100</f>
        <v>6.86969227717047</v>
      </c>
      <c r="L15" s="3" t="n">
        <f aca="false">L13/$O$13*100</f>
        <v>5.04261287929271</v>
      </c>
      <c r="M15" s="3" t="n">
        <f aca="false">M13/$O$13*100</f>
        <v>2.94006150875807</v>
      </c>
      <c r="N15" s="3" t="n">
        <f aca="false">N13/$O$13*100</f>
        <v>1.49259693652564</v>
      </c>
      <c r="O15" s="3"/>
    </row>
    <row r="16" customFormat="false" ht="15" hidden="false" customHeight="false" outlineLevel="0" collapsed="false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customFormat="false" ht="15" hidden="false" customHeight="false" outlineLevel="0" collapsed="false">
      <c r="A17" s="1" t="s">
        <v>70</v>
      </c>
      <c r="B17" s="1" t="s">
        <v>82</v>
      </c>
      <c r="C17" s="1" t="s">
        <v>83</v>
      </c>
      <c r="D17" s="3" t="n">
        <v>0.0979</v>
      </c>
      <c r="E17" s="3" t="n">
        <v>19.0362</v>
      </c>
      <c r="F17" s="3" t="n">
        <v>4.9081</v>
      </c>
      <c r="G17" s="3" t="n">
        <v>0</v>
      </c>
      <c r="H17" s="3" t="n">
        <v>66.1796</v>
      </c>
      <c r="I17" s="3" t="n">
        <v>0.5315</v>
      </c>
      <c r="J17" s="3" t="n">
        <v>5.2407</v>
      </c>
      <c r="K17" s="3" t="n">
        <v>0.0486</v>
      </c>
      <c r="L17" s="3" t="n">
        <v>0.0152</v>
      </c>
      <c r="M17" s="3" t="n">
        <v>0</v>
      </c>
      <c r="N17" s="3" t="n">
        <v>0</v>
      </c>
      <c r="O17" s="3" t="n">
        <f aca="false">SUM(D17:N17)</f>
        <v>96.0578</v>
      </c>
    </row>
    <row r="18" customFormat="false" ht="15" hidden="false" customHeight="false" outlineLevel="0" collapsed="false">
      <c r="A18" s="1" t="s">
        <v>84</v>
      </c>
      <c r="B18" s="1" t="s">
        <v>82</v>
      </c>
      <c r="C18" s="1" t="s">
        <v>83</v>
      </c>
      <c r="D18" s="3" t="n">
        <v>0.1064</v>
      </c>
      <c r="E18" s="3" t="n">
        <v>19.0227</v>
      </c>
      <c r="F18" s="3" t="n">
        <v>4.8057</v>
      </c>
      <c r="G18" s="3" t="n">
        <v>0.1186</v>
      </c>
      <c r="H18" s="3" t="n">
        <v>66.1773</v>
      </c>
      <c r="I18" s="3" t="n">
        <v>0.5131</v>
      </c>
      <c r="J18" s="3" t="n">
        <v>5.1064</v>
      </c>
      <c r="K18" s="3" t="n">
        <v>0.066</v>
      </c>
      <c r="L18" s="3" t="n">
        <v>0</v>
      </c>
      <c r="M18" s="3" t="n">
        <v>0</v>
      </c>
      <c r="N18" s="3" t="n">
        <v>0.0232</v>
      </c>
      <c r="O18" s="3" t="n">
        <f aca="false">SUM(D18:N18)</f>
        <v>95.9394</v>
      </c>
    </row>
    <row r="19" customFormat="false" ht="15" hidden="false" customHeight="false" outlineLevel="0" collapsed="false">
      <c r="A19" s="1" t="s">
        <v>85</v>
      </c>
      <c r="B19" s="1" t="s">
        <v>82</v>
      </c>
      <c r="C19" s="1" t="s">
        <v>83</v>
      </c>
      <c r="D19" s="3" t="n">
        <v>0.11</v>
      </c>
      <c r="E19" s="3" t="n">
        <v>18.4852</v>
      </c>
      <c r="F19" s="3" t="n">
        <v>5.1312</v>
      </c>
      <c r="G19" s="3" t="n">
        <v>1.0463</v>
      </c>
      <c r="H19" s="3" t="n">
        <v>66.3666</v>
      </c>
      <c r="I19" s="3" t="n">
        <v>0.4525</v>
      </c>
      <c r="J19" s="3" t="n">
        <v>5.1738</v>
      </c>
      <c r="K19" s="3" t="n">
        <v>0.0379</v>
      </c>
      <c r="L19" s="3" t="n">
        <v>0.0298</v>
      </c>
      <c r="M19" s="3" t="n">
        <v>0</v>
      </c>
      <c r="N19" s="3" t="n">
        <v>0</v>
      </c>
      <c r="O19" s="3" t="n">
        <f aca="false">SUM(D19:N19)</f>
        <v>96.8333</v>
      </c>
    </row>
    <row r="20" customFormat="false" ht="15" hidden="false" customHeight="false" outlineLevel="0" collapsed="false">
      <c r="A20" s="1" t="s">
        <v>86</v>
      </c>
      <c r="B20" s="1" t="s">
        <v>82</v>
      </c>
      <c r="C20" s="1" t="s">
        <v>83</v>
      </c>
      <c r="D20" s="3" t="n">
        <v>0.0361</v>
      </c>
      <c r="E20" s="3" t="n">
        <v>18.899</v>
      </c>
      <c r="F20" s="3" t="n">
        <v>5.079</v>
      </c>
      <c r="G20" s="3" t="n">
        <v>0.9716</v>
      </c>
      <c r="H20" s="3" t="n">
        <v>65.7828</v>
      </c>
      <c r="I20" s="3" t="n">
        <v>0.532</v>
      </c>
      <c r="J20" s="3" t="n">
        <v>5.171</v>
      </c>
      <c r="K20" s="3" t="n">
        <v>0.0086</v>
      </c>
      <c r="L20" s="3" t="n">
        <v>0.0131</v>
      </c>
      <c r="M20" s="3" t="n">
        <v>0</v>
      </c>
      <c r="N20" s="3" t="n">
        <v>0</v>
      </c>
      <c r="O20" s="3" t="n">
        <f aca="false">SUM(D20:N20)</f>
        <v>96.4932</v>
      </c>
    </row>
    <row r="21" customFormat="false" ht="15" hidden="false" customHeight="false" outlineLevel="0" collapsed="false">
      <c r="A21" s="1" t="s">
        <v>87</v>
      </c>
      <c r="B21" s="1" t="s">
        <v>82</v>
      </c>
      <c r="C21" s="1" t="s">
        <v>83</v>
      </c>
      <c r="D21" s="3" t="n">
        <v>0.0527</v>
      </c>
      <c r="E21" s="3" t="n">
        <v>18.8275</v>
      </c>
      <c r="F21" s="3" t="n">
        <v>4.9616</v>
      </c>
      <c r="G21" s="3" t="n">
        <v>1.1217</v>
      </c>
      <c r="H21" s="3" t="n">
        <v>65.3528</v>
      </c>
      <c r="I21" s="3" t="n">
        <v>0.5262</v>
      </c>
      <c r="J21" s="3" t="n">
        <v>5.1391</v>
      </c>
      <c r="K21" s="3" t="n">
        <v>0.0341</v>
      </c>
      <c r="L21" s="3" t="n">
        <v>0.014</v>
      </c>
      <c r="M21" s="3" t="n">
        <v>0</v>
      </c>
      <c r="N21" s="3" t="n">
        <v>0.0232</v>
      </c>
      <c r="O21" s="3" t="n">
        <f aca="false">SUM(D21:N21)</f>
        <v>96.0529</v>
      </c>
    </row>
    <row r="22" customFormat="false" ht="15" hidden="false" customHeight="false" outlineLevel="0" collapsed="false">
      <c r="A22" s="1" t="s">
        <v>88</v>
      </c>
      <c r="B22" s="1" t="s">
        <v>82</v>
      </c>
      <c r="C22" s="1" t="s">
        <v>83</v>
      </c>
      <c r="D22" s="3" t="n">
        <v>0.1123</v>
      </c>
      <c r="E22" s="3" t="n">
        <v>18.5882</v>
      </c>
      <c r="F22" s="3" t="n">
        <v>5.0161</v>
      </c>
      <c r="G22" s="3" t="n">
        <v>0.804</v>
      </c>
      <c r="H22" s="3" t="n">
        <v>65.4518</v>
      </c>
      <c r="I22" s="3" t="n">
        <v>0.4719</v>
      </c>
      <c r="J22" s="3" t="n">
        <v>5.051</v>
      </c>
      <c r="K22" s="3" t="n">
        <v>0.0636</v>
      </c>
      <c r="L22" s="3" t="n">
        <v>0.0072</v>
      </c>
      <c r="M22" s="3" t="n">
        <v>0.0123</v>
      </c>
      <c r="N22" s="3" t="n">
        <v>0</v>
      </c>
      <c r="O22" s="3" t="n">
        <f aca="false">SUM(D22:N22)</f>
        <v>95.5784</v>
      </c>
    </row>
    <row r="23" customFormat="false" ht="15" hidden="false" customHeight="false" outlineLevel="0" collapsed="false">
      <c r="C23" s="1" t="s">
        <v>30</v>
      </c>
      <c r="D23" s="3" t="n">
        <f aca="false">AVERAGE(D17:D22)</f>
        <v>0.0859</v>
      </c>
      <c r="E23" s="3" t="n">
        <f aca="false">AVERAGE(E17:E22)</f>
        <v>18.8098</v>
      </c>
      <c r="F23" s="3" t="n">
        <f aca="false">AVERAGE(F17:F22)</f>
        <v>4.98361666666667</v>
      </c>
      <c r="G23" s="3" t="n">
        <f aca="false">AVERAGE(G17:G22)</f>
        <v>0.677033333333333</v>
      </c>
      <c r="H23" s="3" t="n">
        <f aca="false">AVERAGE(H17:H22)</f>
        <v>65.88515</v>
      </c>
      <c r="I23" s="3" t="n">
        <f aca="false">AVERAGE(I17:I22)</f>
        <v>0.504533333333333</v>
      </c>
      <c r="J23" s="3" t="n">
        <f aca="false">AVERAGE(J17:J22)</f>
        <v>5.147</v>
      </c>
      <c r="K23" s="3" t="n">
        <f aca="false">AVERAGE(K17:K22)</f>
        <v>0.0431333333333333</v>
      </c>
      <c r="L23" s="3" t="n">
        <f aca="false">AVERAGE(L17:L22)</f>
        <v>0.0132166666666667</v>
      </c>
      <c r="M23" s="3" t="n">
        <f aca="false">AVERAGE(M17:M22)</f>
        <v>0.00205</v>
      </c>
      <c r="N23" s="3" t="n">
        <f aca="false">AVERAGE(N17:N22)</f>
        <v>0.00773333333333333</v>
      </c>
      <c r="O23" s="3" t="n">
        <f aca="false">SUM(D23:N23)</f>
        <v>96.1591666666667</v>
      </c>
    </row>
    <row r="24" customFormat="false" ht="15" hidden="false" customHeight="false" outlineLevel="0" collapsed="false">
      <c r="C24" s="1" t="s">
        <v>81</v>
      </c>
      <c r="D24" s="3" t="n">
        <f aca="false">_xlfn.STDEV.P(D17:D22)</f>
        <v>0.0300674242328803</v>
      </c>
      <c r="E24" s="3" t="n">
        <f aca="false">_xlfn.STDEV.P(E17:E22)</f>
        <v>0.207896216095115</v>
      </c>
      <c r="F24" s="3" t="n">
        <f aca="false">_xlfn.STDEV.P(F17:F22)</f>
        <v>0.107839254087842</v>
      </c>
      <c r="G24" s="3" t="n">
        <f aca="false">_xlfn.STDEV.P(G17:G22)</f>
        <v>0.448552912771231</v>
      </c>
      <c r="H24" s="3" t="n">
        <f aca="false">_xlfn.STDEV.P(H17:H22)</f>
        <v>0.384168104480317</v>
      </c>
      <c r="I24" s="3" t="n">
        <f aca="false">_xlfn.STDEV.P(I17:I22)</f>
        <v>0.0310828284141296</v>
      </c>
      <c r="J24" s="3" t="n">
        <f aca="false">_xlfn.STDEV.P(J17:J22)</f>
        <v>0.0591617838360768</v>
      </c>
      <c r="K24" s="3" t="n">
        <f aca="false">_xlfn.STDEV.P(K17:K22)</f>
        <v>0.0194644690540368</v>
      </c>
      <c r="L24" s="3" t="n">
        <f aca="false">_xlfn.STDEV.P(L17:L22)</f>
        <v>0.00904109445193937</v>
      </c>
      <c r="M24" s="3" t="n">
        <f aca="false">_xlfn.STDEV.P(M17:M22)</f>
        <v>0.00458393935387457</v>
      </c>
      <c r="N24" s="3" t="n">
        <f aca="false">_xlfn.STDEV.P(N17:N22)</f>
        <v>0.0109365848823519</v>
      </c>
      <c r="O24" s="3"/>
    </row>
    <row r="25" customFormat="false" ht="15" hidden="false" customHeight="false" outlineLevel="0" collapsed="false">
      <c r="C25" s="1" t="s">
        <v>66</v>
      </c>
      <c r="D25" s="3" t="n">
        <f aca="false">D23/$O$23*100</f>
        <v>0.0893310570148452</v>
      </c>
      <c r="E25" s="3" t="n">
        <f aca="false">E23/$O$23*100</f>
        <v>19.5611096186011</v>
      </c>
      <c r="F25" s="3" t="n">
        <f aca="false">F23/$O$23*100</f>
        <v>5.18267455867442</v>
      </c>
      <c r="G25" s="3" t="n">
        <f aca="false">G23/$O$23*100</f>
        <v>0.704075707810834</v>
      </c>
      <c r="H25" s="3" t="n">
        <f aca="false">H23/$O$23*100</f>
        <v>68.5167647390178</v>
      </c>
      <c r="I25" s="3" t="n">
        <f aca="false">I23/$O$23*100</f>
        <v>0.524685634061582</v>
      </c>
      <c r="J25" s="3" t="n">
        <f aca="false">J23/$O$23*100</f>
        <v>5.35258382369509</v>
      </c>
      <c r="K25" s="3" t="n">
        <f aca="false">K23/$O$23*100</f>
        <v>0.0448561846244508</v>
      </c>
      <c r="L25" s="3" t="n">
        <f aca="false">L23/$O$23*100</f>
        <v>0.0137445728003051</v>
      </c>
      <c r="M25" s="3" t="n">
        <f aca="false">M23/$O$23*100</f>
        <v>0.00213188203586068</v>
      </c>
      <c r="N25" s="3" t="n">
        <f aca="false">N23/$O$23*100</f>
        <v>0.00804222166373461</v>
      </c>
      <c r="O25" s="3"/>
    </row>
    <row r="26" customFormat="false" ht="15" hidden="false" customHeight="false" outlineLevel="0" collapsed="false"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customFormat="false" ht="15" hidden="false" customHeight="false" outlineLevel="0" collapsed="false">
      <c r="A27" s="1" t="s">
        <v>89</v>
      </c>
      <c r="B27" s="1" t="s">
        <v>82</v>
      </c>
      <c r="C27" s="1" t="s">
        <v>90</v>
      </c>
      <c r="D27" s="3" t="n">
        <v>38.0089</v>
      </c>
      <c r="E27" s="3" t="n">
        <v>0.0202</v>
      </c>
      <c r="F27" s="3" t="n">
        <v>0.0407</v>
      </c>
      <c r="G27" s="3" t="n">
        <v>0</v>
      </c>
      <c r="H27" s="3" t="n">
        <v>26.9499</v>
      </c>
      <c r="I27" s="3" t="n">
        <v>0.554</v>
      </c>
      <c r="J27" s="3" t="n">
        <v>34.8559</v>
      </c>
      <c r="K27" s="3" t="n">
        <v>0.3028</v>
      </c>
      <c r="L27" s="3" t="n">
        <v>0.024</v>
      </c>
      <c r="M27" s="3" t="n">
        <v>0.0047</v>
      </c>
      <c r="N27" s="3" t="n">
        <v>0.1276</v>
      </c>
      <c r="O27" s="3" t="n">
        <f aca="false">SUM(D27:N27)</f>
        <v>100.8887</v>
      </c>
    </row>
    <row r="28" customFormat="false" ht="15" hidden="false" customHeight="false" outlineLevel="0" collapsed="false">
      <c r="A28" s="1" t="s">
        <v>91</v>
      </c>
      <c r="B28" s="1" t="s">
        <v>82</v>
      </c>
      <c r="C28" s="1" t="s">
        <v>90</v>
      </c>
      <c r="D28" s="3" t="n">
        <v>37.9711</v>
      </c>
      <c r="E28" s="3" t="n">
        <v>0.1433</v>
      </c>
      <c r="F28" s="3" t="n">
        <v>0.0379</v>
      </c>
      <c r="G28" s="3" t="n">
        <v>0.0349</v>
      </c>
      <c r="H28" s="3" t="n">
        <v>27.351</v>
      </c>
      <c r="I28" s="3" t="n">
        <v>0.5671</v>
      </c>
      <c r="J28" s="3" t="n">
        <v>34.4928</v>
      </c>
      <c r="K28" s="3" t="n">
        <v>0.2736</v>
      </c>
      <c r="L28" s="3" t="n">
        <v>0</v>
      </c>
      <c r="M28" s="3" t="n">
        <v>0.0071</v>
      </c>
      <c r="N28" s="3" t="n">
        <v>0.0889</v>
      </c>
      <c r="O28" s="3" t="n">
        <f aca="false">SUM(D28:N28)</f>
        <v>100.9677</v>
      </c>
    </row>
    <row r="29" customFormat="false" ht="15" hidden="false" customHeight="false" outlineLevel="0" collapsed="false">
      <c r="A29" s="1" t="s">
        <v>92</v>
      </c>
      <c r="B29" s="1" t="s">
        <v>82</v>
      </c>
      <c r="C29" s="1" t="s">
        <v>90</v>
      </c>
      <c r="D29" s="3" t="n">
        <v>38.0938</v>
      </c>
      <c r="E29" s="3" t="n">
        <v>0.0351</v>
      </c>
      <c r="F29" s="3" t="n">
        <v>0.0519</v>
      </c>
      <c r="G29" s="3" t="n">
        <v>0</v>
      </c>
      <c r="H29" s="3" t="n">
        <v>27.1616</v>
      </c>
      <c r="I29" s="3" t="n">
        <v>0.4763</v>
      </c>
      <c r="J29" s="3" t="n">
        <v>34.171</v>
      </c>
      <c r="K29" s="3" t="n">
        <v>0.3228</v>
      </c>
      <c r="L29" s="3" t="n">
        <v>0.0192</v>
      </c>
      <c r="M29" s="3" t="n">
        <v>0.0121</v>
      </c>
      <c r="N29" s="3" t="n">
        <v>0.1401</v>
      </c>
      <c r="O29" s="3" t="n">
        <f aca="false">SUM(D29:N29)</f>
        <v>100.4839</v>
      </c>
    </row>
    <row r="30" customFormat="false" ht="15" hidden="false" customHeight="false" outlineLevel="0" collapsed="false">
      <c r="A30" s="1" t="s">
        <v>93</v>
      </c>
      <c r="B30" s="1" t="s">
        <v>82</v>
      </c>
      <c r="C30" s="1" t="s">
        <v>90</v>
      </c>
      <c r="D30" s="3" t="n">
        <v>38.1301</v>
      </c>
      <c r="E30" s="3" t="n">
        <v>0.0527</v>
      </c>
      <c r="F30" s="3" t="n">
        <v>0.075</v>
      </c>
      <c r="G30" s="3" t="n">
        <v>0</v>
      </c>
      <c r="H30" s="3" t="n">
        <v>26.6641</v>
      </c>
      <c r="I30" s="3" t="n">
        <v>0.5655</v>
      </c>
      <c r="J30" s="3" t="n">
        <v>35.0413</v>
      </c>
      <c r="K30" s="3" t="n">
        <v>0.2837</v>
      </c>
      <c r="L30" s="3" t="n">
        <v>0.0142</v>
      </c>
      <c r="M30" s="3" t="n">
        <v>0</v>
      </c>
      <c r="N30" s="3" t="n">
        <v>0.1438</v>
      </c>
      <c r="O30" s="3" t="n">
        <f aca="false">SUM(D30:N30)</f>
        <v>100.9704</v>
      </c>
    </row>
    <row r="31" customFormat="false" ht="15" hidden="false" customHeight="false" outlineLevel="0" collapsed="false">
      <c r="A31" s="1" t="s">
        <v>94</v>
      </c>
      <c r="B31" s="1" t="s">
        <v>82</v>
      </c>
      <c r="C31" s="1" t="s">
        <v>90</v>
      </c>
      <c r="D31" s="3" t="n">
        <v>37.447</v>
      </c>
      <c r="E31" s="3" t="n">
        <v>0.0896</v>
      </c>
      <c r="F31" s="3" t="n">
        <v>0.0407</v>
      </c>
      <c r="G31" s="3" t="n">
        <v>0.0442</v>
      </c>
      <c r="H31" s="3" t="n">
        <v>26.4938</v>
      </c>
      <c r="I31" s="3" t="n">
        <v>0.5313</v>
      </c>
      <c r="J31" s="3" t="n">
        <v>34.4642</v>
      </c>
      <c r="K31" s="3" t="n">
        <v>0.3366</v>
      </c>
      <c r="L31" s="3" t="n">
        <v>0.0566</v>
      </c>
      <c r="M31" s="3" t="n">
        <v>0.0052</v>
      </c>
      <c r="N31" s="3" t="n">
        <v>0.2933</v>
      </c>
      <c r="O31" s="3" t="n">
        <f aca="false">SUM(D31:N31)</f>
        <v>99.8025</v>
      </c>
    </row>
    <row r="32" customFormat="false" ht="15" hidden="false" customHeight="false" outlineLevel="0" collapsed="false">
      <c r="C32" s="1" t="s">
        <v>32</v>
      </c>
      <c r="D32" s="3" t="n">
        <f aca="false">AVERAGE(D26:D31)</f>
        <v>37.93018</v>
      </c>
      <c r="E32" s="3" t="n">
        <f aca="false">AVERAGE(E26:E31)</f>
        <v>0.06818</v>
      </c>
      <c r="F32" s="3" t="n">
        <f aca="false">AVERAGE(F26:F31)</f>
        <v>0.04924</v>
      </c>
      <c r="G32" s="3" t="n">
        <f aca="false">AVERAGE(G26:G31)</f>
        <v>0.01582</v>
      </c>
      <c r="H32" s="3" t="n">
        <f aca="false">AVERAGE(H26:H31)</f>
        <v>26.92408</v>
      </c>
      <c r="I32" s="3" t="n">
        <f aca="false">AVERAGE(I26:I31)</f>
        <v>0.53884</v>
      </c>
      <c r="J32" s="3" t="n">
        <f aca="false">AVERAGE(J26:J31)</f>
        <v>34.60504</v>
      </c>
      <c r="K32" s="3" t="n">
        <f aca="false">AVERAGE(K26:K31)</f>
        <v>0.3039</v>
      </c>
      <c r="L32" s="3" t="n">
        <f aca="false">AVERAGE(L26:L31)</f>
        <v>0.0228</v>
      </c>
      <c r="M32" s="3" t="n">
        <f aca="false">AVERAGE(M26:M31)</f>
        <v>0.00582</v>
      </c>
      <c r="N32" s="3" t="n">
        <f aca="false">AVERAGE(N26:N31)</f>
        <v>0.15874</v>
      </c>
      <c r="O32" s="3" t="n">
        <f aca="false">SUM(D32:N32)</f>
        <v>100.62264</v>
      </c>
    </row>
    <row r="33" customFormat="false" ht="15" hidden="false" customHeight="false" outlineLevel="0" collapsed="false">
      <c r="C33" s="1" t="s">
        <v>81</v>
      </c>
      <c r="D33" s="3" t="n">
        <f aca="false">_xlfn.STDEV.P(D26:D31)</f>
        <v>0.248223168942787</v>
      </c>
      <c r="E33" s="3" t="n">
        <f aca="false">_xlfn.STDEV.P(E26:E31)</f>
        <v>0.0441312315713033</v>
      </c>
      <c r="F33" s="3" t="n">
        <f aca="false">_xlfn.STDEV.P(F26:F31)</f>
        <v>0.0137485417408538</v>
      </c>
      <c r="G33" s="3" t="n">
        <f aca="false">_xlfn.STDEV.P(G26:G31)</f>
        <v>0.0195973875810017</v>
      </c>
      <c r="H33" s="3" t="n">
        <f aca="false">_xlfn.STDEV.P(H26:H31)</f>
        <v>0.313711200947623</v>
      </c>
      <c r="I33" s="3" t="n">
        <f aca="false">_xlfn.STDEV.P(I26:I31)</f>
        <v>0.0337855353664849</v>
      </c>
      <c r="J33" s="3" t="n">
        <f aca="false">_xlfn.STDEV.P(J26:J31)</f>
        <v>0.307921409453776</v>
      </c>
      <c r="K33" s="3" t="n">
        <f aca="false">_xlfn.STDEV.P(K26:K31)</f>
        <v>0.0234684469021706</v>
      </c>
      <c r="L33" s="3" t="n">
        <f aca="false">_xlfn.STDEV.P(L26:L31)</f>
        <v>0.0187117075650514</v>
      </c>
      <c r="M33" s="3" t="n">
        <f aca="false">_xlfn.STDEV.P(M26:M31)</f>
        <v>0.00391377056046979</v>
      </c>
      <c r="N33" s="3" t="n">
        <f aca="false">_xlfn.STDEV.P(N26:N31)</f>
        <v>0.070034808488351</v>
      </c>
      <c r="O33" s="3"/>
    </row>
    <row r="34" customFormat="false" ht="15" hidden="false" customHeight="false" outlineLevel="0" collapsed="false">
      <c r="C34" s="1" t="s">
        <v>66</v>
      </c>
      <c r="D34" s="3" t="n">
        <f aca="false">D32/$O$32*100</f>
        <v>37.6954729074888</v>
      </c>
      <c r="E34" s="3" t="n">
        <f aca="false">E32/$O$32*100</f>
        <v>0.0677581108983028</v>
      </c>
      <c r="F34" s="3" t="n">
        <f aca="false">F32/$O$32*100</f>
        <v>0.0489353091908541</v>
      </c>
      <c r="G34" s="3" t="n">
        <f aca="false">G32/$O$32*100</f>
        <v>0.0157221078675733</v>
      </c>
      <c r="H34" s="3" t="n">
        <f aca="false">H32/$O$32*100</f>
        <v>26.7574772436899</v>
      </c>
      <c r="I34" s="3" t="n">
        <f aca="false">I32/$O$32*100</f>
        <v>0.535505727140532</v>
      </c>
      <c r="J34" s="3" t="n">
        <f aca="false">J32/$O$32*100</f>
        <v>34.3909084476416</v>
      </c>
      <c r="K34" s="3" t="n">
        <f aca="false">K32/$O$32*100</f>
        <v>0.302019505749402</v>
      </c>
      <c r="L34" s="3" t="n">
        <f aca="false">L32/$O$32*100</f>
        <v>0.0226589165221664</v>
      </c>
      <c r="M34" s="3" t="n">
        <f aca="false">M32/$O$32*100</f>
        <v>0.00578398658592142</v>
      </c>
      <c r="N34" s="3" t="n">
        <f aca="false">N32/$O$32*100</f>
        <v>0.157757737224943</v>
      </c>
      <c r="O34" s="3"/>
    </row>
    <row r="35" customFormat="false" ht="15" hidden="false" customHeight="false" outlineLevel="0" collapsed="false"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customFormat="false" ht="15" hidden="false" customHeight="false" outlineLevel="0" collapsed="false">
      <c r="A36" s="1" t="s">
        <v>95</v>
      </c>
      <c r="B36" s="1" t="s">
        <v>82</v>
      </c>
      <c r="C36" s="1" t="s">
        <v>96</v>
      </c>
      <c r="D36" s="3" t="n">
        <v>54.3004</v>
      </c>
      <c r="E36" s="3" t="n">
        <v>0.1826</v>
      </c>
      <c r="F36" s="3" t="n">
        <v>28.0765</v>
      </c>
      <c r="G36" s="3" t="n">
        <v>0</v>
      </c>
      <c r="H36" s="3" t="n">
        <v>0.8255</v>
      </c>
      <c r="I36" s="3" t="n">
        <v>0.0058</v>
      </c>
      <c r="J36" s="3" t="n">
        <v>0.0965</v>
      </c>
      <c r="K36" s="3" t="n">
        <v>10.749</v>
      </c>
      <c r="L36" s="3" t="n">
        <v>4.6121</v>
      </c>
      <c r="M36" s="3" t="n">
        <v>0.5799</v>
      </c>
      <c r="N36" s="3" t="n">
        <v>0.0735</v>
      </c>
      <c r="O36" s="3" t="n">
        <f aca="false">SUM(D36:N36)</f>
        <v>99.5018</v>
      </c>
    </row>
    <row r="37" customFormat="false" ht="15" hidden="false" customHeight="false" outlineLevel="0" collapsed="false">
      <c r="A37" s="1" t="s">
        <v>97</v>
      </c>
      <c r="B37" s="1" t="s">
        <v>82</v>
      </c>
      <c r="C37" s="1" t="s">
        <v>96</v>
      </c>
      <c r="D37" s="3" t="n">
        <v>55.3841</v>
      </c>
      <c r="E37" s="3" t="n">
        <v>0.2653</v>
      </c>
      <c r="F37" s="3" t="n">
        <v>28.0427</v>
      </c>
      <c r="G37" s="3" t="n">
        <v>0.0463</v>
      </c>
      <c r="H37" s="3" t="n">
        <v>0.7484</v>
      </c>
      <c r="I37" s="3" t="n">
        <v>0.0376</v>
      </c>
      <c r="J37" s="3" t="n">
        <v>0.0608</v>
      </c>
      <c r="K37" s="3" t="n">
        <v>10.6509</v>
      </c>
      <c r="L37" s="3" t="n">
        <v>4.8333</v>
      </c>
      <c r="M37" s="3" t="n">
        <v>0.557</v>
      </c>
      <c r="N37" s="3" t="n">
        <v>0.0514</v>
      </c>
      <c r="O37" s="3" t="n">
        <f aca="false">SUM(D37:N37)</f>
        <v>100.6778</v>
      </c>
    </row>
    <row r="38" customFormat="false" ht="15" hidden="false" customHeight="false" outlineLevel="0" collapsed="false">
      <c r="A38" s="1" t="s">
        <v>98</v>
      </c>
      <c r="B38" s="1" t="s">
        <v>82</v>
      </c>
      <c r="C38" s="1" t="s">
        <v>96</v>
      </c>
      <c r="D38" s="3" t="n">
        <v>55.0478</v>
      </c>
      <c r="E38" s="3" t="n">
        <v>0.1768</v>
      </c>
      <c r="F38" s="3" t="n">
        <v>28.0435</v>
      </c>
      <c r="G38" s="3" t="n">
        <v>0</v>
      </c>
      <c r="H38" s="3" t="n">
        <v>0.8428</v>
      </c>
      <c r="I38" s="3" t="n">
        <v>0</v>
      </c>
      <c r="J38" s="3" t="n">
        <v>0.0741</v>
      </c>
      <c r="K38" s="3" t="n">
        <v>10.305</v>
      </c>
      <c r="L38" s="3" t="n">
        <v>4.8146</v>
      </c>
      <c r="M38" s="3" t="n">
        <v>0.6399</v>
      </c>
      <c r="N38" s="3" t="n">
        <v>0.0712</v>
      </c>
      <c r="O38" s="3" t="n">
        <f aca="false">SUM(D38:N38)</f>
        <v>100.0157</v>
      </c>
    </row>
    <row r="39" customFormat="false" ht="15" hidden="false" customHeight="false" outlineLevel="0" collapsed="false">
      <c r="A39" s="1" t="s">
        <v>99</v>
      </c>
      <c r="B39" s="1" t="s">
        <v>82</v>
      </c>
      <c r="C39" s="1" t="s">
        <v>96</v>
      </c>
      <c r="D39" s="3" t="n">
        <v>54.9753</v>
      </c>
      <c r="E39" s="3" t="n">
        <v>0.2359</v>
      </c>
      <c r="F39" s="3" t="n">
        <v>27.6697</v>
      </c>
      <c r="G39" s="3" t="n">
        <v>0</v>
      </c>
      <c r="H39" s="3" t="n">
        <v>1.0889</v>
      </c>
      <c r="I39" s="3" t="n">
        <v>0.0268</v>
      </c>
      <c r="J39" s="3" t="n">
        <v>0.109</v>
      </c>
      <c r="K39" s="3" t="n">
        <v>10.2574</v>
      </c>
      <c r="L39" s="3" t="n">
        <v>4.9515</v>
      </c>
      <c r="M39" s="3" t="n">
        <v>0.6329</v>
      </c>
      <c r="N39" s="3" t="n">
        <v>0.0812</v>
      </c>
      <c r="O39" s="3" t="n">
        <f aca="false">SUM(D39:N39)</f>
        <v>100.0286</v>
      </c>
    </row>
    <row r="40" customFormat="false" ht="15" hidden="false" customHeight="false" outlineLevel="0" collapsed="false">
      <c r="A40" s="1" t="s">
        <v>100</v>
      </c>
      <c r="B40" s="1" t="s">
        <v>82</v>
      </c>
      <c r="C40" s="1" t="s">
        <v>96</v>
      </c>
      <c r="D40" s="3" t="n">
        <v>55.2948</v>
      </c>
      <c r="E40" s="3" t="n">
        <v>0.1457</v>
      </c>
      <c r="F40" s="3" t="n">
        <v>27.9986</v>
      </c>
      <c r="G40" s="3" t="n">
        <v>0</v>
      </c>
      <c r="H40" s="3" t="n">
        <v>0.9644</v>
      </c>
      <c r="I40" s="3" t="n">
        <v>0.0646</v>
      </c>
      <c r="J40" s="3" t="n">
        <v>0.0854</v>
      </c>
      <c r="K40" s="3" t="n">
        <v>10.3641</v>
      </c>
      <c r="L40" s="3" t="n">
        <v>4.8616</v>
      </c>
      <c r="M40" s="3" t="n">
        <v>0.6142</v>
      </c>
      <c r="N40" s="3" t="n">
        <v>0</v>
      </c>
      <c r="O40" s="3" t="n">
        <f aca="false">SUM(D40:N40)</f>
        <v>100.3934</v>
      </c>
    </row>
    <row r="41" customFormat="false" ht="15" hidden="false" customHeight="false" outlineLevel="0" collapsed="false">
      <c r="C41" s="1" t="s">
        <v>33</v>
      </c>
      <c r="D41" s="3" t="n">
        <f aca="false">AVERAGE(D35:D40)</f>
        <v>55.00048</v>
      </c>
      <c r="E41" s="3" t="n">
        <f aca="false">AVERAGE(E35:E40)</f>
        <v>0.20126</v>
      </c>
      <c r="F41" s="3" t="n">
        <f aca="false">AVERAGE(F35:F40)</f>
        <v>27.9662</v>
      </c>
      <c r="G41" s="3" t="n">
        <f aca="false">AVERAGE(G35:G40)</f>
        <v>0.00926</v>
      </c>
      <c r="H41" s="3" t="n">
        <f aca="false">AVERAGE(H35:H40)</f>
        <v>0.894</v>
      </c>
      <c r="I41" s="3" t="n">
        <f aca="false">AVERAGE(I35:I40)</f>
        <v>0.02696</v>
      </c>
      <c r="J41" s="3" t="n">
        <f aca="false">AVERAGE(J35:J40)</f>
        <v>0.08516</v>
      </c>
      <c r="K41" s="3" t="n">
        <f aca="false">AVERAGE(K35:K40)</f>
        <v>10.46528</v>
      </c>
      <c r="L41" s="3" t="n">
        <f aca="false">AVERAGE(L35:L40)</f>
        <v>4.81462</v>
      </c>
      <c r="M41" s="3" t="n">
        <f aca="false">AVERAGE(M35:M40)</f>
        <v>0.60478</v>
      </c>
      <c r="N41" s="3" t="n">
        <f aca="false">AVERAGE(N35:N40)</f>
        <v>0.05546</v>
      </c>
      <c r="O41" s="3" t="n">
        <f aca="false">SUM(D41:N41)</f>
        <v>100.12346</v>
      </c>
    </row>
    <row r="42" customFormat="false" ht="15" hidden="false" customHeight="false" outlineLevel="0" collapsed="false">
      <c r="C42" s="1" t="s">
        <v>81</v>
      </c>
      <c r="D42" s="3" t="n">
        <f aca="false">_xlfn.STDEV.P(D35:D40)</f>
        <v>0.381254190272053</v>
      </c>
      <c r="E42" s="3" t="n">
        <f aca="false">_xlfn.STDEV.P(E35:E40)</f>
        <v>0.0432075271220189</v>
      </c>
      <c r="F42" s="3" t="n">
        <f aca="false">_xlfn.STDEV.P(F35:F40)</f>
        <v>0.150303453054147</v>
      </c>
      <c r="G42" s="3" t="n">
        <f aca="false">_xlfn.STDEV.P(G35:G40)</f>
        <v>0.01852</v>
      </c>
      <c r="H42" s="3" t="n">
        <f aca="false">_xlfn.STDEV.P(H35:H40)</f>
        <v>0.119545154648777</v>
      </c>
      <c r="I42" s="3" t="n">
        <f aca="false">_xlfn.STDEV.P(I35:I40)</f>
        <v>0.0232576525040684</v>
      </c>
      <c r="J42" s="3" t="n">
        <f aca="false">_xlfn.STDEV.P(J35:J40)</f>
        <v>0.0168091165740499</v>
      </c>
      <c r="K42" s="3" t="n">
        <f aca="false">_xlfn.STDEV.P(K35:K40)</f>
        <v>0.197024357885009</v>
      </c>
      <c r="L42" s="3" t="n">
        <f aca="false">_xlfn.STDEV.P(L35:L40)</f>
        <v>0.111630236047408</v>
      </c>
      <c r="M42" s="3" t="n">
        <f aca="false">_xlfn.STDEV.P(M35:M40)</f>
        <v>0.0316696321418484</v>
      </c>
      <c r="N42" s="3" t="n">
        <f aca="false">_xlfn.STDEV.P(N35:N40)</f>
        <v>0.0294211896428407</v>
      </c>
      <c r="O42" s="3"/>
    </row>
    <row r="43" customFormat="false" ht="15" hidden="false" customHeight="false" outlineLevel="0" collapsed="false">
      <c r="C43" s="1" t="s">
        <v>66</v>
      </c>
      <c r="D43" s="3" t="n">
        <f aca="false">D41/$O$41*100</f>
        <v>54.9326601377939</v>
      </c>
      <c r="E43" s="3" t="n">
        <f aca="false">E41/$O$41*100</f>
        <v>0.201011830793702</v>
      </c>
      <c r="F43" s="3" t="n">
        <f aca="false">F41/$O$41*100</f>
        <v>27.9317155040387</v>
      </c>
      <c r="G43" s="3" t="n">
        <f aca="false">G41/$O$41*100</f>
        <v>0.00924858170103191</v>
      </c>
      <c r="H43" s="3" t="n">
        <f aca="false">H41/$O$41*100</f>
        <v>0.892897628587746</v>
      </c>
      <c r="I43" s="3" t="n">
        <f aca="false">I41/$O$41*100</f>
        <v>0.0269267562267624</v>
      </c>
      <c r="J43" s="3" t="n">
        <f aca="false">J41/$O$41*100</f>
        <v>0.0850549911079781</v>
      </c>
      <c r="K43" s="3" t="n">
        <f aca="false">K41/$O$41*100</f>
        <v>10.4523754972111</v>
      </c>
      <c r="L43" s="3" t="n">
        <f aca="false">L41/$O$41*100</f>
        <v>4.80868319972162</v>
      </c>
      <c r="M43" s="3" t="n">
        <f aca="false">M41/$O$41*100</f>
        <v>0.604034259303464</v>
      </c>
      <c r="N43" s="3" t="n">
        <f aca="false">N41/$O$41*100</f>
        <v>0.0553916135139557</v>
      </c>
      <c r="O43" s="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41"/>
  <sheetViews>
    <sheetView showFormulas="false" showGridLines="true" showRowColHeaders="true" showZeros="true" rightToLeft="false" tabSelected="false" showOutlineSymbols="true" defaultGridColor="true" view="normal" topLeftCell="A11" colorId="64" zoomScale="55" zoomScaleNormal="55" zoomScalePageLayoutView="100" workbookViewId="0">
      <selection pane="topLeft" activeCell="D35" activeCellId="0" sqref="D35"/>
    </sheetView>
  </sheetViews>
  <sheetFormatPr defaultColWidth="10.6445312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15" min="4" style="1" width="6.7"/>
    <col collapsed="false" customWidth="true" hidden="false" outlineLevel="0" max="24" min="16" style="1" width="6.9"/>
    <col collapsed="false" customWidth="true" hidden="false" outlineLevel="0" max="26" min="25" style="1" width="6.5"/>
  </cols>
  <sheetData>
    <row r="1" customFormat="false" ht="15" hidden="false" customHeight="false" outlineLevel="0" collapsed="false">
      <c r="D1" s="3" t="s">
        <v>65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1" t="s">
        <v>66</v>
      </c>
    </row>
    <row r="2" customFormat="false" ht="15" hidden="false" customHeight="false" outlineLevel="0" collapsed="false">
      <c r="B2" s="1" t="s">
        <v>67</v>
      </c>
      <c r="C2" s="1" t="s">
        <v>68</v>
      </c>
      <c r="D2" s="3" t="s">
        <v>15</v>
      </c>
      <c r="E2" s="3" t="s">
        <v>16</v>
      </c>
      <c r="F2" s="3" t="s">
        <v>17</v>
      </c>
      <c r="G2" s="3" t="s">
        <v>31</v>
      </c>
      <c r="H2" s="3" t="s">
        <v>18</v>
      </c>
      <c r="I2" s="3" t="s">
        <v>19</v>
      </c>
      <c r="J2" s="3" t="s">
        <v>20</v>
      </c>
      <c r="K2" s="3" t="s">
        <v>21</v>
      </c>
      <c r="L2" s="3" t="s">
        <v>22</v>
      </c>
      <c r="M2" s="3" t="s">
        <v>23</v>
      </c>
      <c r="N2" s="3" t="s">
        <v>24</v>
      </c>
      <c r="O2" s="3" t="s">
        <v>69</v>
      </c>
      <c r="P2" s="3" t="s">
        <v>15</v>
      </c>
      <c r="Q2" s="3" t="s">
        <v>16</v>
      </c>
      <c r="R2" s="3" t="s">
        <v>17</v>
      </c>
      <c r="S2" s="3" t="s">
        <v>31</v>
      </c>
      <c r="T2" s="3" t="s">
        <v>18</v>
      </c>
      <c r="U2" s="3" t="s">
        <v>19</v>
      </c>
      <c r="V2" s="3" t="s">
        <v>20</v>
      </c>
      <c r="W2" s="3" t="s">
        <v>21</v>
      </c>
      <c r="X2" s="3" t="s">
        <v>22</v>
      </c>
      <c r="Y2" s="3" t="s">
        <v>23</v>
      </c>
      <c r="Z2" s="3" t="s">
        <v>24</v>
      </c>
    </row>
    <row r="3" customFormat="false" ht="15" hidden="false" customHeight="false" outlineLevel="0" collapsed="false">
      <c r="A3" s="1" t="s">
        <v>101</v>
      </c>
      <c r="B3" s="1" t="s">
        <v>71</v>
      </c>
      <c r="C3" s="1" t="s">
        <v>102</v>
      </c>
      <c r="D3" s="3" t="n">
        <v>45.8446</v>
      </c>
      <c r="E3" s="3" t="n">
        <v>2.9924</v>
      </c>
      <c r="F3" s="3" t="n">
        <v>14.9563</v>
      </c>
      <c r="G3" s="3" t="n">
        <v>0</v>
      </c>
      <c r="H3" s="3" t="n">
        <v>10.8208</v>
      </c>
      <c r="I3" s="3" t="n">
        <v>0.2427</v>
      </c>
      <c r="J3" s="3" t="n">
        <v>3.6359</v>
      </c>
      <c r="K3" s="3" t="n">
        <v>8.3414</v>
      </c>
      <c r="L3" s="3" t="n">
        <v>4.9073</v>
      </c>
      <c r="M3" s="3" t="n">
        <v>2.9441</v>
      </c>
      <c r="N3" s="3" t="n">
        <v>1.1518</v>
      </c>
      <c r="O3" s="3" t="n">
        <f aca="false">SUM(D3:N3)</f>
        <v>95.8373</v>
      </c>
      <c r="P3" s="3" t="n">
        <f aca="false">D3/$O3*100</f>
        <v>47.8358634894764</v>
      </c>
      <c r="Q3" s="3" t="n">
        <f aca="false">E3/$O3*100</f>
        <v>3.12237510864768</v>
      </c>
      <c r="R3" s="3" t="n">
        <f aca="false">F3/$O3*100</f>
        <v>15.6059279633295</v>
      </c>
      <c r="S3" s="3" t="n">
        <f aca="false">G3/$O3*100</f>
        <v>0</v>
      </c>
      <c r="T3" s="3" t="n">
        <f aca="false">H3/$O3*100</f>
        <v>11.2908022241862</v>
      </c>
      <c r="U3" s="3" t="n">
        <f aca="false">I3/$O3*100</f>
        <v>0.2532416919091</v>
      </c>
      <c r="V3" s="3" t="n">
        <f aca="false">J3/$O3*100</f>
        <v>3.79382557730654</v>
      </c>
      <c r="W3" s="3" t="n">
        <f aca="false">K3/$O3*100</f>
        <v>8.7037093073365</v>
      </c>
      <c r="X3" s="3" t="n">
        <f aca="false">L3/$O3*100</f>
        <v>5.12044892750526</v>
      </c>
      <c r="Y3" s="3" t="n">
        <f aca="false">M3/$O3*100</f>
        <v>3.07197719468307</v>
      </c>
      <c r="Z3" s="3" t="n">
        <f aca="false">N3/$O3*100</f>
        <v>1.2018285156197</v>
      </c>
    </row>
    <row r="4" customFormat="false" ht="15" hidden="false" customHeight="false" outlineLevel="0" collapsed="false">
      <c r="A4" s="1" t="s">
        <v>103</v>
      </c>
      <c r="B4" s="1" t="s">
        <v>71</v>
      </c>
      <c r="C4" s="1" t="s">
        <v>102</v>
      </c>
      <c r="D4" s="3" t="n">
        <v>46.662</v>
      </c>
      <c r="E4" s="3" t="n">
        <v>2.6904</v>
      </c>
      <c r="F4" s="3" t="n">
        <v>14.9896</v>
      </c>
      <c r="G4" s="3" t="n">
        <v>0.0277</v>
      </c>
      <c r="H4" s="3" t="n">
        <v>10.8878</v>
      </c>
      <c r="I4" s="3" t="n">
        <v>0.2435</v>
      </c>
      <c r="J4" s="3" t="n">
        <v>3.603</v>
      </c>
      <c r="K4" s="3" t="n">
        <v>8.3691</v>
      </c>
      <c r="L4" s="3" t="n">
        <v>4.9929</v>
      </c>
      <c r="M4" s="3" t="n">
        <v>2.9597</v>
      </c>
      <c r="N4" s="3" t="n">
        <v>1.192</v>
      </c>
      <c r="O4" s="3" t="n">
        <f aca="false">SUM(D4:N4)</f>
        <v>96.6177</v>
      </c>
      <c r="P4" s="3" t="n">
        <f aca="false">D4/$O4*100</f>
        <v>48.2954986508683</v>
      </c>
      <c r="Q4" s="3" t="n">
        <f aca="false">E4/$O4*100</f>
        <v>2.78458294908697</v>
      </c>
      <c r="R4" s="3" t="n">
        <f aca="false">F4/$O4*100</f>
        <v>15.5143415750944</v>
      </c>
      <c r="S4" s="3" t="n">
        <f aca="false">G4/$O4*100</f>
        <v>0.0286696950972751</v>
      </c>
      <c r="T4" s="3" t="n">
        <f aca="false">H4/$O4*100</f>
        <v>11.2689496852026</v>
      </c>
      <c r="U4" s="3" t="n">
        <f aca="false">I4/$O4*100</f>
        <v>0.252024215024783</v>
      </c>
      <c r="V4" s="3" t="n">
        <f aca="false">J4/$O4*100</f>
        <v>3.72913037673221</v>
      </c>
      <c r="W4" s="3" t="n">
        <f aca="false">K4/$O4*100</f>
        <v>8.66207744543702</v>
      </c>
      <c r="X4" s="3" t="n">
        <f aca="false">L4/$O4*100</f>
        <v>5.16768666610776</v>
      </c>
      <c r="Y4" s="3" t="n">
        <f aca="false">M4/$O4*100</f>
        <v>3.0633103458269</v>
      </c>
      <c r="Z4" s="3" t="n">
        <f aca="false">N4/$O4*100</f>
        <v>1.23372839552173</v>
      </c>
    </row>
    <row r="5" customFormat="false" ht="15" hidden="false" customHeight="false" outlineLevel="0" collapsed="false">
      <c r="A5" s="1" t="s">
        <v>104</v>
      </c>
      <c r="B5" s="1" t="s">
        <v>71</v>
      </c>
      <c r="C5" s="1" t="s">
        <v>102</v>
      </c>
      <c r="D5" s="3" t="n">
        <v>46.4964</v>
      </c>
      <c r="E5" s="3" t="n">
        <v>2.8326</v>
      </c>
      <c r="F5" s="3" t="n">
        <v>15.2307</v>
      </c>
      <c r="G5" s="3" t="n">
        <v>0</v>
      </c>
      <c r="H5" s="3" t="n">
        <v>11.0041</v>
      </c>
      <c r="I5" s="3" t="n">
        <v>0.158</v>
      </c>
      <c r="J5" s="3" t="n">
        <v>3.611</v>
      </c>
      <c r="K5" s="3" t="n">
        <v>8.3645</v>
      </c>
      <c r="L5" s="3" t="n">
        <v>5.0872</v>
      </c>
      <c r="M5" s="3" t="n">
        <v>2.9514</v>
      </c>
      <c r="N5" s="3" t="n">
        <v>1.209</v>
      </c>
      <c r="O5" s="3" t="n">
        <f aca="false">SUM(D5:N5)</f>
        <v>96.9449</v>
      </c>
      <c r="P5" s="3" t="n">
        <f aca="false">D5/$O5*100</f>
        <v>47.9616772001415</v>
      </c>
      <c r="Q5" s="3" t="n">
        <f aca="false">E5/$O5*100</f>
        <v>2.92186592590224</v>
      </c>
      <c r="R5" s="3" t="n">
        <f aca="false">F5/$O5*100</f>
        <v>15.7106768896559</v>
      </c>
      <c r="S5" s="3" t="n">
        <f aca="false">G5/$O5*100</f>
        <v>0</v>
      </c>
      <c r="T5" s="3" t="n">
        <f aca="false">H5/$O5*100</f>
        <v>11.3508807580388</v>
      </c>
      <c r="U5" s="3" t="n">
        <f aca="false">I5/$O5*100</f>
        <v>0.162979176831375</v>
      </c>
      <c r="V5" s="3" t="n">
        <f aca="false">J5/$O5*100</f>
        <v>3.72479625024112</v>
      </c>
      <c r="W5" s="3" t="n">
        <f aca="false">K5/$O5*100</f>
        <v>8.62809699117746</v>
      </c>
      <c r="X5" s="3" t="n">
        <f aca="false">L5/$O5*100</f>
        <v>5.24751688845932</v>
      </c>
      <c r="Y5" s="3" t="n">
        <f aca="false">M5/$O5*100</f>
        <v>3.04440976265899</v>
      </c>
      <c r="Z5" s="3" t="n">
        <f aca="false">N5/$O5*100</f>
        <v>1.24710015689325</v>
      </c>
    </row>
    <row r="6" customFormat="false" ht="15" hidden="false" customHeight="false" outlineLevel="0" collapsed="false">
      <c r="A6" s="1" t="s">
        <v>105</v>
      </c>
      <c r="B6" s="1" t="s">
        <v>71</v>
      </c>
      <c r="C6" s="1" t="s">
        <v>102</v>
      </c>
      <c r="D6" s="3" t="n">
        <v>46.5102</v>
      </c>
      <c r="E6" s="3" t="n">
        <v>2.8667</v>
      </c>
      <c r="F6" s="3" t="n">
        <v>15.1658</v>
      </c>
      <c r="G6" s="3" t="n">
        <v>0</v>
      </c>
      <c r="H6" s="3" t="n">
        <v>11.177</v>
      </c>
      <c r="I6" s="3" t="n">
        <v>0.2413</v>
      </c>
      <c r="J6" s="3" t="n">
        <v>3.6587</v>
      </c>
      <c r="K6" s="3" t="n">
        <v>8.4066</v>
      </c>
      <c r="L6" s="3" t="n">
        <v>4.9841</v>
      </c>
      <c r="M6" s="3" t="n">
        <v>2.9092</v>
      </c>
      <c r="N6" s="3" t="n">
        <v>1.202</v>
      </c>
      <c r="O6" s="3" t="n">
        <f aca="false">SUM(D6:N6)</f>
        <v>97.1216</v>
      </c>
      <c r="P6" s="3" t="n">
        <f aca="false">D6/$O6*100</f>
        <v>47.888626217031</v>
      </c>
      <c r="Q6" s="3" t="n">
        <f aca="false">E6/$O6*100</f>
        <v>2.95166059867218</v>
      </c>
      <c r="R6" s="3" t="n">
        <f aca="false">F6/$O6*100</f>
        <v>15.6152699296552</v>
      </c>
      <c r="S6" s="3" t="n">
        <f aca="false">G6/$O6*100</f>
        <v>0</v>
      </c>
      <c r="T6" s="3" t="n">
        <f aca="false">H6/$O6*100</f>
        <v>11.5082535707814</v>
      </c>
      <c r="U6" s="3" t="n">
        <f aca="false">I6/$O6*100</f>
        <v>0.248451425841419</v>
      </c>
      <c r="V6" s="3" t="n">
        <f aca="false">J6/$O6*100</f>
        <v>3.76713316090344</v>
      </c>
      <c r="W6" s="3" t="n">
        <f aca="false">K6/$O6*100</f>
        <v>8.65574702228958</v>
      </c>
      <c r="X6" s="3" t="n">
        <f aca="false">L6/$O6*100</f>
        <v>5.13181413815258</v>
      </c>
      <c r="Y6" s="3" t="n">
        <f aca="false">M6/$O6*100</f>
        <v>2.99542017429696</v>
      </c>
      <c r="Z6" s="3" t="n">
        <f aca="false">N6/$O6*100</f>
        <v>1.23762376237624</v>
      </c>
    </row>
    <row r="7" customFormat="false" ht="15" hidden="false" customHeight="false" outlineLevel="0" collapsed="false">
      <c r="A7" s="1" t="s">
        <v>106</v>
      </c>
      <c r="B7" s="1" t="s">
        <v>71</v>
      </c>
      <c r="C7" s="1" t="s">
        <v>102</v>
      </c>
      <c r="D7" s="3" t="n">
        <v>46.7097</v>
      </c>
      <c r="E7" s="3" t="n">
        <v>2.9282</v>
      </c>
      <c r="F7" s="3" t="n">
        <v>15.258</v>
      </c>
      <c r="G7" s="3" t="n">
        <v>0</v>
      </c>
      <c r="H7" s="3" t="n">
        <v>11.0145</v>
      </c>
      <c r="I7" s="3" t="n">
        <v>0.2022</v>
      </c>
      <c r="J7" s="3" t="n">
        <v>3.6458</v>
      </c>
      <c r="K7" s="3" t="n">
        <v>8.4235</v>
      </c>
      <c r="L7" s="3" t="n">
        <v>5.0224</v>
      </c>
      <c r="M7" s="3" t="n">
        <v>2.8459</v>
      </c>
      <c r="N7" s="3" t="n">
        <v>1.1038</v>
      </c>
      <c r="O7" s="3" t="n">
        <f aca="false">SUM(D7:N7)</f>
        <v>97.154</v>
      </c>
      <c r="P7" s="3" t="n">
        <f aca="false">D7/$O7*100</f>
        <v>48.0779998764848</v>
      </c>
      <c r="Q7" s="3" t="n">
        <f aca="false">E7/$O7*100</f>
        <v>3.01397780842786</v>
      </c>
      <c r="R7" s="3" t="n">
        <f aca="false">F7/$O7*100</f>
        <v>15.704963254215</v>
      </c>
      <c r="S7" s="3" t="n">
        <f aca="false">G7/$O7*100</f>
        <v>0</v>
      </c>
      <c r="T7" s="3" t="n">
        <f aca="false">H7/$O7*100</f>
        <v>11.3371554439344</v>
      </c>
      <c r="U7" s="3" t="n">
        <f aca="false">I7/$O7*100</f>
        <v>0.208123185869856</v>
      </c>
      <c r="V7" s="3" t="n">
        <f aca="false">J7/$O7*100</f>
        <v>3.75259896658913</v>
      </c>
      <c r="W7" s="3" t="n">
        <f aca="false">K7/$O7*100</f>
        <v>8.67025547069601</v>
      </c>
      <c r="X7" s="3" t="n">
        <f aca="false">L7/$O7*100</f>
        <v>5.16952467216996</v>
      </c>
      <c r="Y7" s="3" t="n">
        <f aca="false">M7/$O7*100</f>
        <v>2.92926693702781</v>
      </c>
      <c r="Z7" s="3" t="n">
        <f aca="false">N7/$O7*100</f>
        <v>1.1361343845853</v>
      </c>
    </row>
    <row r="8" customFormat="false" ht="15" hidden="false" customHeight="false" outlineLevel="0" collapsed="false">
      <c r="A8" s="1" t="s">
        <v>107</v>
      </c>
      <c r="B8" s="1" t="s">
        <v>71</v>
      </c>
      <c r="C8" s="1" t="s">
        <v>102</v>
      </c>
      <c r="D8" s="3" t="n">
        <v>46.7583</v>
      </c>
      <c r="E8" s="3" t="n">
        <v>2.8899</v>
      </c>
      <c r="F8" s="3" t="n">
        <v>15.0774</v>
      </c>
      <c r="G8" s="3" t="n">
        <v>0.0736</v>
      </c>
      <c r="H8" s="3" t="n">
        <v>11.2116</v>
      </c>
      <c r="I8" s="3" t="n">
        <v>0.2297</v>
      </c>
      <c r="J8" s="3" t="n">
        <v>3.6247</v>
      </c>
      <c r="K8" s="3" t="n">
        <v>8.2103</v>
      </c>
      <c r="L8" s="3" t="n">
        <v>4.9273</v>
      </c>
      <c r="M8" s="3" t="n">
        <v>2.7624</v>
      </c>
      <c r="N8" s="3" t="n">
        <v>1.2447</v>
      </c>
      <c r="O8" s="3" t="n">
        <f aca="false">SUM(D8:N8)</f>
        <v>97.0099</v>
      </c>
      <c r="P8" s="3" t="n">
        <f aca="false">D8/$O8*100</f>
        <v>48.1995136578844</v>
      </c>
      <c r="Q8" s="3" t="n">
        <f aca="false">E8/$O8*100</f>
        <v>2.9789743108693</v>
      </c>
      <c r="R8" s="3" t="n">
        <f aca="false">F8/$O8*100</f>
        <v>15.5421250820793</v>
      </c>
      <c r="S8" s="3" t="n">
        <f aca="false">G8/$O8*100</f>
        <v>0.0758685453752658</v>
      </c>
      <c r="T8" s="3" t="n">
        <f aca="false">H8/$O8*100</f>
        <v>11.5571709691485</v>
      </c>
      <c r="U8" s="3" t="n">
        <f aca="false">I8/$O8*100</f>
        <v>0.236779957509491</v>
      </c>
      <c r="V8" s="3" t="n">
        <f aca="false">J8/$O8*100</f>
        <v>3.7364227774691</v>
      </c>
      <c r="W8" s="3" t="n">
        <f aca="false">K8/$O8*100</f>
        <v>8.46336301758893</v>
      </c>
      <c r="X8" s="3" t="n">
        <f aca="false">L8/$O8*100</f>
        <v>5.07917233189602</v>
      </c>
      <c r="Y8" s="3" t="n">
        <f aca="false">M8/$O8*100</f>
        <v>2.84754442587818</v>
      </c>
      <c r="Z8" s="3" t="n">
        <f aca="false">N8/$O8*100</f>
        <v>1.28306492430154</v>
      </c>
    </row>
    <row r="9" customFormat="false" ht="15" hidden="false" customHeight="false" outlineLevel="0" collapsed="false">
      <c r="A9" s="1" t="s">
        <v>108</v>
      </c>
      <c r="B9" s="1" t="s">
        <v>71</v>
      </c>
      <c r="C9" s="1" t="s">
        <v>102</v>
      </c>
      <c r="D9" s="3" t="n">
        <v>46.4512</v>
      </c>
      <c r="E9" s="3" t="n">
        <v>2.6036</v>
      </c>
      <c r="F9" s="3" t="n">
        <v>15.1639</v>
      </c>
      <c r="G9" s="3" t="n">
        <v>0.0598</v>
      </c>
      <c r="H9" s="3" t="n">
        <v>11.2687</v>
      </c>
      <c r="I9" s="3" t="n">
        <v>0.1936</v>
      </c>
      <c r="J9" s="3" t="n">
        <v>3.69</v>
      </c>
      <c r="K9" s="3" t="n">
        <v>8.0804</v>
      </c>
      <c r="L9" s="3" t="n">
        <v>5.0556</v>
      </c>
      <c r="M9" s="3" t="n">
        <v>2.9217</v>
      </c>
      <c r="N9" s="3" t="n">
        <v>1.3026</v>
      </c>
      <c r="O9" s="3" t="n">
        <f aca="false">SUM(D9:N9)</f>
        <v>96.7911</v>
      </c>
      <c r="P9" s="3" t="n">
        <f aca="false">D9/$O9*100</f>
        <v>47.9911892725674</v>
      </c>
      <c r="Q9" s="3" t="n">
        <f aca="false">E9/$O9*100</f>
        <v>2.6899167382125</v>
      </c>
      <c r="R9" s="3" t="n">
        <f aca="false">F9/$O9*100</f>
        <v>15.6666263737058</v>
      </c>
      <c r="S9" s="3" t="n">
        <f aca="false">G9/$O9*100</f>
        <v>0.0617825399236087</v>
      </c>
      <c r="T9" s="3" t="n">
        <f aca="false">H9/$O9*100</f>
        <v>11.6422894253707</v>
      </c>
      <c r="U9" s="3" t="n">
        <f aca="false">I9/$O9*100</f>
        <v>0.200018390120579</v>
      </c>
      <c r="V9" s="3" t="n">
        <f aca="false">J9/$O9*100</f>
        <v>3.81233398525278</v>
      </c>
      <c r="W9" s="3" t="n">
        <f aca="false">K9/$O9*100</f>
        <v>8.34828822071451</v>
      </c>
      <c r="X9" s="3" t="n">
        <f aca="false">L9/$O9*100</f>
        <v>5.22320750564876</v>
      </c>
      <c r="Y9" s="3" t="n">
        <f aca="false">M9/$O9*100</f>
        <v>3.0185626571038</v>
      </c>
      <c r="Z9" s="3" t="n">
        <f aca="false">N9/$O9*100</f>
        <v>1.34578489137948</v>
      </c>
    </row>
    <row r="10" customFormat="false" ht="15" hidden="false" customHeight="false" outlineLevel="0" collapsed="false">
      <c r="A10" s="1" t="s">
        <v>109</v>
      </c>
      <c r="B10" s="1" t="s">
        <v>71</v>
      </c>
      <c r="C10" s="1" t="s">
        <v>102</v>
      </c>
      <c r="D10" s="3" t="n">
        <v>46.4581</v>
      </c>
      <c r="E10" s="3" t="n">
        <v>2.7565</v>
      </c>
      <c r="F10" s="3" t="n">
        <v>14.9304</v>
      </c>
      <c r="G10" s="3" t="n">
        <v>0</v>
      </c>
      <c r="H10" s="3" t="n">
        <v>11.4421</v>
      </c>
      <c r="I10" s="3" t="n">
        <v>0.303</v>
      </c>
      <c r="J10" s="3" t="n">
        <v>3.6534</v>
      </c>
      <c r="K10" s="3" t="n">
        <v>8.1475</v>
      </c>
      <c r="L10" s="3" t="n">
        <v>4.959</v>
      </c>
      <c r="M10" s="3" t="n">
        <v>2.9096</v>
      </c>
      <c r="N10" s="3" t="n">
        <v>1.2094</v>
      </c>
      <c r="O10" s="3" t="n">
        <f aca="false">SUM(D10:N10)</f>
        <v>96.769</v>
      </c>
      <c r="P10" s="3" t="n">
        <f aca="false">D10/$O10*100</f>
        <v>48.009279831351</v>
      </c>
      <c r="Q10" s="3" t="n">
        <f aca="false">E10/$O10*100</f>
        <v>2.84853620477632</v>
      </c>
      <c r="R10" s="3" t="n">
        <f aca="false">F10/$O10*100</f>
        <v>15.4289080180636</v>
      </c>
      <c r="S10" s="3" t="n">
        <f aca="false">G10/$O10*100</f>
        <v>0</v>
      </c>
      <c r="T10" s="3" t="n">
        <f aca="false">H10/$O10*100</f>
        <v>11.8241378954004</v>
      </c>
      <c r="U10" s="3" t="n">
        <f aca="false">I10/$O10*100</f>
        <v>0.313116803935144</v>
      </c>
      <c r="V10" s="3" t="n">
        <f aca="false">J10/$O10*100</f>
        <v>3.77538261220019</v>
      </c>
      <c r="W10" s="3" t="n">
        <f aca="false">K10/$O10*100</f>
        <v>8.41953518172142</v>
      </c>
      <c r="X10" s="3" t="n">
        <f aca="false">L10/$O10*100</f>
        <v>5.12457501885934</v>
      </c>
      <c r="Y10" s="3" t="n">
        <f aca="false">M10/$O10*100</f>
        <v>3.00674802881088</v>
      </c>
      <c r="Z10" s="3" t="n">
        <f aca="false">N10/$O10*100</f>
        <v>1.24978040488173</v>
      </c>
    </row>
    <row r="11" customFormat="false" ht="15" hidden="false" customHeight="false" outlineLevel="0" collapsed="false">
      <c r="A11" s="1" t="s">
        <v>110</v>
      </c>
      <c r="B11" s="1" t="s">
        <v>71</v>
      </c>
      <c r="C11" s="1" t="s">
        <v>102</v>
      </c>
      <c r="D11" s="3" t="n">
        <v>46.3538</v>
      </c>
      <c r="E11" s="3" t="n">
        <v>2.6669</v>
      </c>
      <c r="F11" s="3" t="n">
        <v>15.0456</v>
      </c>
      <c r="G11" s="3" t="n">
        <v>0.1214</v>
      </c>
      <c r="H11" s="3" t="n">
        <v>11.2449</v>
      </c>
      <c r="I11" s="3" t="n">
        <v>0.2551</v>
      </c>
      <c r="J11" s="3" t="n">
        <v>3.5978</v>
      </c>
      <c r="K11" s="3" t="n">
        <v>8.1614</v>
      </c>
      <c r="L11" s="3" t="n">
        <v>4.9996</v>
      </c>
      <c r="M11" s="3" t="n">
        <v>2.8524</v>
      </c>
      <c r="N11" s="3" t="n">
        <v>1.3844</v>
      </c>
      <c r="O11" s="3" t="n">
        <f aca="false">SUM(D11:N11)</f>
        <v>96.6833</v>
      </c>
      <c r="P11" s="3" t="n">
        <f aca="false">D11/$O11*100</f>
        <v>47.9439572294285</v>
      </c>
      <c r="Q11" s="3" t="n">
        <f aca="false">E11/$O11*100</f>
        <v>2.75838743609289</v>
      </c>
      <c r="R11" s="3" t="n">
        <f aca="false">F11/$O11*100</f>
        <v>15.5617361012709</v>
      </c>
      <c r="S11" s="3" t="n">
        <f aca="false">G11/$O11*100</f>
        <v>0.12556460112553</v>
      </c>
      <c r="T11" s="3" t="n">
        <f aca="false">H11/$O11*100</f>
        <v>11.6306538978293</v>
      </c>
      <c r="U11" s="3" t="n">
        <f aca="false">I11/$O11*100</f>
        <v>0.263851151129513</v>
      </c>
      <c r="V11" s="3" t="n">
        <f aca="false">J11/$O11*100</f>
        <v>3.72122176218644</v>
      </c>
      <c r="W11" s="3" t="n">
        <f aca="false">K11/$O11*100</f>
        <v>8.44137508752804</v>
      </c>
      <c r="X11" s="3" t="n">
        <f aca="false">L11/$O11*100</f>
        <v>5.17111021241517</v>
      </c>
      <c r="Y11" s="3" t="n">
        <f aca="false">M11/$O11*100</f>
        <v>2.95025097405653</v>
      </c>
      <c r="Z11" s="3" t="n">
        <f aca="false">N11/$O11*100</f>
        <v>1.43189154693727</v>
      </c>
    </row>
    <row r="12" customFormat="false" ht="15" hidden="false" customHeight="false" outlineLevel="0" collapsed="false">
      <c r="A12" s="1" t="s">
        <v>111</v>
      </c>
      <c r="B12" s="1" t="s">
        <v>71</v>
      </c>
      <c r="C12" s="1" t="s">
        <v>102</v>
      </c>
      <c r="D12" s="3" t="n">
        <v>46.4643</v>
      </c>
      <c r="E12" s="3" t="n">
        <v>2.7306</v>
      </c>
      <c r="F12" s="3" t="n">
        <v>15.0537</v>
      </c>
      <c r="G12" s="3" t="n">
        <v>0.0321</v>
      </c>
      <c r="H12" s="3" t="n">
        <v>11.3211</v>
      </c>
      <c r="I12" s="3" t="n">
        <v>0.229</v>
      </c>
      <c r="J12" s="3" t="n">
        <v>3.6531</v>
      </c>
      <c r="K12" s="3" t="n">
        <v>8.2521</v>
      </c>
      <c r="L12" s="3" t="n">
        <v>5.0248</v>
      </c>
      <c r="M12" s="3" t="n">
        <v>2.9073</v>
      </c>
      <c r="N12" s="3" t="n">
        <v>1.1489</v>
      </c>
      <c r="O12" s="3" t="n">
        <f aca="false">SUM(D12:N12)</f>
        <v>96.817</v>
      </c>
      <c r="P12" s="3" t="n">
        <f aca="false">D12/$O12*100</f>
        <v>47.9918815910429</v>
      </c>
      <c r="Q12" s="3" t="n">
        <f aca="false">E12/$O12*100</f>
        <v>2.82037245525063</v>
      </c>
      <c r="R12" s="3" t="n">
        <f aca="false">F12/$O12*100</f>
        <v>15.5486123304792</v>
      </c>
      <c r="S12" s="3" t="n">
        <f aca="false">G12/$O12*100</f>
        <v>0.0331553342904655</v>
      </c>
      <c r="T12" s="3" t="n">
        <f aca="false">H12/$O12*100</f>
        <v>11.6932976646663</v>
      </c>
      <c r="U12" s="3" t="n">
        <f aca="false">I12/$O12*100</f>
        <v>0.23652870880114</v>
      </c>
      <c r="V12" s="3" t="n">
        <f aca="false">J12/$O12*100</f>
        <v>3.77320098742989</v>
      </c>
      <c r="W12" s="3" t="n">
        <f aca="false">K12/$O12*100</f>
        <v>8.52339981614799</v>
      </c>
      <c r="X12" s="3" t="n">
        <f aca="false">L12/$O12*100</f>
        <v>5.18999762438415</v>
      </c>
      <c r="Y12" s="3" t="n">
        <f aca="false">M12/$O12*100</f>
        <v>3.00288172531683</v>
      </c>
      <c r="Z12" s="3" t="n">
        <f aca="false">N12/$O12*100</f>
        <v>1.18667176219052</v>
      </c>
    </row>
    <row r="13" customFormat="false" ht="15" hidden="false" customHeight="false" outlineLevel="0" collapsed="false">
      <c r="C13" s="1" t="s">
        <v>14</v>
      </c>
      <c r="D13" s="3" t="n">
        <f aca="false">AVERAGE(D3:D12)</f>
        <v>46.47086</v>
      </c>
      <c r="E13" s="3" t="n">
        <f aca="false">AVERAGE(E3:E12)</f>
        <v>2.79578</v>
      </c>
      <c r="F13" s="3" t="n">
        <f aca="false">AVERAGE(F3:F12)</f>
        <v>15.08714</v>
      </c>
      <c r="G13" s="3" t="n">
        <f aca="false">AVERAGE(G3:G12)</f>
        <v>0.03146</v>
      </c>
      <c r="H13" s="3" t="n">
        <f aca="false">AVERAGE(H3:H12)</f>
        <v>11.13926</v>
      </c>
      <c r="I13" s="3" t="n">
        <f aca="false">AVERAGE(I3:I12)</f>
        <v>0.22981</v>
      </c>
      <c r="J13" s="3" t="n">
        <f aca="false">AVERAGE(J3:J12)</f>
        <v>3.63734</v>
      </c>
      <c r="K13" s="3" t="n">
        <f aca="false">AVERAGE(K3:K12)</f>
        <v>8.27568</v>
      </c>
      <c r="L13" s="3" t="n">
        <f aca="false">AVERAGE(L3:L12)</f>
        <v>4.99602</v>
      </c>
      <c r="M13" s="3" t="n">
        <f aca="false">AVERAGE(M3:M12)</f>
        <v>2.89637</v>
      </c>
      <c r="N13" s="3" t="n">
        <f aca="false">AVERAGE(N3:N12)</f>
        <v>1.21486</v>
      </c>
      <c r="O13" s="3" t="n">
        <f aca="false">SUM(D13:N13)</f>
        <v>96.77458</v>
      </c>
      <c r="P13" s="3" t="n">
        <f aca="false">AVERAGE(P3:P12)</f>
        <v>48.0195487016276</v>
      </c>
      <c r="Q13" s="3" t="n">
        <f aca="false">AVERAGE(Q3:Q12)</f>
        <v>2.88906495359386</v>
      </c>
      <c r="R13" s="3" t="n">
        <f aca="false">AVERAGE(R3:R12)</f>
        <v>15.5899187517549</v>
      </c>
      <c r="S13" s="3" t="n">
        <f aca="false">AVERAGE(S3:S12)</f>
        <v>0.0325040715812146</v>
      </c>
      <c r="T13" s="3" t="n">
        <f aca="false">AVERAGE(T3:T12)</f>
        <v>11.5103591534559</v>
      </c>
      <c r="U13" s="3" t="n">
        <f aca="false">AVERAGE(U3:U12)</f>
        <v>0.23751147069724</v>
      </c>
      <c r="V13" s="3" t="n">
        <f aca="false">AVERAGE(V3:V12)</f>
        <v>3.75860464563108</v>
      </c>
      <c r="W13" s="3" t="n">
        <f aca="false">AVERAGE(W3:W12)</f>
        <v>8.55158475606375</v>
      </c>
      <c r="X13" s="3" t="n">
        <f aca="false">AVERAGE(X3:X12)</f>
        <v>5.16250539855983</v>
      </c>
      <c r="Y13" s="3" t="n">
        <f aca="false">AVERAGE(Y3:Y12)</f>
        <v>2.993037222566</v>
      </c>
      <c r="Z13" s="3" t="n">
        <f aca="false">AVERAGE(Z3:Z12)</f>
        <v>1.25536087446868</v>
      </c>
    </row>
    <row r="14" customFormat="false" ht="15" hidden="false" customHeight="false" outlineLevel="0" collapsed="false">
      <c r="C14" s="1" t="s">
        <v>81</v>
      </c>
      <c r="D14" s="3" t="n">
        <f aca="false">_xlfn.STDEV.P(D3:D12)</f>
        <v>0.241846588563907</v>
      </c>
      <c r="E14" s="3" t="n">
        <f aca="false">_xlfn.STDEV.P(E3:E12)</f>
        <v>0.119112516554726</v>
      </c>
      <c r="F14" s="3" t="n">
        <f aca="false">_xlfn.STDEV.P(F3:F12)</f>
        <v>0.107713213674089</v>
      </c>
      <c r="G14" s="3" t="n">
        <f aca="false">_xlfn.STDEV.P(G3:G12)</f>
        <v>0.0395364945335319</v>
      </c>
      <c r="H14" s="3" t="n">
        <f aca="false">_xlfn.STDEV.P(H3:H12)</f>
        <v>0.189164463893195</v>
      </c>
      <c r="I14" s="3" t="n">
        <f aca="false">_xlfn.STDEV.P(I3:I12)</f>
        <v>0.0370307561359473</v>
      </c>
      <c r="J14" s="3" t="n">
        <f aca="false">_xlfn.STDEV.P(J3:J12)</f>
        <v>0.0272130189431455</v>
      </c>
      <c r="K14" s="3" t="n">
        <f aca="false">_xlfn.STDEV.P(K3:K12)</f>
        <v>0.115056975451295</v>
      </c>
      <c r="L14" s="3" t="n">
        <f aca="false">_xlfn.STDEV.P(L3:L12)</f>
        <v>0.0524562255599848</v>
      </c>
      <c r="M14" s="3" t="n">
        <f aca="false">_xlfn.STDEV.P(M3:M12)</f>
        <v>0.0573117797664669</v>
      </c>
      <c r="N14" s="3" t="n">
        <f aca="false">_xlfn.STDEV.P(N3:N12)</f>
        <v>0.0766461114473527</v>
      </c>
      <c r="O14" s="3"/>
      <c r="P14" s="3" t="n">
        <f aca="false">_xlfn.STDEV.P(P3:P12)</f>
        <v>0.131746579166058</v>
      </c>
      <c r="Q14" s="3" t="n">
        <f aca="false">_xlfn.STDEV.P(Q3:Q12)</f>
        <v>0.125351112556598</v>
      </c>
      <c r="R14" s="3" t="n">
        <f aca="false">_xlfn.STDEV.P(R3:R12)</f>
        <v>0.0842744829950834</v>
      </c>
      <c r="S14" s="3" t="n">
        <f aca="false">_xlfn.STDEV.P(S3:S12)</f>
        <v>0.040860333317168</v>
      </c>
      <c r="T14" s="3" t="n">
        <f aca="false">_xlfn.STDEV.P(T3:T12)</f>
        <v>0.181083533118797</v>
      </c>
      <c r="U14" s="3" t="n">
        <f aca="false">_xlfn.STDEV.P(U3:U12)</f>
        <v>0.0384885093797558</v>
      </c>
      <c r="V14" s="3" t="n">
        <f aca="false">_xlfn.STDEV.P(V3:V12)</f>
        <v>0.0293802117923554</v>
      </c>
      <c r="W14" s="3" t="n">
        <f aca="false">_xlfn.STDEV.P(W3:W12)</f>
        <v>0.120676161783892</v>
      </c>
      <c r="X14" s="3" t="n">
        <f aca="false">_xlfn.STDEV.P(X3:X12)</f>
        <v>0.0478659526014176</v>
      </c>
      <c r="Y14" s="3" t="n">
        <f aca="false">_xlfn.STDEV.P(Y3:Y12)</f>
        <v>0.0646657265505172</v>
      </c>
      <c r="Z14" s="3" t="n">
        <f aca="false">_xlfn.STDEV.P(Z3:Z12)</f>
        <v>0.0792388221766886</v>
      </c>
    </row>
    <row r="15" customFormat="false" ht="15" hidden="false" customHeight="false" outlineLevel="0" collapsed="false">
      <c r="C15" s="1" t="s">
        <v>66</v>
      </c>
      <c r="D15" s="3" t="n">
        <f aca="false">D13/$O$13*100</f>
        <v>48.0196969080104</v>
      </c>
      <c r="E15" s="3" t="n">
        <f aca="false">E13/$O$13*100</f>
        <v>2.88896113008189</v>
      </c>
      <c r="F15" s="3" t="n">
        <f aca="false">F13/$O$13*100</f>
        <v>15.5899824106702</v>
      </c>
      <c r="G15" s="3" t="n">
        <f aca="false">G13/$O$13*100</f>
        <v>0.0325085368492428</v>
      </c>
      <c r="H15" s="3" t="n">
        <f aca="false">H13/$O$13*100</f>
        <v>11.5105227013127</v>
      </c>
      <c r="I15" s="3" t="n">
        <f aca="false">I13/$O$13*100</f>
        <v>0.237469385038922</v>
      </c>
      <c r="J15" s="3" t="n">
        <f aca="false">J13/$O$13*100</f>
        <v>3.75856965744517</v>
      </c>
      <c r="K15" s="3" t="n">
        <f aca="false">K13/$O$13*100</f>
        <v>8.55150185100261</v>
      </c>
      <c r="L15" s="3" t="n">
        <f aca="false">L13/$O$13*100</f>
        <v>5.16253338428335</v>
      </c>
      <c r="M15" s="3" t="n">
        <f aca="false">M13/$O$13*100</f>
        <v>2.9929037150045</v>
      </c>
      <c r="N15" s="3" t="n">
        <f aca="false">N13/$O$13*100</f>
        <v>1.25535032030105</v>
      </c>
      <c r="O15" s="3"/>
    </row>
    <row r="16" customFormat="false" ht="15" hidden="false" customHeight="false" outlineLevel="0" collapsed="false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customFormat="false" ht="15" hidden="false" customHeight="false" outlineLevel="0" collapsed="false">
      <c r="A17" s="1" t="s">
        <v>112</v>
      </c>
      <c r="B17" s="1" t="s">
        <v>82</v>
      </c>
      <c r="C17" s="1" t="s">
        <v>102</v>
      </c>
      <c r="D17" s="3" t="n">
        <v>0.0699</v>
      </c>
      <c r="E17" s="3" t="n">
        <v>18.0056</v>
      </c>
      <c r="F17" s="3" t="n">
        <v>4.2155</v>
      </c>
      <c r="G17" s="3" t="n">
        <v>0.112</v>
      </c>
      <c r="H17" s="3" t="n">
        <v>67.3721</v>
      </c>
      <c r="I17" s="3" t="n">
        <v>0.5614</v>
      </c>
      <c r="J17" s="3" t="n">
        <v>5.1196</v>
      </c>
      <c r="K17" s="3" t="n">
        <v>0.1086</v>
      </c>
      <c r="L17" s="3" t="n">
        <v>0.0036</v>
      </c>
      <c r="M17" s="3" t="n">
        <v>0.0173</v>
      </c>
      <c r="N17" s="3" t="n">
        <v>0</v>
      </c>
      <c r="O17" s="3" t="n">
        <f aca="false">SUM(D17:N17)</f>
        <v>95.5856</v>
      </c>
    </row>
    <row r="18" customFormat="false" ht="15" hidden="false" customHeight="false" outlineLevel="0" collapsed="false">
      <c r="A18" s="1" t="s">
        <v>113</v>
      </c>
      <c r="B18" s="1" t="s">
        <v>82</v>
      </c>
      <c r="C18" s="1" t="s">
        <v>102</v>
      </c>
      <c r="D18" s="3" t="n">
        <v>0.1081</v>
      </c>
      <c r="E18" s="3" t="n">
        <v>17.3984</v>
      </c>
      <c r="F18" s="3" t="n">
        <v>4.0317</v>
      </c>
      <c r="G18" s="3" t="n">
        <v>0.1323</v>
      </c>
      <c r="H18" s="3" t="n">
        <v>68.3688</v>
      </c>
      <c r="I18" s="3" t="n">
        <v>0.4257</v>
      </c>
      <c r="J18" s="3" t="n">
        <v>5.1845</v>
      </c>
      <c r="K18" s="3" t="n">
        <v>0.0823</v>
      </c>
      <c r="L18" s="3" t="n">
        <v>0.0098</v>
      </c>
      <c r="M18" s="3" t="n">
        <v>0.0234</v>
      </c>
      <c r="N18" s="3" t="n">
        <v>0</v>
      </c>
      <c r="O18" s="3" t="n">
        <f aca="false">SUM(D18:N18)</f>
        <v>95.765</v>
      </c>
    </row>
    <row r="19" customFormat="false" ht="15" hidden="false" customHeight="false" outlineLevel="0" collapsed="false">
      <c r="A19" s="1" t="s">
        <v>114</v>
      </c>
      <c r="B19" s="1" t="s">
        <v>82</v>
      </c>
      <c r="C19" s="1" t="s">
        <v>102</v>
      </c>
      <c r="D19" s="3" t="n">
        <v>0.0855</v>
      </c>
      <c r="E19" s="3" t="n">
        <v>16.8706</v>
      </c>
      <c r="F19" s="3" t="n">
        <v>4.7504</v>
      </c>
      <c r="G19" s="3" t="n">
        <v>0.4738</v>
      </c>
      <c r="H19" s="3" t="n">
        <v>67.8096</v>
      </c>
      <c r="I19" s="3" t="n">
        <v>0.5792</v>
      </c>
      <c r="J19" s="3" t="n">
        <v>5.1134</v>
      </c>
      <c r="K19" s="3" t="n">
        <v>0.0203</v>
      </c>
      <c r="L19" s="3" t="n">
        <v>0.0009</v>
      </c>
      <c r="M19" s="3" t="n">
        <v>0</v>
      </c>
      <c r="N19" s="3" t="n">
        <v>0</v>
      </c>
      <c r="O19" s="3" t="n">
        <f aca="false">SUM(D19:N19)</f>
        <v>95.7037</v>
      </c>
    </row>
    <row r="20" customFormat="false" ht="15" hidden="false" customHeight="false" outlineLevel="0" collapsed="false">
      <c r="A20" s="1" t="s">
        <v>115</v>
      </c>
      <c r="B20" s="1" t="s">
        <v>82</v>
      </c>
      <c r="C20" s="1" t="s">
        <v>102</v>
      </c>
      <c r="D20" s="3" t="n">
        <v>0.1324</v>
      </c>
      <c r="E20" s="3" t="n">
        <v>16.4823</v>
      </c>
      <c r="F20" s="3" t="n">
        <v>4.758</v>
      </c>
      <c r="G20" s="3" t="n">
        <v>0.0519</v>
      </c>
      <c r="H20" s="3" t="n">
        <v>69.2782</v>
      </c>
      <c r="I20" s="3" t="n">
        <v>0.498</v>
      </c>
      <c r="J20" s="3" t="n">
        <v>5.0761</v>
      </c>
      <c r="K20" s="3" t="n">
        <v>0.0132</v>
      </c>
      <c r="L20" s="3" t="n">
        <v>0.0071</v>
      </c>
      <c r="M20" s="3" t="n">
        <v>0</v>
      </c>
      <c r="N20" s="3" t="n">
        <v>0</v>
      </c>
      <c r="O20" s="3" t="n">
        <f aca="false">SUM(D20:N20)</f>
        <v>96.2972</v>
      </c>
    </row>
    <row r="21" customFormat="false" ht="15" hidden="false" customHeight="false" outlineLevel="0" collapsed="false">
      <c r="A21" s="1" t="s">
        <v>116</v>
      </c>
      <c r="B21" s="1" t="s">
        <v>82</v>
      </c>
      <c r="C21" s="1" t="s">
        <v>102</v>
      </c>
      <c r="D21" s="3" t="n">
        <v>0.1451</v>
      </c>
      <c r="E21" s="3" t="n">
        <v>16.5373</v>
      </c>
      <c r="F21" s="3" t="n">
        <v>4.6686</v>
      </c>
      <c r="G21" s="3" t="n">
        <v>0</v>
      </c>
      <c r="H21" s="3" t="n">
        <v>69.2458</v>
      </c>
      <c r="I21" s="3" t="n">
        <v>0.5008</v>
      </c>
      <c r="J21" s="3" t="n">
        <v>5.1122</v>
      </c>
      <c r="K21" s="3" t="n">
        <v>0.0065</v>
      </c>
      <c r="L21" s="3" t="n">
        <v>0.0308</v>
      </c>
      <c r="M21" s="3" t="n">
        <v>0</v>
      </c>
      <c r="N21" s="3" t="n">
        <v>0.0238</v>
      </c>
      <c r="O21" s="3" t="n">
        <f aca="false">SUM(D21:N21)</f>
        <v>96.2709</v>
      </c>
    </row>
    <row r="22" customFormat="false" ht="15" hidden="false" customHeight="false" outlineLevel="0" collapsed="false">
      <c r="C22" s="1" t="s">
        <v>30</v>
      </c>
      <c r="D22" s="3" t="n">
        <f aca="false">AVERAGE(D17:D21)</f>
        <v>0.1082</v>
      </c>
      <c r="E22" s="3" t="n">
        <f aca="false">AVERAGE(E17:E21)</f>
        <v>17.05884</v>
      </c>
      <c r="F22" s="3" t="n">
        <f aca="false">AVERAGE(F17:F21)</f>
        <v>4.48484</v>
      </c>
      <c r="G22" s="3" t="n">
        <f aca="false">AVERAGE(G17:G21)</f>
        <v>0.154</v>
      </c>
      <c r="H22" s="3" t="n">
        <f aca="false">AVERAGE(H17:H21)</f>
        <v>68.4149</v>
      </c>
      <c r="I22" s="3" t="n">
        <f aca="false">AVERAGE(I17:I21)</f>
        <v>0.51302</v>
      </c>
      <c r="J22" s="3" t="n">
        <f aca="false">AVERAGE(J17:J21)</f>
        <v>5.12116</v>
      </c>
      <c r="K22" s="3" t="n">
        <f aca="false">AVERAGE(K17:K21)</f>
        <v>0.04618</v>
      </c>
      <c r="L22" s="3" t="n">
        <f aca="false">AVERAGE(L17:L21)</f>
        <v>0.01044</v>
      </c>
      <c r="M22" s="3" t="n">
        <f aca="false">AVERAGE(M17:M21)</f>
        <v>0.00814</v>
      </c>
      <c r="N22" s="3" t="n">
        <f aca="false">AVERAGE(N17:N21)</f>
        <v>0.00476</v>
      </c>
      <c r="O22" s="3" t="n">
        <f aca="false">SUM(D22:N22)</f>
        <v>95.92448</v>
      </c>
    </row>
    <row r="23" customFormat="false" ht="15" hidden="false" customHeight="false" outlineLevel="0" collapsed="false">
      <c r="C23" s="1" t="s">
        <v>81</v>
      </c>
      <c r="D23" s="3" t="n">
        <f aca="false">_xlfn.STDEV.P(D17:D21)</f>
        <v>0.0280336940127412</v>
      </c>
      <c r="E23" s="3" t="n">
        <f aca="false">_xlfn.STDEV.P(E17:E21)</f>
        <v>0.574715952797555</v>
      </c>
      <c r="F23" s="3" t="n">
        <f aca="false">_xlfn.STDEV.P(F17:F21)</f>
        <v>0.302253579631408</v>
      </c>
      <c r="G23" s="3" t="n">
        <f aca="false">_xlfn.STDEV.P(G17:G21)</f>
        <v>0.166521674264944</v>
      </c>
      <c r="H23" s="3" t="n">
        <f aca="false">_xlfn.STDEV.P(H17:H21)</f>
        <v>0.760477066057878</v>
      </c>
      <c r="I23" s="3" t="n">
        <f aca="false">_xlfn.STDEV.P(I17:I21)</f>
        <v>0.0542588757716192</v>
      </c>
      <c r="J23" s="3" t="n">
        <f aca="false">_xlfn.STDEV.P(J17:J21)</f>
        <v>0.0351718410095348</v>
      </c>
      <c r="K23" s="3" t="n">
        <f aca="false">_xlfn.STDEV.P(K17:K21)</f>
        <v>0.0413106959515329</v>
      </c>
      <c r="L23" s="3" t="n">
        <f aca="false">_xlfn.STDEV.P(L17:L21)</f>
        <v>0.0106197175103672</v>
      </c>
      <c r="M23" s="3" t="n">
        <f aca="false">_xlfn.STDEV.P(M17:M21)</f>
        <v>0.0101543291260427</v>
      </c>
      <c r="N23" s="3" t="n">
        <f aca="false">_xlfn.STDEV.P(N17:N21)</f>
        <v>0.00952</v>
      </c>
      <c r="O23" s="3"/>
    </row>
    <row r="24" customFormat="false" ht="15" hidden="false" customHeight="false" outlineLevel="0" collapsed="false">
      <c r="C24" s="1" t="s">
        <v>66</v>
      </c>
      <c r="D24" s="3" t="n">
        <f aca="false">D22/$O$22*100</f>
        <v>0.11279706702606</v>
      </c>
      <c r="E24" s="3" t="n">
        <f aca="false">E22/$O$22*100</f>
        <v>17.7836147769579</v>
      </c>
      <c r="F24" s="3" t="n">
        <f aca="false">F22/$O$22*100</f>
        <v>4.6753863038924</v>
      </c>
      <c r="G24" s="3" t="n">
        <f aca="false">G22/$O$22*100</f>
        <v>0.16054296046223</v>
      </c>
      <c r="H24" s="3" t="n">
        <f aca="false">H22/$O$22*100</f>
        <v>71.3216271800483</v>
      </c>
      <c r="I24" s="3" t="n">
        <f aca="false">I22/$O$22*100</f>
        <v>0.534816555690477</v>
      </c>
      <c r="J24" s="3" t="n">
        <f aca="false">J22/$O$22*100</f>
        <v>5.33874147662828</v>
      </c>
      <c r="K24" s="3" t="n">
        <f aca="false">K22/$O$22*100</f>
        <v>0.0481420384035441</v>
      </c>
      <c r="L24" s="3" t="n">
        <f aca="false">L22/$O$22*100</f>
        <v>0.0108835617352317</v>
      </c>
      <c r="M24" s="3" t="n">
        <f aca="false">M22/$O$22*100</f>
        <v>0.00848584219586074</v>
      </c>
      <c r="N24" s="3" t="n">
        <f aca="false">N22/$O$22*100</f>
        <v>0.00496223695974166</v>
      </c>
      <c r="O24" s="3"/>
    </row>
    <row r="25" customFormat="false" ht="15" hidden="false" customHeight="false" outlineLevel="0" collapsed="false"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customFormat="false" ht="15" hidden="false" customHeight="false" outlineLevel="0" collapsed="false">
      <c r="A26" s="1" t="s">
        <v>117</v>
      </c>
      <c r="B26" s="1" t="s">
        <v>82</v>
      </c>
      <c r="C26" s="1" t="s">
        <v>102</v>
      </c>
      <c r="D26" s="3" t="n">
        <v>38.4904</v>
      </c>
      <c r="E26" s="3" t="n">
        <v>0.0181</v>
      </c>
      <c r="F26" s="3" t="n">
        <v>0.0418</v>
      </c>
      <c r="G26" s="3" t="n">
        <v>0.0094</v>
      </c>
      <c r="H26" s="3" t="n">
        <v>24.3291</v>
      </c>
      <c r="I26" s="3" t="n">
        <v>0.5062</v>
      </c>
      <c r="J26" s="3" t="n">
        <v>37.0678</v>
      </c>
      <c r="K26" s="3" t="n">
        <v>0.3131</v>
      </c>
      <c r="L26" s="3" t="n">
        <v>0.0271</v>
      </c>
      <c r="M26" s="3" t="n">
        <v>0.0115</v>
      </c>
      <c r="N26" s="3" t="n">
        <v>0.1284</v>
      </c>
      <c r="O26" s="3" t="n">
        <v>100.943</v>
      </c>
    </row>
    <row r="27" customFormat="false" ht="15" hidden="false" customHeight="false" outlineLevel="0" collapsed="false">
      <c r="A27" s="1" t="s">
        <v>118</v>
      </c>
      <c r="B27" s="1" t="s">
        <v>82</v>
      </c>
      <c r="C27" s="1" t="s">
        <v>102</v>
      </c>
      <c r="D27" s="3" t="n">
        <v>38.5423</v>
      </c>
      <c r="E27" s="3" t="n">
        <v>0.0446</v>
      </c>
      <c r="F27" s="3" t="n">
        <v>0.014</v>
      </c>
      <c r="G27" s="3" t="n">
        <v>0.0023</v>
      </c>
      <c r="H27" s="3" t="n">
        <v>24.4257</v>
      </c>
      <c r="I27" s="3" t="n">
        <v>0.4021</v>
      </c>
      <c r="J27" s="3" t="n">
        <v>36.6026</v>
      </c>
      <c r="K27" s="3" t="n">
        <v>0.4022</v>
      </c>
      <c r="L27" s="3" t="n">
        <v>0.0213</v>
      </c>
      <c r="M27" s="3" t="n">
        <v>0.0052</v>
      </c>
      <c r="N27" s="3" t="n">
        <v>0.0767</v>
      </c>
      <c r="O27" s="3" t="n">
        <v>100.539</v>
      </c>
    </row>
    <row r="28" customFormat="false" ht="15" hidden="false" customHeight="false" outlineLevel="0" collapsed="false">
      <c r="A28" s="1" t="s">
        <v>119</v>
      </c>
      <c r="B28" s="1" t="s">
        <v>82</v>
      </c>
      <c r="C28" s="1" t="s">
        <v>102</v>
      </c>
      <c r="D28" s="3" t="n">
        <v>38.5739</v>
      </c>
      <c r="E28" s="3" t="n">
        <v>0</v>
      </c>
      <c r="F28" s="3" t="n">
        <v>0.0341</v>
      </c>
      <c r="G28" s="3" t="n">
        <v>0.0446</v>
      </c>
      <c r="H28" s="3" t="n">
        <v>24.5476</v>
      </c>
      <c r="I28" s="3" t="n">
        <v>0.4565</v>
      </c>
      <c r="J28" s="3" t="n">
        <v>36.8412</v>
      </c>
      <c r="K28" s="3" t="n">
        <v>0.2794</v>
      </c>
      <c r="L28" s="3" t="n">
        <v>0.0074</v>
      </c>
      <c r="M28" s="3" t="n">
        <v>0.001</v>
      </c>
      <c r="N28" s="3" t="n">
        <v>0.1086</v>
      </c>
      <c r="O28" s="3" t="n">
        <v>100.8943</v>
      </c>
    </row>
    <row r="29" customFormat="false" ht="15" hidden="false" customHeight="false" outlineLevel="0" collapsed="false">
      <c r="A29" s="1" t="s">
        <v>120</v>
      </c>
      <c r="B29" s="1" t="s">
        <v>82</v>
      </c>
      <c r="C29" s="1" t="s">
        <v>102</v>
      </c>
      <c r="D29" s="3" t="n">
        <v>38.7347</v>
      </c>
      <c r="E29" s="3" t="n">
        <v>0.0249</v>
      </c>
      <c r="F29" s="3" t="n">
        <v>0.0257</v>
      </c>
      <c r="G29" s="3" t="n">
        <v>0.0472</v>
      </c>
      <c r="H29" s="3" t="n">
        <v>24.2895</v>
      </c>
      <c r="I29" s="3" t="n">
        <v>0.5452</v>
      </c>
      <c r="J29" s="3" t="n">
        <v>36.875</v>
      </c>
      <c r="K29" s="3" t="n">
        <v>0.3619</v>
      </c>
      <c r="L29" s="3" t="n">
        <v>0.0432</v>
      </c>
      <c r="M29" s="3" t="n">
        <v>0</v>
      </c>
      <c r="N29" s="3" t="n">
        <v>0.0895</v>
      </c>
      <c r="O29" s="3" t="n">
        <v>101.0366</v>
      </c>
    </row>
    <row r="30" customFormat="false" ht="15" hidden="false" customHeight="false" outlineLevel="0" collapsed="false">
      <c r="A30" s="1" t="s">
        <v>121</v>
      </c>
      <c r="B30" s="1" t="s">
        <v>82</v>
      </c>
      <c r="C30" s="1" t="s">
        <v>102</v>
      </c>
      <c r="D30" s="3" t="n">
        <v>38.0059</v>
      </c>
      <c r="E30" s="3" t="n">
        <v>0.0384</v>
      </c>
      <c r="F30" s="3" t="n">
        <v>0.0513</v>
      </c>
      <c r="G30" s="3" t="n">
        <v>0.0447</v>
      </c>
      <c r="H30" s="3" t="n">
        <v>24.0671</v>
      </c>
      <c r="I30" s="3" t="n">
        <v>0.4236</v>
      </c>
      <c r="J30" s="3" t="n">
        <v>36.8059</v>
      </c>
      <c r="K30" s="3" t="n">
        <v>0.3009</v>
      </c>
      <c r="L30" s="3" t="n">
        <v>0.0117</v>
      </c>
      <c r="M30" s="3" t="n">
        <v>0.0262</v>
      </c>
      <c r="N30" s="3" t="n">
        <v>0.2758</v>
      </c>
      <c r="O30" s="3" t="n">
        <v>100.0514</v>
      </c>
    </row>
    <row r="31" customFormat="false" ht="15" hidden="false" customHeight="false" outlineLevel="0" collapsed="false">
      <c r="A31" s="1" t="s">
        <v>122</v>
      </c>
      <c r="B31" s="1" t="s">
        <v>82</v>
      </c>
      <c r="C31" s="1" t="s">
        <v>102</v>
      </c>
      <c r="D31" s="3" t="n">
        <v>38.1035</v>
      </c>
      <c r="E31" s="3" t="n">
        <v>0.0666</v>
      </c>
      <c r="F31" s="3" t="n">
        <v>0.0355</v>
      </c>
      <c r="G31" s="3" t="n">
        <v>0</v>
      </c>
      <c r="H31" s="3" t="n">
        <v>24.8755</v>
      </c>
      <c r="I31" s="3" t="n">
        <v>0.4782</v>
      </c>
      <c r="J31" s="3" t="n">
        <v>35.9295</v>
      </c>
      <c r="K31" s="3" t="n">
        <v>0.4028</v>
      </c>
      <c r="L31" s="3" t="n">
        <v>0.0202</v>
      </c>
      <c r="M31" s="3" t="n">
        <v>0.0127</v>
      </c>
      <c r="N31" s="3" t="n">
        <v>0.0841</v>
      </c>
      <c r="O31" s="3" t="n">
        <v>100.0086</v>
      </c>
    </row>
    <row r="32" customFormat="false" ht="15" hidden="false" customHeight="false" outlineLevel="0" collapsed="false">
      <c r="A32" s="1" t="s">
        <v>123</v>
      </c>
      <c r="B32" s="1" t="s">
        <v>82</v>
      </c>
      <c r="C32" s="1" t="s">
        <v>102</v>
      </c>
      <c r="D32" s="3" t="n">
        <v>38.4102</v>
      </c>
      <c r="E32" s="3" t="n">
        <v>0.0248</v>
      </c>
      <c r="F32" s="3" t="n">
        <v>0.0333</v>
      </c>
      <c r="G32" s="3" t="n">
        <v>0</v>
      </c>
      <c r="H32" s="3" t="n">
        <v>24.7031</v>
      </c>
      <c r="I32" s="3" t="n">
        <v>0.533</v>
      </c>
      <c r="J32" s="3" t="n">
        <v>36.6944</v>
      </c>
      <c r="K32" s="3" t="n">
        <v>0.3838</v>
      </c>
      <c r="L32" s="3" t="n">
        <v>0.0043</v>
      </c>
      <c r="M32" s="3" t="n">
        <v>0.0148</v>
      </c>
      <c r="N32" s="3" t="n">
        <v>0.0778</v>
      </c>
      <c r="O32" s="3" t="n">
        <v>100.8795</v>
      </c>
    </row>
    <row r="33" customFormat="false" ht="15" hidden="false" customHeight="false" outlineLevel="0" collapsed="false">
      <c r="C33" s="1" t="s">
        <v>32</v>
      </c>
      <c r="D33" s="3" t="n">
        <f aca="false">AVERAGE(D25:D32)</f>
        <v>38.4087</v>
      </c>
      <c r="E33" s="3" t="n">
        <f aca="false">AVERAGE(E25:E32)</f>
        <v>0.0310571428571429</v>
      </c>
      <c r="F33" s="3" t="n">
        <f aca="false">AVERAGE(F25:F32)</f>
        <v>0.0336714285714286</v>
      </c>
      <c r="G33" s="3" t="n">
        <f aca="false">AVERAGE(G25:G32)</f>
        <v>0.0211714285714286</v>
      </c>
      <c r="H33" s="3" t="n">
        <f aca="false">AVERAGE(H25:H32)</f>
        <v>24.4625142857143</v>
      </c>
      <c r="I33" s="3" t="n">
        <f aca="false">AVERAGE(I25:I32)</f>
        <v>0.477828571428571</v>
      </c>
      <c r="J33" s="3" t="n">
        <f aca="false">AVERAGE(J25:J32)</f>
        <v>36.6880571428571</v>
      </c>
      <c r="K33" s="3" t="n">
        <f aca="false">AVERAGE(K25:K32)</f>
        <v>0.349157142857143</v>
      </c>
      <c r="L33" s="3" t="n">
        <f aca="false">AVERAGE(L25:L32)</f>
        <v>0.0193142857142857</v>
      </c>
      <c r="M33" s="3" t="n">
        <f aca="false">AVERAGE(M25:M32)</f>
        <v>0.0102</v>
      </c>
      <c r="N33" s="3" t="n">
        <f aca="false">AVERAGE(N25:N32)</f>
        <v>0.120128571428571</v>
      </c>
      <c r="O33" s="3" t="n">
        <f aca="false">SUM(D33:N33)</f>
        <v>100.6218</v>
      </c>
    </row>
    <row r="34" customFormat="false" ht="15" hidden="false" customHeight="false" outlineLevel="0" collapsed="false">
      <c r="C34" s="1" t="s">
        <v>81</v>
      </c>
      <c r="D34" s="3" t="n">
        <f aca="false">_xlfn.STDEV.P(D25:D32)</f>
        <v>0.243042624127657</v>
      </c>
      <c r="E34" s="3" t="n">
        <f aca="false">_xlfn.STDEV.P(E25:E32)</f>
        <v>0.0196763714093004</v>
      </c>
      <c r="F34" s="3" t="n">
        <f aca="false">_xlfn.STDEV.P(F25:F32)</f>
        <v>0.0108957022045673</v>
      </c>
      <c r="G34" s="3" t="n">
        <f aca="false">_xlfn.STDEV.P(G25:G32)</f>
        <v>0.0212842473128243</v>
      </c>
      <c r="H34" s="3" t="n">
        <f aca="false">_xlfn.STDEV.P(H25:H32)</f>
        <v>0.251031963978246</v>
      </c>
      <c r="I34" s="3" t="n">
        <f aca="false">_xlfn.STDEV.P(I25:I32)</f>
        <v>0.0500261849802028</v>
      </c>
      <c r="J34" s="3" t="n">
        <f aca="false">_xlfn.STDEV.P(J25:J32)</f>
        <v>0.3379019378338</v>
      </c>
      <c r="K34" s="3" t="n">
        <f aca="false">_xlfn.STDEV.P(K25:K32)</f>
        <v>0.0471298163781351</v>
      </c>
      <c r="L34" s="3" t="n">
        <f aca="false">_xlfn.STDEV.P(L25:L32)</f>
        <v>0.01231276092648</v>
      </c>
      <c r="M34" s="3" t="n">
        <f aca="false">_xlfn.STDEV.P(M25:M32)</f>
        <v>0.00844122536805443</v>
      </c>
      <c r="N34" s="3" t="n">
        <f aca="false">_xlfn.STDEV.P(N25:N32)</f>
        <v>0.0658448764529332</v>
      </c>
      <c r="O34" s="3"/>
    </row>
    <row r="35" customFormat="false" ht="15" hidden="false" customHeight="false" outlineLevel="0" collapsed="false">
      <c r="C35" s="1" t="s">
        <v>66</v>
      </c>
      <c r="D35" s="3" t="n">
        <f aca="false">D33/$O$33*100</f>
        <v>38.1713505423278</v>
      </c>
      <c r="E35" s="3" t="n">
        <f aca="false">E33/$O$33*100</f>
        <v>0.0308652229011435</v>
      </c>
      <c r="F35" s="3" t="n">
        <f aca="false">F33/$O$33*100</f>
        <v>0.0334633534397403</v>
      </c>
      <c r="G35" s="3" t="n">
        <f aca="false">G33/$O$33*100</f>
        <v>0.0210405981322423</v>
      </c>
      <c r="H35" s="3" t="n">
        <f aca="false">H33/$O$33*100</f>
        <v>24.3113463342082</v>
      </c>
      <c r="I35" s="3" t="n">
        <f aca="false">I33/$O$33*100</f>
        <v>0.474875793743077</v>
      </c>
      <c r="J35" s="3" t="n">
        <f aca="false">J33/$O$33*100</f>
        <v>36.4613405274574</v>
      </c>
      <c r="K35" s="3" t="n">
        <f aca="false">K33/$O$33*100</f>
        <v>0.346999499966352</v>
      </c>
      <c r="L35" s="3" t="n">
        <f aca="false">L33/$O$33*100</f>
        <v>0.019194931629414</v>
      </c>
      <c r="M35" s="3" t="n">
        <f aca="false">M33/$O$33*100</f>
        <v>0.0101369683309184</v>
      </c>
      <c r="N35" s="3" t="n">
        <f aca="false">N33/$O$33*100</f>
        <v>0.119386227863715</v>
      </c>
      <c r="O35" s="3"/>
    </row>
    <row r="36" customFormat="false" ht="15" hidden="false" customHeight="false" outlineLevel="0" collapsed="false"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customFormat="false" ht="15" hidden="false" customHeight="false" outlineLevel="0" collapsed="false">
      <c r="A37" s="1" t="s">
        <v>112</v>
      </c>
      <c r="B37" s="1" t="s">
        <v>82</v>
      </c>
      <c r="C37" s="1" t="s">
        <v>102</v>
      </c>
      <c r="D37" s="3" t="n">
        <v>0.0699</v>
      </c>
      <c r="E37" s="3" t="n">
        <v>18.0056</v>
      </c>
      <c r="F37" s="3" t="n">
        <v>4.2155</v>
      </c>
      <c r="G37" s="3" t="n">
        <v>0.112</v>
      </c>
      <c r="H37" s="3" t="n">
        <v>67.3721</v>
      </c>
      <c r="I37" s="3" t="n">
        <v>0.5614</v>
      </c>
      <c r="J37" s="3" t="n">
        <v>5.1196</v>
      </c>
      <c r="K37" s="3" t="n">
        <v>0.1086</v>
      </c>
      <c r="L37" s="3" t="n">
        <v>0.0036</v>
      </c>
      <c r="M37" s="3" t="n">
        <v>0.0173</v>
      </c>
      <c r="N37" s="3" t="n">
        <v>0</v>
      </c>
      <c r="O37" s="3" t="n">
        <v>95.5857</v>
      </c>
    </row>
    <row r="38" customFormat="false" ht="15" hidden="false" customHeight="false" outlineLevel="0" collapsed="false">
      <c r="A38" s="1" t="s">
        <v>113</v>
      </c>
      <c r="B38" s="1" t="s">
        <v>82</v>
      </c>
      <c r="C38" s="1" t="s">
        <v>102</v>
      </c>
      <c r="D38" s="3" t="n">
        <v>0.1081</v>
      </c>
      <c r="E38" s="3" t="n">
        <v>17.3984</v>
      </c>
      <c r="F38" s="3" t="n">
        <v>4.0317</v>
      </c>
      <c r="G38" s="3" t="n">
        <v>0.1323</v>
      </c>
      <c r="H38" s="3" t="n">
        <v>68.3688</v>
      </c>
      <c r="I38" s="3" t="n">
        <v>0.4257</v>
      </c>
      <c r="J38" s="3" t="n">
        <v>5.1845</v>
      </c>
      <c r="K38" s="3" t="n">
        <v>0.0823</v>
      </c>
      <c r="L38" s="3" t="n">
        <v>0.0098</v>
      </c>
      <c r="M38" s="3" t="n">
        <v>0.0234</v>
      </c>
      <c r="N38" s="3" t="n">
        <v>0</v>
      </c>
      <c r="O38" s="3" t="n">
        <v>95.7651</v>
      </c>
    </row>
    <row r="39" customFormat="false" ht="15" hidden="false" customHeight="false" outlineLevel="0" collapsed="false">
      <c r="A39" s="1" t="s">
        <v>114</v>
      </c>
      <c r="B39" s="1" t="s">
        <v>82</v>
      </c>
      <c r="C39" s="1" t="s">
        <v>102</v>
      </c>
      <c r="D39" s="3" t="n">
        <v>0.0855</v>
      </c>
      <c r="E39" s="3" t="n">
        <v>16.8706</v>
      </c>
      <c r="F39" s="3" t="n">
        <v>4.7504</v>
      </c>
      <c r="G39" s="3" t="n">
        <v>0.4738</v>
      </c>
      <c r="H39" s="3" t="n">
        <v>67.8096</v>
      </c>
      <c r="I39" s="3" t="n">
        <v>0.5792</v>
      </c>
      <c r="J39" s="3" t="n">
        <v>5.1134</v>
      </c>
      <c r="K39" s="3" t="n">
        <v>0.0203</v>
      </c>
      <c r="L39" s="3" t="n">
        <v>0.0009</v>
      </c>
      <c r="M39" s="3" t="n">
        <v>0</v>
      </c>
      <c r="N39" s="3" t="n">
        <v>0</v>
      </c>
      <c r="O39" s="3" t="n">
        <v>95.7038</v>
      </c>
    </row>
    <row r="40" customFormat="false" ht="15" hidden="false" customHeight="false" outlineLevel="0" collapsed="false">
      <c r="A40" s="1" t="s">
        <v>115</v>
      </c>
      <c r="B40" s="1" t="s">
        <v>82</v>
      </c>
      <c r="C40" s="1" t="s">
        <v>102</v>
      </c>
      <c r="D40" s="3" t="n">
        <v>0.1324</v>
      </c>
      <c r="E40" s="3" t="n">
        <v>16.4823</v>
      </c>
      <c r="F40" s="3" t="n">
        <v>4.758</v>
      </c>
      <c r="G40" s="3" t="n">
        <v>0.0519</v>
      </c>
      <c r="H40" s="3" t="n">
        <v>69.2782</v>
      </c>
      <c r="I40" s="3" t="n">
        <v>0.498</v>
      </c>
      <c r="J40" s="3" t="n">
        <v>5.0761</v>
      </c>
      <c r="K40" s="3" t="n">
        <v>0.0132</v>
      </c>
      <c r="L40" s="3" t="n">
        <v>0.0071</v>
      </c>
      <c r="M40" s="3" t="n">
        <v>0</v>
      </c>
      <c r="N40" s="3" t="n">
        <v>0</v>
      </c>
      <c r="O40" s="3" t="n">
        <v>96.2971</v>
      </c>
    </row>
    <row r="41" customFormat="false" ht="15" hidden="false" customHeight="false" outlineLevel="0" collapsed="false">
      <c r="A41" s="1" t="s">
        <v>116</v>
      </c>
      <c r="B41" s="1" t="s">
        <v>82</v>
      </c>
      <c r="C41" s="1" t="s">
        <v>102</v>
      </c>
      <c r="D41" s="3" t="n">
        <v>0.1451</v>
      </c>
      <c r="E41" s="3" t="n">
        <v>16.5373</v>
      </c>
      <c r="F41" s="3" t="n">
        <v>4.6686</v>
      </c>
      <c r="G41" s="3" t="n">
        <v>0</v>
      </c>
      <c r="H41" s="3" t="n">
        <v>69.2458</v>
      </c>
      <c r="I41" s="3" t="n">
        <v>0.5008</v>
      </c>
      <c r="J41" s="3" t="n">
        <v>5.1122</v>
      </c>
      <c r="K41" s="3" t="n">
        <v>0.0065</v>
      </c>
      <c r="L41" s="3" t="n">
        <v>0.0308</v>
      </c>
      <c r="M41" s="3" t="n">
        <v>0</v>
      </c>
      <c r="N41" s="3" t="n">
        <v>0.0238</v>
      </c>
      <c r="O41" s="3" t="n">
        <v>96.2708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46"/>
  <sheetViews>
    <sheetView showFormulas="false" showGridLines="true" showRowColHeaders="true" showZeros="true" rightToLeft="false" tabSelected="false" showOutlineSymbols="true" defaultGridColor="true" view="normal" topLeftCell="A22" colorId="64" zoomScale="55" zoomScaleNormal="55" zoomScalePageLayoutView="100" workbookViewId="0">
      <selection pane="topLeft" activeCell="D46" activeCellId="0" sqref="D46"/>
    </sheetView>
  </sheetViews>
  <sheetFormatPr defaultColWidth="10.6445312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15" min="4" style="1" width="6.7"/>
    <col collapsed="false" customWidth="true" hidden="false" outlineLevel="0" max="24" min="16" style="1" width="6.9"/>
    <col collapsed="false" customWidth="true" hidden="false" outlineLevel="0" max="26" min="25" style="1" width="6.5"/>
  </cols>
  <sheetData>
    <row r="1" customFormat="false" ht="15" hidden="false" customHeight="false" outlineLevel="0" collapsed="false">
      <c r="D1" s="3" t="s">
        <v>65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1" t="s">
        <v>66</v>
      </c>
    </row>
    <row r="2" customFormat="false" ht="15" hidden="false" customHeight="false" outlineLevel="0" collapsed="false">
      <c r="B2" s="1" t="s">
        <v>67</v>
      </c>
      <c r="C2" s="1" t="s">
        <v>68</v>
      </c>
      <c r="D2" s="3" t="s">
        <v>15</v>
      </c>
      <c r="E2" s="3" t="s">
        <v>16</v>
      </c>
      <c r="F2" s="3" t="s">
        <v>17</v>
      </c>
      <c r="G2" s="3" t="s">
        <v>31</v>
      </c>
      <c r="H2" s="3" t="s">
        <v>18</v>
      </c>
      <c r="I2" s="3" t="s">
        <v>19</v>
      </c>
      <c r="J2" s="3" t="s">
        <v>20</v>
      </c>
      <c r="K2" s="3" t="s">
        <v>21</v>
      </c>
      <c r="L2" s="3" t="s">
        <v>22</v>
      </c>
      <c r="M2" s="3" t="s">
        <v>23</v>
      </c>
      <c r="N2" s="3" t="s">
        <v>24</v>
      </c>
      <c r="O2" s="3" t="s">
        <v>69</v>
      </c>
      <c r="P2" s="3" t="s">
        <v>15</v>
      </c>
      <c r="Q2" s="3" t="s">
        <v>16</v>
      </c>
      <c r="R2" s="3" t="s">
        <v>17</v>
      </c>
      <c r="S2" s="3" t="s">
        <v>31</v>
      </c>
      <c r="T2" s="3" t="s">
        <v>18</v>
      </c>
      <c r="U2" s="3" t="s">
        <v>19</v>
      </c>
      <c r="V2" s="3" t="s">
        <v>20</v>
      </c>
      <c r="W2" s="3" t="s">
        <v>21</v>
      </c>
      <c r="X2" s="3" t="s">
        <v>22</v>
      </c>
      <c r="Y2" s="3" t="s">
        <v>23</v>
      </c>
      <c r="Z2" s="3" t="s">
        <v>24</v>
      </c>
    </row>
    <row r="3" customFormat="false" ht="15" hidden="false" customHeight="false" outlineLevel="0" collapsed="false">
      <c r="A3" s="1" t="s">
        <v>124</v>
      </c>
      <c r="B3" s="1" t="s">
        <v>71</v>
      </c>
      <c r="C3" s="1" t="s">
        <v>3</v>
      </c>
      <c r="D3" s="3" t="n">
        <v>48.7948</v>
      </c>
      <c r="E3" s="3" t="n">
        <v>2.8172</v>
      </c>
      <c r="F3" s="3" t="n">
        <v>16.2193</v>
      </c>
      <c r="G3" s="3" t="n">
        <v>0.0557</v>
      </c>
      <c r="H3" s="3" t="n">
        <v>9.5017</v>
      </c>
      <c r="I3" s="3" t="n">
        <v>0.1924</v>
      </c>
      <c r="J3" s="3" t="n">
        <v>3.1102</v>
      </c>
      <c r="K3" s="3" t="n">
        <v>6.5632</v>
      </c>
      <c r="L3" s="3" t="n">
        <v>4.8047</v>
      </c>
      <c r="M3" s="3" t="n">
        <v>3.0058</v>
      </c>
      <c r="N3" s="3" t="n">
        <v>1.227</v>
      </c>
      <c r="O3" s="3" t="n">
        <f aca="false">SUM(D3:N3)</f>
        <v>96.292</v>
      </c>
      <c r="P3" s="3" t="n">
        <f aca="false">D3/$O3*100</f>
        <v>50.673783907282</v>
      </c>
      <c r="Q3" s="3" t="n">
        <f aca="false">E3/$O3*100</f>
        <v>2.92568437668758</v>
      </c>
      <c r="R3" s="3" t="n">
        <f aca="false">F3/$O3*100</f>
        <v>16.8438707265401</v>
      </c>
      <c r="S3" s="3" t="n">
        <f aca="false">G3/$O3*100</f>
        <v>0.0578448884642546</v>
      </c>
      <c r="T3" s="3" t="n">
        <f aca="false">H3/$O3*100</f>
        <v>9.86759024633407</v>
      </c>
      <c r="U3" s="3" t="n">
        <f aca="false">I3/$O3*100</f>
        <v>0.199808914551572</v>
      </c>
      <c r="V3" s="3" t="n">
        <f aca="false">J3/$O3*100</f>
        <v>3.22996718315125</v>
      </c>
      <c r="W3" s="3" t="n">
        <f aca="false">K3/$O3*100</f>
        <v>6.81593486478628</v>
      </c>
      <c r="X3" s="3" t="n">
        <f aca="false">L3/$O3*100</f>
        <v>4.98971877206829</v>
      </c>
      <c r="Y3" s="3" t="n">
        <f aca="false">M3/$O3*100</f>
        <v>3.12154696132597</v>
      </c>
      <c r="Z3" s="3" t="n">
        <f aca="false">N3/$O3*100</f>
        <v>1.27424915880862</v>
      </c>
    </row>
    <row r="4" customFormat="false" ht="15" hidden="false" customHeight="false" outlineLevel="0" collapsed="false">
      <c r="A4" s="1" t="s">
        <v>125</v>
      </c>
      <c r="B4" s="1" t="s">
        <v>71</v>
      </c>
      <c r="C4" s="1" t="s">
        <v>3</v>
      </c>
      <c r="D4" s="3" t="n">
        <v>49.005</v>
      </c>
      <c r="E4" s="3" t="n">
        <v>2.8391</v>
      </c>
      <c r="F4" s="3" t="n">
        <v>15.9378</v>
      </c>
      <c r="G4" s="3" t="n">
        <v>0</v>
      </c>
      <c r="H4" s="3" t="n">
        <v>9.6632</v>
      </c>
      <c r="I4" s="3" t="n">
        <v>0.1391</v>
      </c>
      <c r="J4" s="3" t="n">
        <v>3.1294</v>
      </c>
      <c r="K4" s="3" t="n">
        <v>6.6725</v>
      </c>
      <c r="L4" s="3" t="n">
        <v>4.7409</v>
      </c>
      <c r="M4" s="3" t="n">
        <v>2.9148</v>
      </c>
      <c r="N4" s="3" t="n">
        <v>1.0549</v>
      </c>
      <c r="O4" s="3" t="n">
        <f aca="false">SUM(D4:N4)</f>
        <v>96.0967</v>
      </c>
      <c r="P4" s="3" t="n">
        <f aca="false">D4/$O4*100</f>
        <v>50.9955076501066</v>
      </c>
      <c r="Q4" s="3" t="n">
        <f aca="false">E4/$O4*100</f>
        <v>2.95441987081762</v>
      </c>
      <c r="R4" s="3" t="n">
        <f aca="false">F4/$O4*100</f>
        <v>16.5851688975792</v>
      </c>
      <c r="S4" s="3" t="n">
        <f aca="false">G4/$O4*100</f>
        <v>0</v>
      </c>
      <c r="T4" s="3" t="n">
        <f aca="false">H4/$O4*100</f>
        <v>10.0557043061833</v>
      </c>
      <c r="U4" s="3" t="n">
        <f aca="false">I4/$O4*100</f>
        <v>0.144750027836544</v>
      </c>
      <c r="V4" s="3" t="n">
        <f aca="false">J4/$O4*100</f>
        <v>3.25651140986111</v>
      </c>
      <c r="W4" s="3" t="n">
        <f aca="false">K4/$O4*100</f>
        <v>6.94352667677454</v>
      </c>
      <c r="X4" s="3" t="n">
        <f aca="false">L4/$O4*100</f>
        <v>4.93346805873667</v>
      </c>
      <c r="Y4" s="3" t="n">
        <f aca="false">M4/$O4*100</f>
        <v>3.03319468826713</v>
      </c>
      <c r="Z4" s="3" t="n">
        <f aca="false">N4/$O4*100</f>
        <v>1.09774841383731</v>
      </c>
    </row>
    <row r="5" customFormat="false" ht="15" hidden="false" customHeight="false" outlineLevel="0" collapsed="false">
      <c r="A5" s="1" t="s">
        <v>126</v>
      </c>
      <c r="B5" s="1" t="s">
        <v>71</v>
      </c>
      <c r="C5" s="1" t="s">
        <v>3</v>
      </c>
      <c r="D5" s="3" t="n">
        <v>49.599</v>
      </c>
      <c r="E5" s="3" t="n">
        <v>2.5546</v>
      </c>
      <c r="F5" s="3" t="n">
        <v>16.3923</v>
      </c>
      <c r="G5" s="3" t="n">
        <v>0</v>
      </c>
      <c r="H5" s="3" t="n">
        <v>9.7126</v>
      </c>
      <c r="I5" s="3" t="n">
        <v>0.2564</v>
      </c>
      <c r="J5" s="3" t="n">
        <v>3.1224</v>
      </c>
      <c r="K5" s="3" t="n">
        <v>6.411</v>
      </c>
      <c r="L5" s="3" t="n">
        <v>4.8573</v>
      </c>
      <c r="M5" s="3" t="n">
        <v>2.838</v>
      </c>
      <c r="N5" s="3" t="n">
        <v>1.0493</v>
      </c>
      <c r="O5" s="3" t="n">
        <f aca="false">SUM(D5:N5)</f>
        <v>96.7929</v>
      </c>
      <c r="P5" s="3" t="n">
        <f aca="false">D5/$O5*100</f>
        <v>51.2423948450765</v>
      </c>
      <c r="Q5" s="3" t="n">
        <f aca="false">E5/$O5*100</f>
        <v>2.63924316762903</v>
      </c>
      <c r="R5" s="3" t="n">
        <f aca="false">F5/$O5*100</f>
        <v>16.9354363801477</v>
      </c>
      <c r="S5" s="3" t="n">
        <f aca="false">G5/$O5*100</f>
        <v>0</v>
      </c>
      <c r="T5" s="3" t="n">
        <f aca="false">H5/$O5*100</f>
        <v>10.0344136811688</v>
      </c>
      <c r="U5" s="3" t="n">
        <f aca="false">I5/$O5*100</f>
        <v>0.26489546237379</v>
      </c>
      <c r="V5" s="3" t="n">
        <f aca="false">J5/$O5*100</f>
        <v>3.22585644194977</v>
      </c>
      <c r="W5" s="3" t="n">
        <f aca="false">K5/$O5*100</f>
        <v>6.62341969297335</v>
      </c>
      <c r="X5" s="3" t="n">
        <f aca="false">L5/$O5*100</f>
        <v>5.01823997421299</v>
      </c>
      <c r="Y5" s="3" t="n">
        <f aca="false">M5/$O5*100</f>
        <v>2.9320332379751</v>
      </c>
      <c r="Z5" s="3" t="n">
        <f aca="false">N5/$O5*100</f>
        <v>1.08406711649305</v>
      </c>
    </row>
    <row r="6" customFormat="false" ht="15" hidden="false" customHeight="false" outlineLevel="0" collapsed="false">
      <c r="A6" s="1" t="s">
        <v>127</v>
      </c>
      <c r="B6" s="1" t="s">
        <v>71</v>
      </c>
      <c r="C6" s="1" t="s">
        <v>3</v>
      </c>
      <c r="D6" s="3" t="n">
        <v>49.2707</v>
      </c>
      <c r="E6" s="3" t="n">
        <v>2.5761</v>
      </c>
      <c r="F6" s="3" t="n">
        <v>16.2997</v>
      </c>
      <c r="G6" s="3" t="n">
        <v>0</v>
      </c>
      <c r="H6" s="3" t="n">
        <v>9.4568</v>
      </c>
      <c r="I6" s="3" t="n">
        <v>0.2644</v>
      </c>
      <c r="J6" s="3" t="n">
        <v>3.1038</v>
      </c>
      <c r="K6" s="3" t="n">
        <v>6.5573</v>
      </c>
      <c r="L6" s="3" t="n">
        <v>4.7221</v>
      </c>
      <c r="M6" s="3" t="n">
        <v>2.8495</v>
      </c>
      <c r="N6" s="3" t="n">
        <v>1.2445</v>
      </c>
      <c r="O6" s="3" t="n">
        <f aca="false">SUM(D6:N6)</f>
        <v>96.3449</v>
      </c>
      <c r="P6" s="3" t="n">
        <f aca="false">D6/$O6*100</f>
        <v>51.1399150344232</v>
      </c>
      <c r="Q6" s="3" t="n">
        <f aca="false">E6/$O6*100</f>
        <v>2.6738312043502</v>
      </c>
      <c r="R6" s="3" t="n">
        <f aca="false">F6/$O6*100</f>
        <v>16.9180724667315</v>
      </c>
      <c r="S6" s="3" t="n">
        <f aca="false">G6/$O6*100</f>
        <v>0</v>
      </c>
      <c r="T6" s="3" t="n">
        <f aca="false">H6/$O6*100</f>
        <v>9.81556885730329</v>
      </c>
      <c r="U6" s="3" t="n">
        <f aca="false">I6/$O6*100</f>
        <v>0.274430717142267</v>
      </c>
      <c r="V6" s="3" t="n">
        <f aca="false">J6/$O6*100</f>
        <v>3.22155090720941</v>
      </c>
      <c r="W6" s="3" t="n">
        <f aca="false">K6/$O6*100</f>
        <v>6.80606861390691</v>
      </c>
      <c r="X6" s="3" t="n">
        <f aca="false">L6/$O6*100</f>
        <v>4.9012454213975</v>
      </c>
      <c r="Y6" s="3" t="n">
        <f aca="false">M6/$O6*100</f>
        <v>2.95760336042697</v>
      </c>
      <c r="Z6" s="3" t="n">
        <f aca="false">N6/$O6*100</f>
        <v>1.29171341710874</v>
      </c>
    </row>
    <row r="7" customFormat="false" ht="15" hidden="false" customHeight="false" outlineLevel="0" collapsed="false">
      <c r="A7" s="1" t="s">
        <v>128</v>
      </c>
      <c r="B7" s="1" t="s">
        <v>71</v>
      </c>
      <c r="C7" s="1" t="s">
        <v>3</v>
      </c>
      <c r="D7" s="3" t="n">
        <v>49.3779</v>
      </c>
      <c r="E7" s="3" t="n">
        <v>2.5371</v>
      </c>
      <c r="F7" s="3" t="n">
        <v>16.1096</v>
      </c>
      <c r="G7" s="3" t="n">
        <v>0</v>
      </c>
      <c r="H7" s="3" t="n">
        <v>9.6469</v>
      </c>
      <c r="I7" s="3" t="n">
        <v>0.2025</v>
      </c>
      <c r="J7" s="3" t="n">
        <v>3.1137</v>
      </c>
      <c r="K7" s="3" t="n">
        <v>6.5235</v>
      </c>
      <c r="L7" s="3" t="n">
        <v>4.7725</v>
      </c>
      <c r="M7" s="3" t="n">
        <v>2.872</v>
      </c>
      <c r="N7" s="3" t="n">
        <v>1.3222</v>
      </c>
      <c r="O7" s="3" t="n">
        <f aca="false">SUM(D7:N7)</f>
        <v>96.4779</v>
      </c>
      <c r="P7" s="3" t="n">
        <f aca="false">D7/$O7*100</f>
        <v>51.1805294269465</v>
      </c>
      <c r="Q7" s="3" t="n">
        <f aca="false">E7/$O7*100</f>
        <v>2.62972141806569</v>
      </c>
      <c r="R7" s="3" t="n">
        <f aca="false">F7/$O7*100</f>
        <v>16.697710045513</v>
      </c>
      <c r="S7" s="3" t="n">
        <f aca="false">G7/$O7*100</f>
        <v>0</v>
      </c>
      <c r="T7" s="3" t="n">
        <f aca="false">H7/$O7*100</f>
        <v>9.99907750894246</v>
      </c>
      <c r="U7" s="3" t="n">
        <f aca="false">I7/$O7*100</f>
        <v>0.209892628259943</v>
      </c>
      <c r="V7" s="3" t="n">
        <f aca="false">J7/$O7*100</f>
        <v>3.22737124253326</v>
      </c>
      <c r="W7" s="3" t="n">
        <f aca="false">K7/$O7*100</f>
        <v>6.76165215038885</v>
      </c>
      <c r="X7" s="3" t="n">
        <f aca="false">L7/$O7*100</f>
        <v>4.94672873269422</v>
      </c>
      <c r="Y7" s="3" t="n">
        <f aca="false">M7/$O7*100</f>
        <v>2.97684754746942</v>
      </c>
      <c r="Z7" s="3" t="n">
        <f aca="false">N7/$O7*100</f>
        <v>1.37046929918665</v>
      </c>
    </row>
    <row r="8" customFormat="false" ht="15" hidden="false" customHeight="false" outlineLevel="0" collapsed="false">
      <c r="A8" s="1" t="s">
        <v>129</v>
      </c>
      <c r="B8" s="1" t="s">
        <v>71</v>
      </c>
      <c r="C8" s="1" t="s">
        <v>130</v>
      </c>
      <c r="D8" s="3" t="n">
        <v>49.397</v>
      </c>
      <c r="E8" s="3" t="n">
        <v>2.386</v>
      </c>
      <c r="F8" s="3" t="n">
        <v>16.5702</v>
      </c>
      <c r="G8" s="3" t="n">
        <v>0.0101</v>
      </c>
      <c r="H8" s="3" t="n">
        <v>9.5843</v>
      </c>
      <c r="I8" s="3" t="n">
        <v>0.2362</v>
      </c>
      <c r="J8" s="3" t="n">
        <v>3.1105</v>
      </c>
      <c r="K8" s="3" t="n">
        <v>6.5052</v>
      </c>
      <c r="L8" s="3" t="n">
        <v>4.8085</v>
      </c>
      <c r="M8" s="3" t="n">
        <v>2.8056</v>
      </c>
      <c r="N8" s="3" t="n">
        <v>1.0735</v>
      </c>
      <c r="O8" s="3" t="n">
        <f aca="false">SUM(D8:N8)</f>
        <v>96.4871</v>
      </c>
      <c r="P8" s="3" t="n">
        <f aca="false">D8/$O8*100</f>
        <v>51.1954447796648</v>
      </c>
      <c r="Q8" s="3" t="n">
        <f aca="false">E8/$O8*100</f>
        <v>2.47286943021399</v>
      </c>
      <c r="R8" s="3" t="n">
        <f aca="false">F8/$O8*100</f>
        <v>17.1734874402899</v>
      </c>
      <c r="S8" s="3" t="n">
        <f aca="false">G8/$O8*100</f>
        <v>0.0104677205553903</v>
      </c>
      <c r="T8" s="3" t="n">
        <f aca="false">H8/$O8*100</f>
        <v>9.93324496227993</v>
      </c>
      <c r="U8" s="3" t="n">
        <f aca="false">I8/$O8*100</f>
        <v>0.244799563879524</v>
      </c>
      <c r="V8" s="3" t="n">
        <f aca="false">J8/$O8*100</f>
        <v>3.22374700866748</v>
      </c>
      <c r="W8" s="3" t="n">
        <f aca="false">K8/$O8*100</f>
        <v>6.74204116405198</v>
      </c>
      <c r="X8" s="3" t="n">
        <f aca="false">L8/$O8*100</f>
        <v>4.98356775154399</v>
      </c>
      <c r="Y8" s="3" t="n">
        <f aca="false">M8/$O8*100</f>
        <v>2.90774621685179</v>
      </c>
      <c r="Z8" s="3" t="n">
        <f aca="false">N8/$O8*100</f>
        <v>1.11258396200114</v>
      </c>
    </row>
    <row r="9" customFormat="false" ht="15" hidden="false" customHeight="false" outlineLevel="0" collapsed="false">
      <c r="A9" s="1" t="s">
        <v>131</v>
      </c>
      <c r="B9" s="1" t="s">
        <v>71</v>
      </c>
      <c r="C9" s="1" t="s">
        <v>130</v>
      </c>
      <c r="D9" s="3" t="n">
        <v>49.5884</v>
      </c>
      <c r="E9" s="3" t="n">
        <v>2.5443</v>
      </c>
      <c r="F9" s="3" t="n">
        <v>16.3689</v>
      </c>
      <c r="G9" s="3" t="n">
        <v>0.0304</v>
      </c>
      <c r="H9" s="3" t="n">
        <v>9.2489</v>
      </c>
      <c r="I9" s="3" t="n">
        <v>0.2278</v>
      </c>
      <c r="J9" s="3" t="n">
        <v>3.1436</v>
      </c>
      <c r="K9" s="3" t="n">
        <v>6.6299</v>
      </c>
      <c r="L9" s="3" t="n">
        <v>4.8039</v>
      </c>
      <c r="M9" s="3" t="n">
        <v>2.8086</v>
      </c>
      <c r="N9" s="3" t="n">
        <v>1.1437</v>
      </c>
      <c r="O9" s="3" t="n">
        <f aca="false">SUM(D9:N9)</f>
        <v>96.5384</v>
      </c>
      <c r="P9" s="3" t="n">
        <f aca="false">D9/$O9*100</f>
        <v>51.3665028631094</v>
      </c>
      <c r="Q9" s="3" t="n">
        <f aca="false">E9/$O9*100</f>
        <v>2.63553156049821</v>
      </c>
      <c r="R9" s="3" t="n">
        <f aca="false">F9/$O9*100</f>
        <v>16.9558434778285</v>
      </c>
      <c r="S9" s="3" t="n">
        <f aca="false">G9/$O9*100</f>
        <v>0.0314900599139824</v>
      </c>
      <c r="T9" s="3" t="n">
        <f aca="false">H9/$O9*100</f>
        <v>9.58053997165895</v>
      </c>
      <c r="U9" s="3" t="n">
        <f aca="false">I9/$O9*100</f>
        <v>0.235968277908066</v>
      </c>
      <c r="V9" s="3" t="n">
        <f aca="false">J9/$O9*100</f>
        <v>3.25632080084194</v>
      </c>
      <c r="W9" s="3" t="n">
        <f aca="false">K9/$O9*100</f>
        <v>6.86762987578</v>
      </c>
      <c r="X9" s="3" t="n">
        <f aca="false">L9/$O9*100</f>
        <v>4.97615456647303</v>
      </c>
      <c r="Y9" s="3" t="n">
        <f aca="false">M9/$O9*100</f>
        <v>2.90930862744773</v>
      </c>
      <c r="Z9" s="3" t="n">
        <f aca="false">N9/$O9*100</f>
        <v>1.18470991854019</v>
      </c>
    </row>
    <row r="10" customFormat="false" ht="15" hidden="false" customHeight="false" outlineLevel="0" collapsed="false">
      <c r="A10" s="1" t="s">
        <v>132</v>
      </c>
      <c r="B10" s="1" t="s">
        <v>71</v>
      </c>
      <c r="C10" s="1" t="s">
        <v>130</v>
      </c>
      <c r="D10" s="3" t="n">
        <v>50.1061</v>
      </c>
      <c r="E10" s="3" t="n">
        <v>2.5421</v>
      </c>
      <c r="F10" s="3" t="n">
        <v>16.3019</v>
      </c>
      <c r="G10" s="3" t="n">
        <v>0.0184</v>
      </c>
      <c r="H10" s="3" t="n">
        <v>9.531</v>
      </c>
      <c r="I10" s="3" t="n">
        <v>0.232</v>
      </c>
      <c r="J10" s="3" t="n">
        <v>3.1427</v>
      </c>
      <c r="K10" s="3" t="n">
        <v>6.4968</v>
      </c>
      <c r="L10" s="3" t="n">
        <v>4.7865</v>
      </c>
      <c r="M10" s="3" t="n">
        <v>2.8526</v>
      </c>
      <c r="N10" s="3" t="n">
        <v>1.389</v>
      </c>
      <c r="O10" s="3" t="n">
        <f aca="false">SUM(D10:N10)</f>
        <v>97.3991</v>
      </c>
      <c r="P10" s="3" t="n">
        <f aca="false">D10/$O10*100</f>
        <v>51.4441098531711</v>
      </c>
      <c r="Q10" s="3" t="n">
        <f aca="false">E10/$O10*100</f>
        <v>2.60998304912468</v>
      </c>
      <c r="R10" s="3" t="n">
        <f aca="false">F10/$O10*100</f>
        <v>16.7372183110522</v>
      </c>
      <c r="S10" s="3" t="n">
        <f aca="false">G10/$O10*100</f>
        <v>0.0188913449918942</v>
      </c>
      <c r="T10" s="3" t="n">
        <f aca="false">H10/$O10*100</f>
        <v>9.78551136509475</v>
      </c>
      <c r="U10" s="3" t="n">
        <f aca="false">I10/$O10*100</f>
        <v>0.238195219463013</v>
      </c>
      <c r="V10" s="3" t="n">
        <f aca="false">J10/$O10*100</f>
        <v>3.22662119054488</v>
      </c>
      <c r="W10" s="3" t="n">
        <f aca="false">K10/$O10*100</f>
        <v>6.67028750779011</v>
      </c>
      <c r="X10" s="3" t="n">
        <f aca="false">L10/$O10*100</f>
        <v>4.91431645672291</v>
      </c>
      <c r="Y10" s="3" t="n">
        <f aca="false">M10/$O10*100</f>
        <v>2.9287744958629</v>
      </c>
      <c r="Z10" s="3" t="n">
        <f aca="false">N10/$O10*100</f>
        <v>1.42609120618158</v>
      </c>
    </row>
    <row r="11" customFormat="false" ht="15" hidden="false" customHeight="false" outlineLevel="0" collapsed="false">
      <c r="A11" s="1" t="s">
        <v>133</v>
      </c>
      <c r="B11" s="1" t="s">
        <v>71</v>
      </c>
      <c r="C11" s="1" t="s">
        <v>130</v>
      </c>
      <c r="D11" s="3" t="n">
        <v>49.8255</v>
      </c>
      <c r="E11" s="3" t="n">
        <v>2.7512</v>
      </c>
      <c r="F11" s="3" t="n">
        <v>16.2545</v>
      </c>
      <c r="G11" s="3" t="n">
        <v>0</v>
      </c>
      <c r="H11" s="3" t="n">
        <v>9.4255</v>
      </c>
      <c r="I11" s="3" t="n">
        <v>0.285</v>
      </c>
      <c r="J11" s="3" t="n">
        <v>3.0904</v>
      </c>
      <c r="K11" s="3" t="n">
        <v>6.63</v>
      </c>
      <c r="L11" s="3" t="n">
        <v>4.9609</v>
      </c>
      <c r="M11" s="3" t="n">
        <v>2.822</v>
      </c>
      <c r="N11" s="3" t="n">
        <v>0.9978</v>
      </c>
      <c r="O11" s="3" t="n">
        <f aca="false">SUM(D11:N11)</f>
        <v>97.0428</v>
      </c>
      <c r="P11" s="3" t="n">
        <f aca="false">D11/$O11*100</f>
        <v>51.3438400375917</v>
      </c>
      <c r="Q11" s="3" t="n">
        <f aca="false">E11/$O11*100</f>
        <v>2.83503773592683</v>
      </c>
      <c r="R11" s="3" t="n">
        <f aca="false">F11/$O11*100</f>
        <v>16.7498258500373</v>
      </c>
      <c r="S11" s="3" t="n">
        <f aca="false">G11/$O11*100</f>
        <v>0</v>
      </c>
      <c r="T11" s="3" t="n">
        <f aca="false">H11/$O11*100</f>
        <v>9.7127246946708</v>
      </c>
      <c r="U11" s="3" t="n">
        <f aca="false">I11/$O11*100</f>
        <v>0.293684848334961</v>
      </c>
      <c r="V11" s="3" t="n">
        <f aca="false">J11/$O11*100</f>
        <v>3.18457422910303</v>
      </c>
      <c r="W11" s="3" t="n">
        <f aca="false">K11/$O11*100</f>
        <v>6.83203699810805</v>
      </c>
      <c r="X11" s="3" t="n">
        <f aca="false">L11/$O11*100</f>
        <v>5.11207426001723</v>
      </c>
      <c r="Y11" s="3" t="n">
        <f aca="false">M11/$O11*100</f>
        <v>2.90799523509214</v>
      </c>
      <c r="Z11" s="3" t="n">
        <f aca="false">N11/$O11*100</f>
        <v>1.02820611111798</v>
      </c>
    </row>
    <row r="12" customFormat="false" ht="15" hidden="false" customHeight="false" outlineLevel="0" collapsed="false">
      <c r="A12" s="1" t="s">
        <v>134</v>
      </c>
      <c r="B12" s="1" t="s">
        <v>71</v>
      </c>
      <c r="C12" s="1" t="s">
        <v>130</v>
      </c>
      <c r="D12" s="3" t="n">
        <v>49.6711</v>
      </c>
      <c r="E12" s="3" t="n">
        <v>2.8001</v>
      </c>
      <c r="F12" s="3" t="n">
        <v>16.2027</v>
      </c>
      <c r="G12" s="3" t="n">
        <v>0</v>
      </c>
      <c r="H12" s="3" t="n">
        <v>9.4163</v>
      </c>
      <c r="I12" s="3" t="n">
        <v>0.2449</v>
      </c>
      <c r="J12" s="3" t="n">
        <v>3.0926</v>
      </c>
      <c r="K12" s="3" t="n">
        <v>6.5616</v>
      </c>
      <c r="L12" s="3" t="n">
        <v>4.7318</v>
      </c>
      <c r="M12" s="3" t="n">
        <v>2.9719</v>
      </c>
      <c r="N12" s="3" t="n">
        <v>1.1233</v>
      </c>
      <c r="O12" s="3" t="n">
        <f aca="false">SUM(D12:N12)</f>
        <v>96.8163</v>
      </c>
      <c r="P12" s="3" t="n">
        <f aca="false">D12/$O12*100</f>
        <v>51.3044807537574</v>
      </c>
      <c r="Q12" s="3" t="n">
        <f aca="false">E12/$O12*100</f>
        <v>2.89217827989708</v>
      </c>
      <c r="R12" s="3" t="n">
        <f aca="false">F12/$O12*100</f>
        <v>16.7355083803037</v>
      </c>
      <c r="S12" s="3" t="n">
        <f aca="false">G12/$O12*100</f>
        <v>0</v>
      </c>
      <c r="T12" s="3" t="n">
        <f aca="false">H12/$O12*100</f>
        <v>9.72594490803718</v>
      </c>
      <c r="U12" s="3" t="n">
        <f aca="false">I12/$O12*100</f>
        <v>0.252953273364093</v>
      </c>
      <c r="V12" s="3" t="n">
        <f aca="false">J12/$O12*100</f>
        <v>3.19429682811675</v>
      </c>
      <c r="W12" s="3" t="n">
        <f aca="false">K12/$O12*100</f>
        <v>6.77737116580576</v>
      </c>
      <c r="X12" s="3" t="n">
        <f aca="false">L12/$O12*100</f>
        <v>4.88740015885755</v>
      </c>
      <c r="Y12" s="3" t="n">
        <f aca="false">M12/$O12*100</f>
        <v>3.0696277383044</v>
      </c>
      <c r="Z12" s="3" t="n">
        <f aca="false">N12/$O12*100</f>
        <v>1.16023851355609</v>
      </c>
    </row>
    <row r="13" customFormat="false" ht="15" hidden="false" customHeight="false" outlineLevel="0" collapsed="false">
      <c r="A13" s="1" t="s">
        <v>135</v>
      </c>
      <c r="B13" s="1" t="s">
        <v>71</v>
      </c>
      <c r="C13" s="1" t="s">
        <v>130</v>
      </c>
      <c r="D13" s="3" t="n">
        <v>49.3341</v>
      </c>
      <c r="E13" s="3" t="n">
        <v>2.5484</v>
      </c>
      <c r="F13" s="3" t="n">
        <v>16.0839</v>
      </c>
      <c r="G13" s="3" t="n">
        <v>0</v>
      </c>
      <c r="H13" s="3" t="n">
        <v>9.5397</v>
      </c>
      <c r="I13" s="3" t="n">
        <v>0.1768</v>
      </c>
      <c r="J13" s="3" t="n">
        <v>3.1514</v>
      </c>
      <c r="K13" s="3" t="n">
        <v>6.5142</v>
      </c>
      <c r="L13" s="3" t="n">
        <v>4.742</v>
      </c>
      <c r="M13" s="3" t="n">
        <v>2.8824</v>
      </c>
      <c r="N13" s="3" t="n">
        <v>1.4088</v>
      </c>
      <c r="O13" s="3" t="n">
        <f aca="false">SUM(D13:N13)</f>
        <v>96.3817</v>
      </c>
      <c r="P13" s="3" t="n">
        <f aca="false">D13/$O13*100</f>
        <v>51.1861691586681</v>
      </c>
      <c r="Q13" s="3" t="n">
        <f aca="false">E13/$O13*100</f>
        <v>2.64407039925629</v>
      </c>
      <c r="R13" s="3" t="n">
        <f aca="false">F13/$O13*100</f>
        <v>16.6877114638982</v>
      </c>
      <c r="S13" s="3" t="n">
        <f aca="false">G13/$O13*100</f>
        <v>0</v>
      </c>
      <c r="T13" s="3" t="n">
        <f aca="false">H13/$O13*100</f>
        <v>9.89783330238002</v>
      </c>
      <c r="U13" s="3" t="n">
        <f aca="false">I13/$O13*100</f>
        <v>0.18343731226986</v>
      </c>
      <c r="V13" s="3" t="n">
        <f aca="false">J13/$O13*100</f>
        <v>3.26970783872872</v>
      </c>
      <c r="W13" s="3" t="n">
        <f aca="false">K13/$O13*100</f>
        <v>6.75875192074844</v>
      </c>
      <c r="X13" s="3" t="n">
        <f aca="false">L13/$O13*100</f>
        <v>4.92002112434207</v>
      </c>
      <c r="Y13" s="3" t="n">
        <f aca="false">M13/$O13*100</f>
        <v>2.99060921315976</v>
      </c>
      <c r="Z13" s="3" t="n">
        <f aca="false">N13/$O13*100</f>
        <v>1.46168826654853</v>
      </c>
    </row>
    <row r="14" customFormat="false" ht="15" hidden="false" customHeight="false" outlineLevel="0" collapsed="false">
      <c r="C14" s="1" t="s">
        <v>14</v>
      </c>
      <c r="D14" s="3" t="n">
        <f aca="false">AVERAGE(D3:D13)</f>
        <v>49.4517818181818</v>
      </c>
      <c r="E14" s="3" t="n">
        <f aca="false">AVERAGE(E3:E13)</f>
        <v>2.62692727272727</v>
      </c>
      <c r="F14" s="3" t="n">
        <f aca="false">AVERAGE(F3:F13)</f>
        <v>16.2491636363636</v>
      </c>
      <c r="G14" s="3" t="n">
        <f aca="false">AVERAGE(G3:G13)</f>
        <v>0.0104181818181818</v>
      </c>
      <c r="H14" s="3" t="n">
        <f aca="false">AVERAGE(H3:H13)</f>
        <v>9.52062727272727</v>
      </c>
      <c r="I14" s="3" t="n">
        <f aca="false">AVERAGE(I3:I13)</f>
        <v>0.223409090909091</v>
      </c>
      <c r="J14" s="3" t="n">
        <f aca="false">AVERAGE(J3:J13)</f>
        <v>3.11915454545454</v>
      </c>
      <c r="K14" s="3" t="n">
        <f aca="false">AVERAGE(K3:K13)</f>
        <v>6.55138181818182</v>
      </c>
      <c r="L14" s="3" t="n">
        <f aca="false">AVERAGE(L3:L13)</f>
        <v>4.79373636363636</v>
      </c>
      <c r="M14" s="3" t="n">
        <f aca="false">AVERAGE(M3:M13)</f>
        <v>2.87483636363636</v>
      </c>
      <c r="N14" s="3" t="n">
        <f aca="false">AVERAGE(N3:N13)</f>
        <v>1.18490909090909</v>
      </c>
      <c r="O14" s="3" t="n">
        <f aca="false">SUM(D14:N14)</f>
        <v>96.6063454545455</v>
      </c>
      <c r="P14" s="3" t="n">
        <f aca="false">AVERAGE(P3:P13)</f>
        <v>51.1884253008907</v>
      </c>
      <c r="Q14" s="3" t="n">
        <f aca="false">AVERAGE(Q3:Q13)</f>
        <v>2.71932459022429</v>
      </c>
      <c r="R14" s="3" t="n">
        <f aca="false">AVERAGE(R3:R13)</f>
        <v>16.8199866763565</v>
      </c>
      <c r="S14" s="3" t="n">
        <f aca="false">AVERAGE(S3:S13)</f>
        <v>0.0107903649023201</v>
      </c>
      <c r="T14" s="3" t="n">
        <f aca="false">AVERAGE(T3:T13)</f>
        <v>9.85528670945941</v>
      </c>
      <c r="U14" s="3" t="n">
        <f aca="false">AVERAGE(U3:U13)</f>
        <v>0.231165113216694</v>
      </c>
      <c r="V14" s="3" t="n">
        <f aca="false">AVERAGE(V3:V13)</f>
        <v>3.22877500733706</v>
      </c>
      <c r="W14" s="3" t="n">
        <f aca="false">AVERAGE(W3:W13)</f>
        <v>6.78170187555584</v>
      </c>
      <c r="X14" s="3" t="n">
        <f aca="false">AVERAGE(X3:X13)</f>
        <v>4.96208502518786</v>
      </c>
      <c r="Y14" s="3" t="n">
        <f aca="false">AVERAGE(Y3:Y13)</f>
        <v>2.97593521110757</v>
      </c>
      <c r="Z14" s="3" t="n">
        <f aca="false">AVERAGE(Z3:Z13)</f>
        <v>1.22652412576181</v>
      </c>
    </row>
    <row r="15" customFormat="false" ht="15" hidden="false" customHeight="false" outlineLevel="0" collapsed="false">
      <c r="C15" s="1" t="s">
        <v>81</v>
      </c>
      <c r="D15" s="3" t="n">
        <f aca="false">_xlfn.STDEV.P(D3:D13)</f>
        <v>0.349359681334507</v>
      </c>
      <c r="E15" s="3" t="n">
        <f aca="false">_xlfn.STDEV.P(E3:E13)</f>
        <v>0.141669423729451</v>
      </c>
      <c r="F15" s="3" t="n">
        <f aca="false">_xlfn.STDEV.P(F3:F13)</f>
        <v>0.162380245511058</v>
      </c>
      <c r="G15" s="3" t="n">
        <f aca="false">_xlfn.STDEV.P(G3:G13)</f>
        <v>0.0172502868583167</v>
      </c>
      <c r="H15" s="3" t="n">
        <f aca="false">_xlfn.STDEV.P(H3:H13)</f>
        <v>0.126437962444463</v>
      </c>
      <c r="I15" s="3" t="n">
        <f aca="false">_xlfn.STDEV.P(I3:I13)</f>
        <v>0.0404068278331421</v>
      </c>
      <c r="J15" s="3" t="n">
        <f aca="false">_xlfn.STDEV.P(J3:J13)</f>
        <v>0.0196788009444573</v>
      </c>
      <c r="K15" s="3" t="n">
        <f aca="false">_xlfn.STDEV.P(K3:K13)</f>
        <v>0.0702421243489821</v>
      </c>
      <c r="L15" s="3" t="n">
        <f aca="false">_xlfn.STDEV.P(L3:L13)</f>
        <v>0.0656194576565556</v>
      </c>
      <c r="M15" s="3" t="n">
        <f aca="false">_xlfn.STDEV.P(M3:M13)</f>
        <v>0.0623050307720342</v>
      </c>
      <c r="N15" s="3" t="n">
        <f aca="false">_xlfn.STDEV.P(N3:N13)</f>
        <v>0.13623496050137</v>
      </c>
      <c r="O15" s="3"/>
      <c r="P15" s="3" t="n">
        <f aca="false">_xlfn.STDEV.P(P3:P13)</f>
        <v>0.200491320760173</v>
      </c>
      <c r="Q15" s="3" t="n">
        <f aca="false">_xlfn.STDEV.P(Q3:Q13)</f>
        <v>0.148634290980191</v>
      </c>
      <c r="R15" s="3" t="n">
        <f aca="false">_xlfn.STDEV.P(R3:R13)</f>
        <v>0.157663965647316</v>
      </c>
      <c r="S15" s="3" t="n">
        <f aca="false">_xlfn.STDEV.P(S3:S13)</f>
        <v>0.0178970778774823</v>
      </c>
      <c r="T15" s="3" t="n">
        <f aca="false">_xlfn.STDEV.P(T3:T13)</f>
        <v>0.141406462468606</v>
      </c>
      <c r="U15" s="3" t="n">
        <f aca="false">_xlfn.STDEV.P(U3:U13)</f>
        <v>0.0413771137272507</v>
      </c>
      <c r="V15" s="3" t="n">
        <f aca="false">_xlfn.STDEV.P(V3:V13)</f>
        <v>0.0241962549170793</v>
      </c>
      <c r="W15" s="3" t="n">
        <f aca="false">_xlfn.STDEV.P(W3:W13)</f>
        <v>0.0841302978720517</v>
      </c>
      <c r="X15" s="3" t="n">
        <f aca="false">_xlfn.STDEV.P(X3:X13)</f>
        <v>0.0613917920030121</v>
      </c>
      <c r="Y15" s="3" t="n">
        <f aca="false">_xlfn.STDEV.P(Y3:Y13)</f>
        <v>0.0685354134458347</v>
      </c>
      <c r="Z15" s="3" t="n">
        <f aca="false">_xlfn.STDEV.P(Z3:Z13)</f>
        <v>0.140682918059071</v>
      </c>
    </row>
    <row r="16" customFormat="false" ht="15" hidden="false" customHeight="false" outlineLevel="0" collapsed="false">
      <c r="C16" s="1" t="s">
        <v>66</v>
      </c>
      <c r="D16" s="3" t="n">
        <f aca="false">D14/$O$14*100</f>
        <v>51.1889582257819</v>
      </c>
      <c r="E16" s="3" t="n">
        <f aca="false">E14/$O$14*100</f>
        <v>2.71920779154541</v>
      </c>
      <c r="F16" s="3" t="n">
        <f aca="false">F14/$O$14*100</f>
        <v>16.8199754994449</v>
      </c>
      <c r="G16" s="3" t="n">
        <f aca="false">G14/$O$14*100</f>
        <v>0.0107841589174737</v>
      </c>
      <c r="H16" s="3" t="n">
        <f aca="false">H14/$O$14*100</f>
        <v>9.85507445492476</v>
      </c>
      <c r="I16" s="3" t="n">
        <f aca="false">I14/$O$14*100</f>
        <v>0.231257160032213</v>
      </c>
      <c r="J16" s="3" t="n">
        <f aca="false">J14/$O$14*100</f>
        <v>3.22872636448312</v>
      </c>
      <c r="K16" s="3" t="n">
        <f aca="false">K14/$O$14*100</f>
        <v>6.7815232916189</v>
      </c>
      <c r="L16" s="3" t="n">
        <f aca="false">L14/$O$14*100</f>
        <v>4.96213405142406</v>
      </c>
      <c r="M16" s="3" t="n">
        <f aca="false">M14/$O$14*100</f>
        <v>2.97582560452927</v>
      </c>
      <c r="N16" s="3" t="n">
        <f aca="false">N14/$O$14*100</f>
        <v>1.22653339729801</v>
      </c>
      <c r="O16" s="3"/>
    </row>
    <row r="17" customFormat="false" ht="15" hidden="false" customHeight="false" outlineLevel="0" collapsed="false"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customFormat="false" ht="15" hidden="false" customHeight="false" outlineLevel="0" collapsed="false">
      <c r="A18" s="1" t="s">
        <v>136</v>
      </c>
      <c r="B18" s="1" t="s">
        <v>82</v>
      </c>
      <c r="C18" s="1" t="s">
        <v>137</v>
      </c>
      <c r="D18" s="3" t="n">
        <v>0.132</v>
      </c>
      <c r="E18" s="3" t="n">
        <v>19.9617</v>
      </c>
      <c r="F18" s="3" t="n">
        <v>4.5392</v>
      </c>
      <c r="G18" s="3" t="n">
        <v>0.1256</v>
      </c>
      <c r="H18" s="3" t="n">
        <v>66.0108</v>
      </c>
      <c r="I18" s="3" t="n">
        <v>0.4763</v>
      </c>
      <c r="J18" s="3" t="n">
        <v>5.2421</v>
      </c>
      <c r="K18" s="3" t="n">
        <v>0.0547</v>
      </c>
      <c r="L18" s="3" t="n">
        <v>0</v>
      </c>
      <c r="M18" s="3" t="n">
        <v>0</v>
      </c>
      <c r="N18" s="3" t="n">
        <v>0</v>
      </c>
      <c r="O18" s="3" t="n">
        <f aca="false">SUM(D18:N18)</f>
        <v>96.5424</v>
      </c>
    </row>
    <row r="19" customFormat="false" ht="15" hidden="false" customHeight="false" outlineLevel="0" collapsed="false">
      <c r="A19" s="1" t="s">
        <v>138</v>
      </c>
      <c r="B19" s="1" t="s">
        <v>82</v>
      </c>
      <c r="C19" s="1" t="s">
        <v>137</v>
      </c>
      <c r="D19" s="3" t="n">
        <v>0.086</v>
      </c>
      <c r="E19" s="3" t="n">
        <v>19.9018</v>
      </c>
      <c r="F19" s="3" t="n">
        <v>4.415</v>
      </c>
      <c r="G19" s="3" t="n">
        <v>0.1586</v>
      </c>
      <c r="H19" s="3" t="n">
        <v>65.7927</v>
      </c>
      <c r="I19" s="3" t="n">
        <v>0.5873</v>
      </c>
      <c r="J19" s="3" t="n">
        <v>5.1571</v>
      </c>
      <c r="K19" s="3" t="n">
        <v>0.0444</v>
      </c>
      <c r="L19" s="3" t="n">
        <v>0.0198</v>
      </c>
      <c r="M19" s="3" t="n">
        <v>0.0022</v>
      </c>
      <c r="N19" s="3" t="n">
        <v>0</v>
      </c>
      <c r="O19" s="3" t="n">
        <f aca="false">SUM(D19:N19)</f>
        <v>96.1649</v>
      </c>
    </row>
    <row r="20" customFormat="false" ht="15" hidden="false" customHeight="false" outlineLevel="0" collapsed="false">
      <c r="A20" s="1" t="s">
        <v>139</v>
      </c>
      <c r="B20" s="1" t="s">
        <v>82</v>
      </c>
      <c r="C20" s="1" t="s">
        <v>137</v>
      </c>
      <c r="D20" s="3" t="n">
        <v>0.0691</v>
      </c>
      <c r="E20" s="3" t="n">
        <v>19.7018</v>
      </c>
      <c r="F20" s="3" t="n">
        <v>4.5147</v>
      </c>
      <c r="G20" s="3" t="n">
        <v>0.0543</v>
      </c>
      <c r="H20" s="3" t="n">
        <v>66.0222</v>
      </c>
      <c r="I20" s="3" t="n">
        <v>0.4803</v>
      </c>
      <c r="J20" s="3" t="n">
        <v>5.1702</v>
      </c>
      <c r="K20" s="3" t="n">
        <v>0.0372</v>
      </c>
      <c r="L20" s="3" t="n">
        <v>0.0047</v>
      </c>
      <c r="M20" s="3" t="n">
        <v>0.0058</v>
      </c>
      <c r="N20" s="3" t="n">
        <v>0</v>
      </c>
      <c r="O20" s="3" t="n">
        <f aca="false">SUM(D20:N20)</f>
        <v>96.0603</v>
      </c>
    </row>
    <row r="21" customFormat="false" ht="15" hidden="false" customHeight="false" outlineLevel="0" collapsed="false">
      <c r="A21" s="1" t="s">
        <v>140</v>
      </c>
      <c r="B21" s="1" t="s">
        <v>82</v>
      </c>
      <c r="C21" s="1" t="s">
        <v>137</v>
      </c>
      <c r="D21" s="3" t="n">
        <v>0.0682</v>
      </c>
      <c r="E21" s="3" t="n">
        <v>20.1113</v>
      </c>
      <c r="F21" s="3" t="n">
        <v>4.4083</v>
      </c>
      <c r="G21" s="3" t="n">
        <v>0.2309</v>
      </c>
      <c r="H21" s="3" t="n">
        <v>66.0217</v>
      </c>
      <c r="I21" s="3" t="n">
        <v>0.5471</v>
      </c>
      <c r="J21" s="3" t="n">
        <v>5.2592</v>
      </c>
      <c r="K21" s="3" t="n">
        <v>0.0263</v>
      </c>
      <c r="L21" s="3" t="n">
        <v>0.0189</v>
      </c>
      <c r="M21" s="3" t="n">
        <v>0</v>
      </c>
      <c r="N21" s="3" t="n">
        <v>0</v>
      </c>
      <c r="O21" s="3" t="n">
        <f aca="false">SUM(D21:N21)</f>
        <v>96.6919</v>
      </c>
    </row>
    <row r="22" customFormat="false" ht="15" hidden="false" customHeight="false" outlineLevel="0" collapsed="false">
      <c r="A22" s="1" t="s">
        <v>141</v>
      </c>
      <c r="B22" s="1" t="s">
        <v>82</v>
      </c>
      <c r="C22" s="1" t="s">
        <v>137</v>
      </c>
      <c r="D22" s="3" t="n">
        <v>0.0807</v>
      </c>
      <c r="E22" s="3" t="n">
        <v>20.232</v>
      </c>
      <c r="F22" s="3" t="n">
        <v>4.4758</v>
      </c>
      <c r="G22" s="3" t="n">
        <v>0.1703</v>
      </c>
      <c r="H22" s="3" t="n">
        <v>65.8973</v>
      </c>
      <c r="I22" s="3" t="n">
        <v>0.4812</v>
      </c>
      <c r="J22" s="3" t="n">
        <v>5.235</v>
      </c>
      <c r="K22" s="3" t="n">
        <v>0.0267</v>
      </c>
      <c r="L22" s="3" t="n">
        <v>0.018</v>
      </c>
      <c r="M22" s="3" t="n">
        <v>0</v>
      </c>
      <c r="N22" s="3" t="n">
        <v>0</v>
      </c>
      <c r="O22" s="3" t="n">
        <f aca="false">SUM(D22:N22)</f>
        <v>96.617</v>
      </c>
    </row>
    <row r="23" customFormat="false" ht="15" hidden="false" customHeight="false" outlineLevel="0" collapsed="false">
      <c r="A23" s="1" t="s">
        <v>142</v>
      </c>
      <c r="B23" s="1" t="s">
        <v>82</v>
      </c>
      <c r="C23" s="1" t="s">
        <v>137</v>
      </c>
      <c r="D23" s="3" t="n">
        <v>0.0492</v>
      </c>
      <c r="E23" s="3" t="n">
        <v>20.1479</v>
      </c>
      <c r="F23" s="3" t="n">
        <v>4.4363</v>
      </c>
      <c r="G23" s="3" t="n">
        <v>0.0588</v>
      </c>
      <c r="H23" s="3" t="n">
        <v>66.1328</v>
      </c>
      <c r="I23" s="3" t="n">
        <v>0.6023</v>
      </c>
      <c r="J23" s="3" t="n">
        <v>5.1256</v>
      </c>
      <c r="K23" s="3" t="n">
        <v>0.0934</v>
      </c>
      <c r="L23" s="3" t="n">
        <v>0.0009</v>
      </c>
      <c r="M23" s="3" t="n">
        <v>0.0072</v>
      </c>
      <c r="N23" s="3" t="n">
        <v>0</v>
      </c>
      <c r="O23" s="3" t="n">
        <f aca="false">SUM(D23:N23)</f>
        <v>96.6544</v>
      </c>
    </row>
    <row r="24" customFormat="false" ht="15" hidden="false" customHeight="false" outlineLevel="0" collapsed="false">
      <c r="C24" s="1" t="s">
        <v>30</v>
      </c>
      <c r="D24" s="3" t="n">
        <f aca="false">AVERAGE(D18:D23)</f>
        <v>0.0808666666666667</v>
      </c>
      <c r="E24" s="3" t="n">
        <f aca="false">AVERAGE(E18:E23)</f>
        <v>20.0094166666667</v>
      </c>
      <c r="F24" s="3" t="n">
        <f aca="false">AVERAGE(F18:F23)</f>
        <v>4.46488333333333</v>
      </c>
      <c r="G24" s="3" t="n">
        <f aca="false">AVERAGE(G18:G23)</f>
        <v>0.133083333333333</v>
      </c>
      <c r="H24" s="3" t="n">
        <f aca="false">AVERAGE(H18:H23)</f>
        <v>65.9795833333333</v>
      </c>
      <c r="I24" s="3" t="n">
        <f aca="false">AVERAGE(I18:I23)</f>
        <v>0.529083333333333</v>
      </c>
      <c r="J24" s="3" t="n">
        <f aca="false">AVERAGE(J18:J23)</f>
        <v>5.1982</v>
      </c>
      <c r="K24" s="3" t="n">
        <f aca="false">AVERAGE(K18:K23)</f>
        <v>0.0471166666666667</v>
      </c>
      <c r="L24" s="3" t="n">
        <f aca="false">AVERAGE(L18:L23)</f>
        <v>0.0103833333333333</v>
      </c>
      <c r="M24" s="3" t="n">
        <f aca="false">AVERAGE(M18:M23)</f>
        <v>0.00253333333333333</v>
      </c>
      <c r="N24" s="3" t="n">
        <f aca="false">AVERAGE(N18:N23)</f>
        <v>0</v>
      </c>
      <c r="O24" s="3" t="n">
        <f aca="false">SUM(D24:N24)</f>
        <v>96.45515</v>
      </c>
    </row>
    <row r="25" customFormat="false" ht="15" hidden="false" customHeight="false" outlineLevel="0" collapsed="false">
      <c r="C25" s="1" t="s">
        <v>81</v>
      </c>
      <c r="D25" s="3" t="n">
        <f aca="false">_xlfn.STDEV.P(D18:D23)</f>
        <v>0.0256342002454187</v>
      </c>
      <c r="E25" s="3" t="n">
        <f aca="false">_xlfn.STDEV.P(E18:E23)</f>
        <v>0.176817904604961</v>
      </c>
      <c r="F25" s="3" t="n">
        <f aca="false">_xlfn.STDEV.P(F18:F23)</f>
        <v>0.0493809483055517</v>
      </c>
      <c r="G25" s="3" t="n">
        <f aca="false">_xlfn.STDEV.P(G18:G23)</f>
        <v>0.0624301053623615</v>
      </c>
      <c r="H25" s="3" t="n">
        <f aca="false">_xlfn.STDEV.P(H18:H23)</f>
        <v>0.107808277614581</v>
      </c>
      <c r="I25" s="3" t="n">
        <f aca="false">_xlfn.STDEV.P(I18:I23)</f>
        <v>0.0524931238883299</v>
      </c>
      <c r="J25" s="3" t="n">
        <f aca="false">_xlfn.STDEV.P(J18:J23)</f>
        <v>0.0495755652178233</v>
      </c>
      <c r="K25" s="3" t="n">
        <f aca="false">_xlfn.STDEV.P(K18:K23)</f>
        <v>0.022933048690094</v>
      </c>
      <c r="L25" s="3" t="n">
        <f aca="false">_xlfn.STDEV.P(L18:L23)</f>
        <v>0.00865321070791389</v>
      </c>
      <c r="M25" s="3" t="n">
        <f aca="false">_xlfn.STDEV.P(M18:M23)</f>
        <v>0.00293863157873789</v>
      </c>
      <c r="N25" s="3" t="n">
        <f aca="false">_xlfn.STDEV.P(N18:N23)</f>
        <v>0</v>
      </c>
      <c r="O25" s="3"/>
    </row>
    <row r="26" customFormat="false" ht="15" hidden="false" customHeight="false" outlineLevel="0" collapsed="false">
      <c r="C26" s="1" t="s">
        <v>66</v>
      </c>
      <c r="D26" s="3" t="n">
        <f aca="false">D24/$O$24*100</f>
        <v>0.083838619987286</v>
      </c>
      <c r="E26" s="3" t="n">
        <f aca="false">E24/$O$24*100</f>
        <v>20.7447882945251</v>
      </c>
      <c r="F26" s="3" t="n">
        <f aca="false">F24/$O$24*100</f>
        <v>4.62897350046455</v>
      </c>
      <c r="G26" s="3" t="n">
        <f aca="false">G24/$O$24*100</f>
        <v>0.137974315869431</v>
      </c>
      <c r="H26" s="3" t="n">
        <f aca="false">H24/$O$24*100</f>
        <v>68.4044173207271</v>
      </c>
      <c r="I26" s="3" t="n">
        <f aca="false">I24/$O$24*100</f>
        <v>0.548527821825308</v>
      </c>
      <c r="J26" s="3" t="n">
        <f aca="false">J24/$O$24*100</f>
        <v>5.38924049156525</v>
      </c>
      <c r="K26" s="3" t="n">
        <f aca="false">K24/$O$24*100</f>
        <v>0.0488482643660465</v>
      </c>
      <c r="L26" s="3" t="n">
        <f aca="false">L24/$O$24*100</f>
        <v>0.010764934099769</v>
      </c>
      <c r="M26" s="3" t="n">
        <f aca="false">M24/$O$24*100</f>
        <v>0.0026264365700881</v>
      </c>
      <c r="N26" s="3" t="n">
        <f aca="false">N24/$O$24*100</f>
        <v>0</v>
      </c>
      <c r="O26" s="3"/>
    </row>
    <row r="27" customFormat="false" ht="15" hidden="false" customHeight="false" outlineLevel="0" collapsed="false"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</row>
    <row r="28" customFormat="false" ht="15" hidden="false" customHeight="false" outlineLevel="0" collapsed="false">
      <c r="A28" s="1" t="s">
        <v>143</v>
      </c>
      <c r="B28" s="1" t="s">
        <v>82</v>
      </c>
      <c r="C28" s="1" t="s">
        <v>144</v>
      </c>
      <c r="D28" s="3" t="n">
        <v>38.4878</v>
      </c>
      <c r="E28" s="3" t="n">
        <v>0.0947</v>
      </c>
      <c r="F28" s="3" t="n">
        <v>0.0539</v>
      </c>
      <c r="G28" s="3" t="n">
        <v>0</v>
      </c>
      <c r="H28" s="3" t="n">
        <v>27.0147</v>
      </c>
      <c r="I28" s="3" t="n">
        <v>0.4455</v>
      </c>
      <c r="J28" s="3" t="n">
        <v>35.1049</v>
      </c>
      <c r="K28" s="3" t="n">
        <v>0.2936</v>
      </c>
      <c r="L28" s="3" t="n">
        <v>0</v>
      </c>
      <c r="M28" s="3" t="n">
        <v>0</v>
      </c>
      <c r="N28" s="3" t="n">
        <v>0.2204</v>
      </c>
      <c r="O28" s="3" t="n">
        <f aca="false">SUM(D28:N28)</f>
        <v>101.7155</v>
      </c>
    </row>
    <row r="29" customFormat="false" ht="15" hidden="false" customHeight="false" outlineLevel="0" collapsed="false">
      <c r="A29" s="1" t="s">
        <v>145</v>
      </c>
      <c r="B29" s="1" t="s">
        <v>82</v>
      </c>
      <c r="C29" s="1" t="s">
        <v>144</v>
      </c>
      <c r="D29" s="3" t="n">
        <v>38.122</v>
      </c>
      <c r="E29" s="3" t="n">
        <v>0.0142</v>
      </c>
      <c r="F29" s="3" t="n">
        <v>0.017</v>
      </c>
      <c r="G29" s="3" t="n">
        <v>0</v>
      </c>
      <c r="H29" s="3" t="n">
        <v>26.6199</v>
      </c>
      <c r="I29" s="3" t="n">
        <v>0.5502</v>
      </c>
      <c r="J29" s="3" t="n">
        <v>35.0272</v>
      </c>
      <c r="K29" s="3" t="n">
        <v>0.2864</v>
      </c>
      <c r="L29" s="3" t="n">
        <v>0.006</v>
      </c>
      <c r="M29" s="3" t="n">
        <v>0.0095</v>
      </c>
      <c r="N29" s="3" t="n">
        <v>0.0858</v>
      </c>
      <c r="O29" s="3" t="n">
        <f aca="false">SUM(D29:N29)</f>
        <v>100.7382</v>
      </c>
    </row>
    <row r="30" customFormat="false" ht="15" hidden="false" customHeight="false" outlineLevel="0" collapsed="false">
      <c r="A30" s="1" t="s">
        <v>124</v>
      </c>
      <c r="B30" s="1" t="s">
        <v>82</v>
      </c>
      <c r="C30" s="1" t="s">
        <v>144</v>
      </c>
      <c r="D30" s="3" t="n">
        <v>38.1458</v>
      </c>
      <c r="E30" s="3" t="n">
        <v>0</v>
      </c>
      <c r="F30" s="3" t="n">
        <v>0.0391</v>
      </c>
      <c r="G30" s="3" t="n">
        <v>0</v>
      </c>
      <c r="H30" s="3" t="n">
        <v>26.6694</v>
      </c>
      <c r="I30" s="3" t="n">
        <v>0.4917</v>
      </c>
      <c r="J30" s="3" t="n">
        <v>35.1515</v>
      </c>
      <c r="K30" s="3" t="n">
        <v>0.2875</v>
      </c>
      <c r="L30" s="3" t="n">
        <v>0.0219</v>
      </c>
      <c r="M30" s="3" t="n">
        <v>0</v>
      </c>
      <c r="N30" s="3" t="n">
        <v>0.1146</v>
      </c>
      <c r="O30" s="3" t="n">
        <f aca="false">SUM(D30:N30)</f>
        <v>100.9215</v>
      </c>
    </row>
    <row r="31" customFormat="false" ht="15" hidden="false" customHeight="false" outlineLevel="0" collapsed="false">
      <c r="A31" s="1" t="s">
        <v>146</v>
      </c>
      <c r="B31" s="1" t="s">
        <v>82</v>
      </c>
      <c r="C31" s="1" t="s">
        <v>144</v>
      </c>
      <c r="D31" s="3" t="n">
        <v>38.3374</v>
      </c>
      <c r="E31" s="3" t="n">
        <v>0.0261</v>
      </c>
      <c r="F31" s="3" t="n">
        <v>0.029</v>
      </c>
      <c r="G31" s="3" t="n">
        <v>0</v>
      </c>
      <c r="H31" s="3" t="n">
        <v>26.7374</v>
      </c>
      <c r="I31" s="3" t="n">
        <v>0.4786</v>
      </c>
      <c r="J31" s="3" t="n">
        <v>34.9989</v>
      </c>
      <c r="K31" s="3" t="n">
        <v>0.2485</v>
      </c>
      <c r="L31" s="3" t="n">
        <v>0.0173</v>
      </c>
      <c r="M31" s="3" t="n">
        <v>0</v>
      </c>
      <c r="N31" s="3" t="n">
        <v>0.0164</v>
      </c>
      <c r="O31" s="3" t="n">
        <f aca="false">SUM(D31:N31)</f>
        <v>100.8896</v>
      </c>
    </row>
    <row r="32" customFormat="false" ht="15" hidden="false" customHeight="false" outlineLevel="0" collapsed="false">
      <c r="A32" s="1" t="s">
        <v>147</v>
      </c>
      <c r="B32" s="1" t="s">
        <v>82</v>
      </c>
      <c r="C32" s="1" t="s">
        <v>144</v>
      </c>
      <c r="D32" s="3" t="n">
        <v>38.3306</v>
      </c>
      <c r="E32" s="3" t="n">
        <v>0.0095</v>
      </c>
      <c r="F32" s="3" t="n">
        <v>0.0431</v>
      </c>
      <c r="G32" s="3" t="n">
        <v>0</v>
      </c>
      <c r="H32" s="3" t="n">
        <v>26.3842</v>
      </c>
      <c r="I32" s="3" t="n">
        <v>0.6671</v>
      </c>
      <c r="J32" s="3" t="n">
        <v>35.2959</v>
      </c>
      <c r="K32" s="3" t="n">
        <v>0.266</v>
      </c>
      <c r="L32" s="3" t="n">
        <v>0.0285</v>
      </c>
      <c r="M32" s="3" t="n">
        <v>0.0025</v>
      </c>
      <c r="N32" s="3" t="n">
        <v>0.0205</v>
      </c>
      <c r="O32" s="3" t="n">
        <f aca="false">SUM(D32:N32)</f>
        <v>101.0479</v>
      </c>
    </row>
    <row r="33" customFormat="false" ht="15" hidden="false" customHeight="false" outlineLevel="0" collapsed="false">
      <c r="A33" s="1" t="s">
        <v>148</v>
      </c>
      <c r="B33" s="1" t="s">
        <v>82</v>
      </c>
      <c r="C33" s="1" t="s">
        <v>144</v>
      </c>
      <c r="D33" s="3" t="n">
        <v>38.4779</v>
      </c>
      <c r="E33" s="3" t="n">
        <v>0.0475</v>
      </c>
      <c r="F33" s="3" t="n">
        <v>0.032</v>
      </c>
      <c r="G33" s="3" t="n">
        <v>0.0592</v>
      </c>
      <c r="H33" s="3" t="n">
        <v>26.6568</v>
      </c>
      <c r="I33" s="3" t="n">
        <v>0.5779</v>
      </c>
      <c r="J33" s="3" t="n">
        <v>35.2798</v>
      </c>
      <c r="K33" s="3" t="n">
        <v>0.2293</v>
      </c>
      <c r="L33" s="3" t="n">
        <v>0.0272</v>
      </c>
      <c r="M33" s="3" t="n">
        <v>0.011</v>
      </c>
      <c r="N33" s="3" t="n">
        <v>0.1473</v>
      </c>
      <c r="O33" s="3" t="n">
        <f aca="false">SUM(D33:N33)</f>
        <v>101.5459</v>
      </c>
    </row>
    <row r="34" customFormat="false" ht="15" hidden="false" customHeight="false" outlineLevel="0" collapsed="false">
      <c r="A34" s="1" t="s">
        <v>149</v>
      </c>
      <c r="B34" s="1" t="s">
        <v>82</v>
      </c>
      <c r="C34" s="1" t="s">
        <v>144</v>
      </c>
      <c r="D34" s="3" t="n">
        <v>38.1494</v>
      </c>
      <c r="E34" s="3" t="n">
        <v>0.0713</v>
      </c>
      <c r="F34" s="3" t="n">
        <v>0.0551</v>
      </c>
      <c r="G34" s="3" t="n">
        <v>0.0494</v>
      </c>
      <c r="H34" s="3" t="n">
        <v>26.0258</v>
      </c>
      <c r="I34" s="3" t="n">
        <v>0.4946</v>
      </c>
      <c r="J34" s="3" t="n">
        <v>35.4754</v>
      </c>
      <c r="K34" s="3" t="n">
        <v>0.207</v>
      </c>
      <c r="L34" s="3" t="n">
        <v>0.002</v>
      </c>
      <c r="M34" s="3" t="n">
        <v>0.0005</v>
      </c>
      <c r="N34" s="3" t="n">
        <v>0.0614</v>
      </c>
      <c r="O34" s="3" t="n">
        <f aca="false">SUM(D34:N34)</f>
        <v>100.5919</v>
      </c>
    </row>
    <row r="35" customFormat="false" ht="15" hidden="false" customHeight="false" outlineLevel="0" collapsed="false">
      <c r="A35" s="1" t="s">
        <v>150</v>
      </c>
      <c r="B35" s="1" t="s">
        <v>82</v>
      </c>
      <c r="C35" s="1" t="s">
        <v>144</v>
      </c>
      <c r="D35" s="3" t="n">
        <v>38.2978</v>
      </c>
      <c r="E35" s="3" t="n">
        <v>0</v>
      </c>
      <c r="F35" s="3" t="n">
        <v>0.0391</v>
      </c>
      <c r="G35" s="3" t="n">
        <v>0</v>
      </c>
      <c r="H35" s="3" t="n">
        <v>26.3565</v>
      </c>
      <c r="I35" s="3" t="n">
        <v>0.489</v>
      </c>
      <c r="J35" s="3" t="n">
        <v>35.622</v>
      </c>
      <c r="K35" s="3" t="n">
        <v>0.1782</v>
      </c>
      <c r="L35" s="3" t="n">
        <v>0.0086</v>
      </c>
      <c r="M35" s="3" t="n">
        <v>0.006</v>
      </c>
      <c r="N35" s="3" t="n">
        <v>0.0942</v>
      </c>
      <c r="O35" s="3" t="n">
        <f aca="false">SUM(D35:N35)</f>
        <v>101.0914</v>
      </c>
    </row>
    <row r="36" customFormat="false" ht="15" hidden="false" customHeight="false" outlineLevel="0" collapsed="false">
      <c r="C36" s="1" t="s">
        <v>32</v>
      </c>
      <c r="D36" s="3" t="n">
        <f aca="false">AVERAGE(D27:D35)</f>
        <v>38.2935875</v>
      </c>
      <c r="E36" s="3" t="n">
        <f aca="false">AVERAGE(E27:E35)</f>
        <v>0.0329125</v>
      </c>
      <c r="F36" s="3" t="n">
        <f aca="false">AVERAGE(F27:F35)</f>
        <v>0.0385375</v>
      </c>
      <c r="G36" s="3" t="n">
        <f aca="false">AVERAGE(G27:G35)</f>
        <v>0.013575</v>
      </c>
      <c r="H36" s="3" t="n">
        <f aca="false">AVERAGE(H27:H35)</f>
        <v>26.5580875</v>
      </c>
      <c r="I36" s="3" t="n">
        <f aca="false">AVERAGE(I27:I35)</f>
        <v>0.524325</v>
      </c>
      <c r="J36" s="3" t="n">
        <f aca="false">AVERAGE(J27:J35)</f>
        <v>35.24445</v>
      </c>
      <c r="K36" s="3" t="n">
        <f aca="false">AVERAGE(K27:K35)</f>
        <v>0.2495625</v>
      </c>
      <c r="L36" s="3" t="n">
        <f aca="false">AVERAGE(L27:L35)</f>
        <v>0.0139375</v>
      </c>
      <c r="M36" s="3" t="n">
        <f aca="false">AVERAGE(M27:M35)</f>
        <v>0.0036875</v>
      </c>
      <c r="N36" s="3" t="n">
        <f aca="false">AVERAGE(N27:N35)</f>
        <v>0.095075</v>
      </c>
      <c r="O36" s="3" t="n">
        <f aca="false">SUM(D36:N36)</f>
        <v>101.0677375</v>
      </c>
    </row>
    <row r="37" customFormat="false" ht="15" hidden="false" customHeight="false" outlineLevel="0" collapsed="false">
      <c r="C37" s="1" t="s">
        <v>81</v>
      </c>
      <c r="D37" s="3" t="n">
        <f aca="false">_xlfn.STDEV.P(D27:D35)</f>
        <v>0.135586802800825</v>
      </c>
      <c r="E37" s="3" t="n">
        <f aca="false">_xlfn.STDEV.P(E27:E35)</f>
        <v>0.0328162854959241</v>
      </c>
      <c r="F37" s="3" t="n">
        <f aca="false">_xlfn.STDEV.P(F27:F35)</f>
        <v>0.0118813864405632</v>
      </c>
      <c r="G37" s="3" t="n">
        <f aca="false">_xlfn.STDEV.P(G27:G35)</f>
        <v>0.0236398894878974</v>
      </c>
      <c r="H37" s="3" t="n">
        <f aca="false">_xlfn.STDEV.P(H27:H35)</f>
        <v>0.27856949957551</v>
      </c>
      <c r="I37" s="3" t="n">
        <f aca="false">_xlfn.STDEV.P(I27:I35)</f>
        <v>0.0665436651755823</v>
      </c>
      <c r="J37" s="3" t="n">
        <f aca="false">_xlfn.STDEV.P(J27:J35)</f>
        <v>0.204751343096938</v>
      </c>
      <c r="K37" s="3" t="n">
        <f aca="false">_xlfn.STDEV.P(K27:K35)</f>
        <v>0.0392454117541146</v>
      </c>
      <c r="L37" s="3" t="n">
        <f aca="false">_xlfn.STDEV.P(L27:L35)</f>
        <v>0.0105529542664602</v>
      </c>
      <c r="M37" s="3" t="n">
        <f aca="false">_xlfn.STDEV.P(M27:M35)</f>
        <v>0.00425688780096446</v>
      </c>
      <c r="N37" s="3" t="n">
        <f aca="false">_xlfn.STDEV.P(N27:N35)</f>
        <v>0.0630347275317345</v>
      </c>
      <c r="O37" s="3"/>
    </row>
    <row r="38" customFormat="false" ht="15" hidden="false" customHeight="false" outlineLevel="0" collapsed="false">
      <c r="C38" s="1" t="s">
        <v>66</v>
      </c>
      <c r="D38" s="3" t="n">
        <f aca="false">D36/$O$36*100</f>
        <v>37.8890320959248</v>
      </c>
      <c r="E38" s="3" t="n">
        <f aca="false">E36/$O$36*100</f>
        <v>0.0325647934881297</v>
      </c>
      <c r="F38" s="3" t="n">
        <f aca="false">F36/$O$36*100</f>
        <v>0.0381303677644906</v>
      </c>
      <c r="G38" s="3" t="n">
        <f aca="false">G36/$O$36*100</f>
        <v>0.0134315859202844</v>
      </c>
      <c r="H38" s="3" t="n">
        <f aca="false">H36/$O$36*100</f>
        <v>26.2775126434388</v>
      </c>
      <c r="I38" s="3" t="n">
        <f aca="false">I36/$O$36*100</f>
        <v>0.518785730213858</v>
      </c>
      <c r="J38" s="3" t="n">
        <f aca="false">J36/$O$36*100</f>
        <v>34.8721074319092</v>
      </c>
      <c r="K38" s="3" t="n">
        <f aca="false">K36/$O$36*100</f>
        <v>0.24692597872788</v>
      </c>
      <c r="L38" s="3" t="n">
        <f aca="false">L36/$O$36*100</f>
        <v>0.0137902562625388</v>
      </c>
      <c r="M38" s="3" t="n">
        <f aca="false">M36/$O$36*100</f>
        <v>0.00364854313672551</v>
      </c>
      <c r="N38" s="3" t="n">
        <f aca="false">N36/$O$36*100</f>
        <v>0.0940705732133362</v>
      </c>
      <c r="O38" s="3"/>
    </row>
    <row r="39" customFormat="false" ht="15" hidden="false" customHeight="false" outlineLevel="0" collapsed="false"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customFormat="false" ht="15" hidden="false" customHeight="false" outlineLevel="0" collapsed="false">
      <c r="A40" s="1" t="s">
        <v>151</v>
      </c>
      <c r="B40" s="1" t="s">
        <v>82</v>
      </c>
      <c r="C40" s="1" t="s">
        <v>152</v>
      </c>
      <c r="D40" s="3" t="n">
        <v>53.7551</v>
      </c>
      <c r="E40" s="3" t="n">
        <v>0.1342</v>
      </c>
      <c r="F40" s="3" t="n">
        <v>28.855</v>
      </c>
      <c r="G40" s="3" t="n">
        <v>0</v>
      </c>
      <c r="H40" s="3" t="n">
        <v>0.4924</v>
      </c>
      <c r="I40" s="3" t="n">
        <v>0.0112</v>
      </c>
      <c r="J40" s="3" t="n">
        <v>0.0778</v>
      </c>
      <c r="K40" s="3" t="n">
        <v>11.4408</v>
      </c>
      <c r="L40" s="3" t="n">
        <v>4.5105</v>
      </c>
      <c r="M40" s="3" t="n">
        <v>0.456</v>
      </c>
      <c r="N40" s="3" t="n">
        <v>0</v>
      </c>
      <c r="O40" s="3" t="n">
        <f aca="false">SUM(D40:N40)</f>
        <v>99.733</v>
      </c>
    </row>
    <row r="41" customFormat="false" ht="15" hidden="false" customHeight="false" outlineLevel="0" collapsed="false">
      <c r="A41" s="1" t="s">
        <v>153</v>
      </c>
      <c r="B41" s="1" t="s">
        <v>82</v>
      </c>
      <c r="C41" s="1" t="s">
        <v>152</v>
      </c>
      <c r="D41" s="3" t="n">
        <v>53.7982</v>
      </c>
      <c r="E41" s="3" t="n">
        <v>0.1343</v>
      </c>
      <c r="F41" s="3" t="n">
        <v>29.0298</v>
      </c>
      <c r="G41" s="3" t="n">
        <v>0.0355</v>
      </c>
      <c r="H41" s="3" t="n">
        <v>0.6423</v>
      </c>
      <c r="I41" s="3" t="n">
        <v>0.0108</v>
      </c>
      <c r="J41" s="3" t="n">
        <v>0.0857</v>
      </c>
      <c r="K41" s="3" t="n">
        <v>11.7934</v>
      </c>
      <c r="L41" s="3" t="n">
        <v>4.2381</v>
      </c>
      <c r="M41" s="3" t="n">
        <v>0.3983</v>
      </c>
      <c r="N41" s="3" t="n">
        <v>0.0349</v>
      </c>
      <c r="O41" s="3" t="n">
        <f aca="false">SUM(D41:N41)</f>
        <v>100.2013</v>
      </c>
    </row>
    <row r="42" customFormat="false" ht="15" hidden="false" customHeight="false" outlineLevel="0" collapsed="false">
      <c r="A42" s="1" t="s">
        <v>154</v>
      </c>
      <c r="B42" s="1" t="s">
        <v>82</v>
      </c>
      <c r="C42" s="1" t="s">
        <v>152</v>
      </c>
      <c r="D42" s="3" t="n">
        <v>54.3247</v>
      </c>
      <c r="E42" s="3" t="n">
        <v>0.2199</v>
      </c>
      <c r="F42" s="3" t="n">
        <v>28.2519</v>
      </c>
      <c r="G42" s="3" t="n">
        <v>0.0054</v>
      </c>
      <c r="H42" s="3" t="n">
        <v>0.5896</v>
      </c>
      <c r="I42" s="3" t="n">
        <v>0</v>
      </c>
      <c r="J42" s="3" t="n">
        <v>0.0753</v>
      </c>
      <c r="K42" s="3" t="n">
        <v>10.9562</v>
      </c>
      <c r="L42" s="3" t="n">
        <v>4.7088</v>
      </c>
      <c r="M42" s="3" t="n">
        <v>0.4715</v>
      </c>
      <c r="N42" s="3" t="n">
        <v>0.0417</v>
      </c>
      <c r="O42" s="3" t="n">
        <f aca="false">SUM(D42:N42)</f>
        <v>99.645</v>
      </c>
    </row>
    <row r="43" customFormat="false" ht="15" hidden="false" customHeight="false" outlineLevel="0" collapsed="false">
      <c r="A43" s="1" t="s">
        <v>155</v>
      </c>
      <c r="B43" s="1" t="s">
        <v>82</v>
      </c>
      <c r="C43" s="1" t="s">
        <v>152</v>
      </c>
      <c r="D43" s="3" t="n">
        <v>54.096</v>
      </c>
      <c r="E43" s="3" t="n">
        <v>0.1365</v>
      </c>
      <c r="F43" s="3" t="n">
        <v>28.4315</v>
      </c>
      <c r="G43" s="3" t="n">
        <v>0.0299</v>
      </c>
      <c r="H43" s="3" t="n">
        <v>0.8085</v>
      </c>
      <c r="I43" s="3" t="n">
        <v>0</v>
      </c>
      <c r="J43" s="3" t="n">
        <v>0.1033</v>
      </c>
      <c r="K43" s="3" t="n">
        <v>10.9745</v>
      </c>
      <c r="L43" s="3" t="n">
        <v>4.5185</v>
      </c>
      <c r="M43" s="3" t="n">
        <v>0.4511</v>
      </c>
      <c r="N43" s="3" t="n">
        <v>0.0543</v>
      </c>
      <c r="O43" s="3" t="n">
        <f aca="false">SUM(D43:N43)</f>
        <v>99.6041</v>
      </c>
    </row>
    <row r="44" customFormat="false" ht="15" hidden="false" customHeight="false" outlineLevel="0" collapsed="false">
      <c r="C44" s="1" t="s">
        <v>33</v>
      </c>
      <c r="D44" s="3" t="n">
        <f aca="false">AVERAGE(D39:D43)</f>
        <v>53.9935</v>
      </c>
      <c r="E44" s="3" t="n">
        <f aca="false">AVERAGE(E39:E43)</f>
        <v>0.156225</v>
      </c>
      <c r="F44" s="3" t="n">
        <f aca="false">AVERAGE(F39:F43)</f>
        <v>28.64205</v>
      </c>
      <c r="G44" s="3" t="n">
        <f aca="false">AVERAGE(G39:G43)</f>
        <v>0.0177</v>
      </c>
      <c r="H44" s="3" t="n">
        <f aca="false">AVERAGE(H39:H43)</f>
        <v>0.6332</v>
      </c>
      <c r="I44" s="3" t="n">
        <f aca="false">AVERAGE(I39:I43)</f>
        <v>0.0055</v>
      </c>
      <c r="J44" s="3" t="n">
        <f aca="false">AVERAGE(J39:J43)</f>
        <v>0.085525</v>
      </c>
      <c r="K44" s="3" t="n">
        <f aca="false">AVERAGE(K39:K43)</f>
        <v>11.291225</v>
      </c>
      <c r="L44" s="3" t="n">
        <f aca="false">AVERAGE(L39:L43)</f>
        <v>4.493975</v>
      </c>
      <c r="M44" s="3" t="n">
        <f aca="false">AVERAGE(M39:M43)</f>
        <v>0.444225</v>
      </c>
      <c r="N44" s="3" t="n">
        <f aca="false">AVERAGE(N39:N43)</f>
        <v>0.032725</v>
      </c>
      <c r="O44" s="3" t="n">
        <f aca="false">SUM(D44:N44)</f>
        <v>99.79585</v>
      </c>
    </row>
    <row r="45" customFormat="false" ht="15" hidden="false" customHeight="false" outlineLevel="0" collapsed="false">
      <c r="C45" s="1" t="s">
        <v>81</v>
      </c>
      <c r="D45" s="3" t="n">
        <f aca="false">_xlfn.STDEV.P(D39:D43)</f>
        <v>0.231935519056482</v>
      </c>
      <c r="E45" s="3" t="n">
        <f aca="false">_xlfn.STDEV.P(E39:E43)</f>
        <v>0.0367742691973614</v>
      </c>
      <c r="F45" s="3" t="n">
        <f aca="false">_xlfn.STDEV.P(F39:F43)</f>
        <v>0.313147764641552</v>
      </c>
      <c r="G45" s="3" t="n">
        <f aca="false">_xlfn.STDEV.P(G39:G43)</f>
        <v>0.0152500819669928</v>
      </c>
      <c r="H45" s="3" t="n">
        <f aca="false">_xlfn.STDEV.P(H39:H43)</f>
        <v>0.114606391619316</v>
      </c>
      <c r="I45" s="3" t="n">
        <f aca="false">_xlfn.STDEV.P(I39:I43)</f>
        <v>0.00550181788139157</v>
      </c>
      <c r="J45" s="3" t="n">
        <f aca="false">_xlfn.STDEV.P(J39:J43)</f>
        <v>0.0109568186532405</v>
      </c>
      <c r="K45" s="3" t="n">
        <f aca="false">_xlfn.STDEV.P(K39:K43)</f>
        <v>0.348965932255571</v>
      </c>
      <c r="L45" s="3" t="n">
        <f aca="false">_xlfn.STDEV.P(L39:L43)</f>
        <v>0.167702375877624</v>
      </c>
      <c r="M45" s="3" t="n">
        <f aca="false">_xlfn.STDEV.P(M39:M43)</f>
        <v>0.0275633248175905</v>
      </c>
      <c r="N45" s="3" t="n">
        <f aca="false">_xlfn.STDEV.P(N39:N43)</f>
        <v>0.0201350906379882</v>
      </c>
      <c r="O45" s="3"/>
    </row>
    <row r="46" customFormat="false" ht="15" hidden="false" customHeight="false" outlineLevel="0" collapsed="false">
      <c r="C46" s="1" t="s">
        <v>66</v>
      </c>
      <c r="D46" s="3" t="n">
        <f aca="false">D44/$O$44*100</f>
        <v>54.1039532204997</v>
      </c>
      <c r="E46" s="3" t="n">
        <f aca="false">E44/$O$44*100</f>
        <v>0.156544585771853</v>
      </c>
      <c r="F46" s="3" t="n">
        <f aca="false">F44/$O$44*100</f>
        <v>28.7006423613808</v>
      </c>
      <c r="G46" s="3" t="n">
        <f aca="false">G44/$O$44*100</f>
        <v>0.0177362084695907</v>
      </c>
      <c r="H46" s="3" t="n">
        <f aca="false">H44/$O$44*100</f>
        <v>0.634495322200272</v>
      </c>
      <c r="I46" s="3" t="n">
        <f aca="false">I44/$O$44*100</f>
        <v>0.00551125121936433</v>
      </c>
      <c r="J46" s="3" t="n">
        <f aca="false">J44/$O$44*100</f>
        <v>0.0856999564611154</v>
      </c>
      <c r="K46" s="3" t="n">
        <f aca="false">K44/$O$44*100</f>
        <v>11.314323190794</v>
      </c>
      <c r="L46" s="3" t="n">
        <f aca="false">L44/$O$44*100</f>
        <v>4.50316821791688</v>
      </c>
      <c r="M46" s="3" t="n">
        <f aca="false">M44/$O$44*100</f>
        <v>0.445133740531295</v>
      </c>
      <c r="N46" s="3" t="n">
        <f aca="false">N44/$O$44*100</f>
        <v>0.0327919447552178</v>
      </c>
      <c r="O46" s="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37"/>
  <sheetViews>
    <sheetView showFormulas="false" showGridLines="true" showRowColHeaders="true" showZeros="true" rightToLeft="false" tabSelected="false" showOutlineSymbols="true" defaultGridColor="true" view="normal" topLeftCell="A25" colorId="64" zoomScale="55" zoomScaleNormal="55" zoomScalePageLayoutView="100" workbookViewId="0">
      <selection pane="topLeft" activeCell="D37" activeCellId="0" sqref="D37"/>
    </sheetView>
  </sheetViews>
  <sheetFormatPr defaultColWidth="10.6445312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15" min="4" style="1" width="6.7"/>
    <col collapsed="false" customWidth="true" hidden="false" outlineLevel="0" max="24" min="16" style="1" width="6.9"/>
    <col collapsed="false" customWidth="true" hidden="false" outlineLevel="0" max="26" min="25" style="1" width="6.5"/>
  </cols>
  <sheetData>
    <row r="1" customFormat="false" ht="15" hidden="false" customHeight="false" outlineLevel="0" collapsed="false">
      <c r="D1" s="3" t="s">
        <v>65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1" t="s">
        <v>66</v>
      </c>
    </row>
    <row r="2" customFormat="false" ht="15" hidden="false" customHeight="false" outlineLevel="0" collapsed="false">
      <c r="B2" s="1" t="s">
        <v>67</v>
      </c>
      <c r="C2" s="1" t="s">
        <v>68</v>
      </c>
      <c r="D2" s="3" t="s">
        <v>15</v>
      </c>
      <c r="E2" s="3" t="s">
        <v>16</v>
      </c>
      <c r="F2" s="3" t="s">
        <v>17</v>
      </c>
      <c r="G2" s="3" t="s">
        <v>31</v>
      </c>
      <c r="H2" s="3" t="s">
        <v>18</v>
      </c>
      <c r="I2" s="3" t="s">
        <v>19</v>
      </c>
      <c r="J2" s="3" t="s">
        <v>20</v>
      </c>
      <c r="K2" s="3" t="s">
        <v>21</v>
      </c>
      <c r="L2" s="3" t="s">
        <v>22</v>
      </c>
      <c r="M2" s="3" t="s">
        <v>23</v>
      </c>
      <c r="N2" s="3" t="s">
        <v>24</v>
      </c>
      <c r="O2" s="3" t="s">
        <v>69</v>
      </c>
      <c r="P2" s="3" t="s">
        <v>15</v>
      </c>
      <c r="Q2" s="3" t="s">
        <v>16</v>
      </c>
      <c r="R2" s="3" t="s">
        <v>17</v>
      </c>
      <c r="S2" s="3" t="s">
        <v>31</v>
      </c>
      <c r="T2" s="3" t="s">
        <v>18</v>
      </c>
      <c r="U2" s="3" t="s">
        <v>19</v>
      </c>
      <c r="V2" s="3" t="s">
        <v>20</v>
      </c>
      <c r="W2" s="3" t="s">
        <v>21</v>
      </c>
      <c r="X2" s="3" t="s">
        <v>22</v>
      </c>
      <c r="Y2" s="3" t="s">
        <v>23</v>
      </c>
      <c r="Z2" s="3" t="s">
        <v>24</v>
      </c>
    </row>
    <row r="3" customFormat="false" ht="15" hidden="false" customHeight="false" outlineLevel="0" collapsed="false">
      <c r="A3" s="1" t="s">
        <v>151</v>
      </c>
      <c r="B3" s="1" t="s">
        <v>71</v>
      </c>
      <c r="C3" s="1" t="s">
        <v>156</v>
      </c>
      <c r="D3" s="3" t="n">
        <v>47.3559</v>
      </c>
      <c r="E3" s="3" t="n">
        <v>2.49</v>
      </c>
      <c r="F3" s="3" t="n">
        <v>14.7137</v>
      </c>
      <c r="G3" s="3" t="n">
        <v>0</v>
      </c>
      <c r="H3" s="3" t="n">
        <v>11.829</v>
      </c>
      <c r="I3" s="3" t="n">
        <v>0.2032</v>
      </c>
      <c r="J3" s="3" t="n">
        <v>3.8654</v>
      </c>
      <c r="K3" s="3" t="n">
        <v>7.225</v>
      </c>
      <c r="L3" s="3" t="n">
        <v>5.0872</v>
      </c>
      <c r="M3" s="3" t="n">
        <v>3.3806</v>
      </c>
      <c r="N3" s="3" t="n">
        <v>1.6187</v>
      </c>
      <c r="O3" s="3" t="n">
        <f aca="false">SUM(D3:N3)</f>
        <v>97.7687</v>
      </c>
      <c r="P3" s="3" t="n">
        <f aca="false">D3/$O3*100</f>
        <v>48.4366673587764</v>
      </c>
      <c r="Q3" s="3" t="n">
        <f aca="false">E3/$O3*100</f>
        <v>2.5468273588582</v>
      </c>
      <c r="R3" s="3" t="n">
        <f aca="false">F3/$O3*100</f>
        <v>15.0494994819405</v>
      </c>
      <c r="S3" s="3" t="n">
        <f aca="false">G3/$O3*100</f>
        <v>0</v>
      </c>
      <c r="T3" s="3" t="n">
        <f aca="false">H3/$O3*100</f>
        <v>12.0989641879252</v>
      </c>
      <c r="U3" s="3" t="n">
        <f aca="false">I3/$O3*100</f>
        <v>0.207837477638549</v>
      </c>
      <c r="V3" s="3" t="n">
        <f aca="false">J3/$O3*100</f>
        <v>3.95361705740181</v>
      </c>
      <c r="W3" s="3" t="n">
        <f aca="false">K3/$O3*100</f>
        <v>7.38989062961868</v>
      </c>
      <c r="X3" s="3" t="n">
        <f aca="false">L3/$O3*100</f>
        <v>5.20330126103753</v>
      </c>
      <c r="Y3" s="3" t="n">
        <f aca="false">M3/$O3*100</f>
        <v>3.45775283909881</v>
      </c>
      <c r="Z3" s="3" t="n">
        <f aca="false">N3/$O3*100</f>
        <v>1.65564234770433</v>
      </c>
    </row>
    <row r="4" customFormat="false" ht="15" hidden="false" customHeight="false" outlineLevel="0" collapsed="false">
      <c r="A4" s="1" t="s">
        <v>153</v>
      </c>
      <c r="B4" s="1" t="s">
        <v>71</v>
      </c>
      <c r="C4" s="1" t="s">
        <v>156</v>
      </c>
      <c r="D4" s="3" t="n">
        <v>46.8208</v>
      </c>
      <c r="E4" s="3" t="n">
        <v>2.5319</v>
      </c>
      <c r="F4" s="3" t="n">
        <v>14.7882</v>
      </c>
      <c r="G4" s="3" t="n">
        <v>0</v>
      </c>
      <c r="H4" s="3" t="n">
        <v>11.7368</v>
      </c>
      <c r="I4" s="3" t="n">
        <v>0.2293</v>
      </c>
      <c r="J4" s="3" t="n">
        <v>3.7858</v>
      </c>
      <c r="K4" s="3" t="n">
        <v>7.1094</v>
      </c>
      <c r="L4" s="3" t="n">
        <v>5.0424</v>
      </c>
      <c r="M4" s="3" t="n">
        <v>3.3014</v>
      </c>
      <c r="N4" s="3" t="n">
        <v>1.6193</v>
      </c>
      <c r="O4" s="3" t="n">
        <f aca="false">SUM(D4:N4)</f>
        <v>96.9653</v>
      </c>
      <c r="P4" s="3" t="n">
        <f aca="false">D4/$O4*100</f>
        <v>48.2861394746368</v>
      </c>
      <c r="Q4" s="3" t="n">
        <f aca="false">E4/$O4*100</f>
        <v>2.61114027389179</v>
      </c>
      <c r="R4" s="3" t="n">
        <f aca="false">F4/$O4*100</f>
        <v>15.2510227885646</v>
      </c>
      <c r="S4" s="3" t="n">
        <f aca="false">G4/$O4*100</f>
        <v>0</v>
      </c>
      <c r="T4" s="3" t="n">
        <f aca="false">H4/$O4*100</f>
        <v>12.1041238463657</v>
      </c>
      <c r="U4" s="3" t="n">
        <f aca="false">I4/$O4*100</f>
        <v>0.236476347724392</v>
      </c>
      <c r="V4" s="3" t="n">
        <f aca="false">J4/$O4*100</f>
        <v>3.9042832848452</v>
      </c>
      <c r="W4" s="3" t="n">
        <f aca="false">K4/$O4*100</f>
        <v>7.33190120589531</v>
      </c>
      <c r="X4" s="3" t="n">
        <f aca="false">L4/$O4*100</f>
        <v>5.20021079705833</v>
      </c>
      <c r="Y4" s="3" t="n">
        <f aca="false">M4/$O4*100</f>
        <v>3.40472313291456</v>
      </c>
      <c r="Z4" s="3" t="n">
        <f aca="false">N4/$O4*100</f>
        <v>1.66997884810339</v>
      </c>
    </row>
    <row r="5" customFormat="false" ht="15" hidden="false" customHeight="false" outlineLevel="0" collapsed="false">
      <c r="A5" s="1" t="s">
        <v>136</v>
      </c>
      <c r="B5" s="1" t="s">
        <v>71</v>
      </c>
      <c r="C5" s="1" t="s">
        <v>156</v>
      </c>
      <c r="D5" s="3" t="n">
        <v>46.9924</v>
      </c>
      <c r="E5" s="3" t="n">
        <v>2.5004</v>
      </c>
      <c r="F5" s="3" t="n">
        <v>14.6651</v>
      </c>
      <c r="G5" s="3" t="n">
        <v>0.0619</v>
      </c>
      <c r="H5" s="3" t="n">
        <v>11.6337</v>
      </c>
      <c r="I5" s="3" t="n">
        <v>0.2662</v>
      </c>
      <c r="J5" s="3" t="n">
        <v>3.758</v>
      </c>
      <c r="K5" s="3" t="n">
        <v>7.1425</v>
      </c>
      <c r="L5" s="3" t="n">
        <v>5.1159</v>
      </c>
      <c r="M5" s="3" t="n">
        <v>3.437</v>
      </c>
      <c r="N5" s="3" t="n">
        <v>1.4877</v>
      </c>
      <c r="O5" s="3" t="n">
        <f aca="false">SUM(D5:N5)</f>
        <v>97.0608</v>
      </c>
      <c r="P5" s="3" t="n">
        <f aca="false">D5/$O5*100</f>
        <v>48.4154262070785</v>
      </c>
      <c r="Q5" s="3" t="n">
        <f aca="false">E5/$O5*100</f>
        <v>2.57611723785504</v>
      </c>
      <c r="R5" s="3" t="n">
        <f aca="false">F5/$O5*100</f>
        <v>15.1091892916605</v>
      </c>
      <c r="S5" s="3" t="n">
        <f aca="false">G5/$O5*100</f>
        <v>0.0637744588958673</v>
      </c>
      <c r="T5" s="3" t="n">
        <f aca="false">H5/$O5*100</f>
        <v>11.985992285248</v>
      </c>
      <c r="U5" s="3" t="n">
        <f aca="false">I5/$O5*100</f>
        <v>0.27426108171373</v>
      </c>
      <c r="V5" s="3" t="n">
        <f aca="false">J5/$O5*100</f>
        <v>3.87179994395266</v>
      </c>
      <c r="W5" s="3" t="n">
        <f aca="false">K5/$O5*100</f>
        <v>7.35878954222508</v>
      </c>
      <c r="X5" s="3" t="n">
        <f aca="false">L5/$O5*100</f>
        <v>5.27081993966668</v>
      </c>
      <c r="Y5" s="3" t="n">
        <f aca="false">M5/$O5*100</f>
        <v>3.54107940589816</v>
      </c>
      <c r="Z5" s="3" t="n">
        <f aca="false">N5/$O5*100</f>
        <v>1.53275060580585</v>
      </c>
    </row>
    <row r="6" customFormat="false" ht="15" hidden="false" customHeight="false" outlineLevel="0" collapsed="false">
      <c r="A6" s="1" t="s">
        <v>138</v>
      </c>
      <c r="B6" s="1" t="s">
        <v>71</v>
      </c>
      <c r="C6" s="1" t="s">
        <v>156</v>
      </c>
      <c r="D6" s="3" t="n">
        <v>46.9835</v>
      </c>
      <c r="E6" s="3" t="n">
        <v>2.2688</v>
      </c>
      <c r="F6" s="3" t="n">
        <v>14.5544</v>
      </c>
      <c r="G6" s="3" t="n">
        <v>0</v>
      </c>
      <c r="H6" s="3" t="n">
        <v>11.1714</v>
      </c>
      <c r="I6" s="3" t="n">
        <v>0.1811</v>
      </c>
      <c r="J6" s="3" t="n">
        <v>3.8262</v>
      </c>
      <c r="K6" s="3" t="n">
        <v>7.0968</v>
      </c>
      <c r="L6" s="3" t="n">
        <v>4.9452</v>
      </c>
      <c r="M6" s="3" t="n">
        <v>0</v>
      </c>
      <c r="N6" s="3" t="n">
        <v>1.6449</v>
      </c>
      <c r="O6" s="3" t="n">
        <f aca="false">SUM(D6:N6)</f>
        <v>92.6723</v>
      </c>
      <c r="P6" s="3" t="n">
        <f aca="false">D6/$O6*100</f>
        <v>50.6985366716915</v>
      </c>
      <c r="Q6" s="3" t="n">
        <f aca="false">E6/$O6*100</f>
        <v>2.44819649452965</v>
      </c>
      <c r="R6" s="3" t="n">
        <f aca="false">F6/$O6*100</f>
        <v>15.7052323078201</v>
      </c>
      <c r="S6" s="3" t="n">
        <f aca="false">G6/$O6*100</f>
        <v>0</v>
      </c>
      <c r="T6" s="3" t="n">
        <f aca="false">H6/$O6*100</f>
        <v>12.054734802093</v>
      </c>
      <c r="U6" s="3" t="n">
        <f aca="false">I6/$O6*100</f>
        <v>0.195419774841026</v>
      </c>
      <c r="V6" s="3" t="n">
        <f aca="false">J6/$O6*100</f>
        <v>4.12874181389693</v>
      </c>
      <c r="W6" s="3" t="n">
        <f aca="false">K6/$O6*100</f>
        <v>7.65795172883375</v>
      </c>
      <c r="X6" s="3" t="n">
        <f aca="false">L6/$O6*100</f>
        <v>5.33622236633816</v>
      </c>
      <c r="Y6" s="3" t="n">
        <f aca="false">M6/$O6*100</f>
        <v>0</v>
      </c>
      <c r="Z6" s="3" t="n">
        <f aca="false">N6/$O6*100</f>
        <v>1.77496403995584</v>
      </c>
    </row>
    <row r="7" customFormat="false" ht="15" hidden="false" customHeight="false" outlineLevel="0" collapsed="false">
      <c r="A7" s="1" t="s">
        <v>139</v>
      </c>
      <c r="B7" s="1" t="s">
        <v>71</v>
      </c>
      <c r="C7" s="1" t="s">
        <v>156</v>
      </c>
      <c r="D7" s="3" t="n">
        <v>46.8593</v>
      </c>
      <c r="E7" s="3" t="n">
        <v>2.3266</v>
      </c>
      <c r="F7" s="3" t="n">
        <v>14.7604</v>
      </c>
      <c r="G7" s="3" t="n">
        <v>0</v>
      </c>
      <c r="H7" s="3" t="n">
        <v>11.9572</v>
      </c>
      <c r="I7" s="3" t="n">
        <v>0.3076</v>
      </c>
      <c r="J7" s="3" t="n">
        <v>3.7907</v>
      </c>
      <c r="K7" s="3" t="n">
        <v>7.1434</v>
      </c>
      <c r="L7" s="3" t="n">
        <v>5.2316</v>
      </c>
      <c r="M7" s="3" t="n">
        <v>3.4279</v>
      </c>
      <c r="N7" s="3" t="n">
        <v>1.576</v>
      </c>
      <c r="O7" s="3" t="n">
        <f aca="false">SUM(D7:N7)</f>
        <v>97.3807</v>
      </c>
      <c r="P7" s="3" t="n">
        <f aca="false">D7/$O7*100</f>
        <v>48.1196992833282</v>
      </c>
      <c r="Q7" s="3" t="n">
        <f aca="false">E7/$O7*100</f>
        <v>2.38917978613832</v>
      </c>
      <c r="R7" s="3" t="n">
        <f aca="false">F7/$O7*100</f>
        <v>15.1574182563896</v>
      </c>
      <c r="S7" s="3" t="n">
        <f aca="false">G7/$O7*100</f>
        <v>0</v>
      </c>
      <c r="T7" s="3" t="n">
        <f aca="false">H7/$O7*100</f>
        <v>12.2788191089199</v>
      </c>
      <c r="U7" s="3" t="n">
        <f aca="false">I7/$O7*100</f>
        <v>0.315873679281418</v>
      </c>
      <c r="V7" s="3" t="n">
        <f aca="false">J7/$O7*100</f>
        <v>3.89266045530583</v>
      </c>
      <c r="W7" s="3" t="n">
        <f aca="false">K7/$O7*100</f>
        <v>7.33553979381951</v>
      </c>
      <c r="X7" s="3" t="n">
        <f aca="false">L7/$O7*100</f>
        <v>5.37231710184872</v>
      </c>
      <c r="Y7" s="3" t="n">
        <f aca="false">M7/$O7*100</f>
        <v>3.52010203253827</v>
      </c>
      <c r="Z7" s="3" t="n">
        <f aca="false">N7/$O7*100</f>
        <v>1.61839050243015</v>
      </c>
    </row>
    <row r="8" customFormat="false" ht="15" hidden="false" customHeight="false" outlineLevel="0" collapsed="false">
      <c r="A8" s="1" t="s">
        <v>143</v>
      </c>
      <c r="B8" s="1" t="s">
        <v>71</v>
      </c>
      <c r="C8" s="1" t="s">
        <v>156</v>
      </c>
      <c r="D8" s="3" t="n">
        <v>46.2426</v>
      </c>
      <c r="E8" s="3" t="n">
        <v>2.4899</v>
      </c>
      <c r="F8" s="3" t="n">
        <v>14.5853</v>
      </c>
      <c r="G8" s="3" t="n">
        <v>0</v>
      </c>
      <c r="H8" s="3" t="n">
        <v>11.5654</v>
      </c>
      <c r="I8" s="3" t="n">
        <v>0.225</v>
      </c>
      <c r="J8" s="3" t="n">
        <v>3.6781</v>
      </c>
      <c r="K8" s="3" t="n">
        <v>7.6598</v>
      </c>
      <c r="L8" s="3" t="n">
        <v>5.0151</v>
      </c>
      <c r="M8" s="3" t="n">
        <v>3.1905</v>
      </c>
      <c r="N8" s="3" t="n">
        <v>1.7659</v>
      </c>
      <c r="O8" s="3" t="n">
        <f aca="false">SUM(D8:N8)</f>
        <v>96.4176</v>
      </c>
      <c r="P8" s="3" t="n">
        <f aca="false">D8/$O8*100</f>
        <v>47.9607457559616</v>
      </c>
      <c r="Q8" s="3" t="n">
        <f aca="false">E8/$O8*100</f>
        <v>2.58241233965583</v>
      </c>
      <c r="R8" s="3" t="n">
        <f aca="false">F8/$O8*100</f>
        <v>15.1272174374803</v>
      </c>
      <c r="S8" s="3" t="n">
        <f aca="false">G8/$O8*100</f>
        <v>0</v>
      </c>
      <c r="T8" s="3" t="n">
        <f aca="false">H8/$O8*100</f>
        <v>11.995112925441</v>
      </c>
      <c r="U8" s="3" t="n">
        <f aca="false">I8/$O8*100</f>
        <v>0.233359884502414</v>
      </c>
      <c r="V8" s="3" t="n">
        <f aca="false">J8/$O8*100</f>
        <v>3.81475996083703</v>
      </c>
      <c r="W8" s="3" t="n">
        <f aca="false">K8/$O8*100</f>
        <v>7.94440019249597</v>
      </c>
      <c r="X8" s="3" t="n">
        <f aca="false">L8/$O8*100</f>
        <v>5.20143625230248</v>
      </c>
      <c r="Y8" s="3" t="n">
        <f aca="false">M8/$O8*100</f>
        <v>3.30904316224424</v>
      </c>
      <c r="Z8" s="3" t="n">
        <f aca="false">N8/$O8*100</f>
        <v>1.83151208907917</v>
      </c>
    </row>
    <row r="9" customFormat="false" ht="15" hidden="false" customHeight="false" outlineLevel="0" collapsed="false">
      <c r="A9" s="1" t="s">
        <v>124</v>
      </c>
      <c r="B9" s="1" t="s">
        <v>71</v>
      </c>
      <c r="C9" s="1" t="s">
        <v>156</v>
      </c>
      <c r="D9" s="3" t="n">
        <v>46.89</v>
      </c>
      <c r="E9" s="3" t="n">
        <v>2.5167</v>
      </c>
      <c r="F9" s="3" t="n">
        <v>14.7595</v>
      </c>
      <c r="G9" s="3" t="n">
        <v>0</v>
      </c>
      <c r="H9" s="3" t="n">
        <v>11.7885</v>
      </c>
      <c r="I9" s="3" t="n">
        <v>0.2357</v>
      </c>
      <c r="J9" s="3" t="n">
        <v>3.6985</v>
      </c>
      <c r="K9" s="3" t="n">
        <v>7.1515</v>
      </c>
      <c r="L9" s="3" t="n">
        <v>5.114</v>
      </c>
      <c r="M9" s="3" t="n">
        <v>3.268</v>
      </c>
      <c r="N9" s="3" t="n">
        <v>1.4841</v>
      </c>
      <c r="O9" s="3" t="n">
        <f aca="false">SUM(D9:N9)</f>
        <v>96.9065</v>
      </c>
      <c r="P9" s="3" t="n">
        <f aca="false">D9/$O9*100</f>
        <v>48.3868471155186</v>
      </c>
      <c r="Q9" s="3" t="n">
        <f aca="false">E9/$O9*100</f>
        <v>2.59703941428078</v>
      </c>
      <c r="R9" s="3" t="n">
        <f aca="false">F9/$O9*100</f>
        <v>15.230660482011</v>
      </c>
      <c r="S9" s="3" t="n">
        <f aca="false">G9/$O9*100</f>
        <v>0</v>
      </c>
      <c r="T9" s="3" t="n">
        <f aca="false">H9/$O9*100</f>
        <v>12.1648186654146</v>
      </c>
      <c r="U9" s="3" t="n">
        <f aca="false">I9/$O9*100</f>
        <v>0.243224138731664</v>
      </c>
      <c r="V9" s="3" t="n">
        <f aca="false">J9/$O9*100</f>
        <v>3.81656545226584</v>
      </c>
      <c r="W9" s="3" t="n">
        <f aca="false">K9/$O9*100</f>
        <v>7.37979392507211</v>
      </c>
      <c r="X9" s="3" t="n">
        <f aca="false">L9/$O9*100</f>
        <v>5.27725178393606</v>
      </c>
      <c r="Y9" s="3" t="n">
        <f aca="false">M9/$O9*100</f>
        <v>3.37232280600373</v>
      </c>
      <c r="Z9" s="3" t="n">
        <f aca="false">N9/$O9*100</f>
        <v>1.53147621676565</v>
      </c>
    </row>
    <row r="10" customFormat="false" ht="15" hidden="false" customHeight="false" outlineLevel="0" collapsed="false">
      <c r="A10" s="1" t="s">
        <v>146</v>
      </c>
      <c r="B10" s="1" t="s">
        <v>71</v>
      </c>
      <c r="C10" s="1" t="s">
        <v>156</v>
      </c>
      <c r="D10" s="3" t="n">
        <v>46.7364</v>
      </c>
      <c r="E10" s="3" t="n">
        <v>2.4894</v>
      </c>
      <c r="F10" s="3" t="n">
        <v>14.3054</v>
      </c>
      <c r="G10" s="3" t="n">
        <v>0.0398</v>
      </c>
      <c r="H10" s="3" t="n">
        <v>11.7985</v>
      </c>
      <c r="I10" s="3" t="n">
        <v>0.347</v>
      </c>
      <c r="J10" s="3" t="n">
        <v>3.7285</v>
      </c>
      <c r="K10" s="3" t="n">
        <v>7.1909</v>
      </c>
      <c r="L10" s="3" t="n">
        <v>5.0398</v>
      </c>
      <c r="M10" s="3" t="n">
        <v>3.3219</v>
      </c>
      <c r="N10" s="3" t="n">
        <v>1.5311</v>
      </c>
      <c r="O10" s="3" t="n">
        <f aca="false">SUM(D10:N10)</f>
        <v>96.5287</v>
      </c>
      <c r="P10" s="3" t="n">
        <f aca="false">D10/$O10*100</f>
        <v>48.4171028927148</v>
      </c>
      <c r="Q10" s="3" t="n">
        <f aca="false">E10/$O10*100</f>
        <v>2.57892212367928</v>
      </c>
      <c r="R10" s="3" t="n">
        <f aca="false">F10/$O10*100</f>
        <v>14.8198411456904</v>
      </c>
      <c r="S10" s="3" t="n">
        <f aca="false">G10/$O10*100</f>
        <v>0.0412312607545735</v>
      </c>
      <c r="T10" s="3" t="n">
        <f aca="false">H10/$O10*100</f>
        <v>12.222789698815</v>
      </c>
      <c r="U10" s="3" t="n">
        <f aca="false">I10/$O10*100</f>
        <v>0.359478579945653</v>
      </c>
      <c r="V10" s="3" t="n">
        <f aca="false">J10/$O10*100</f>
        <v>3.86258180209616</v>
      </c>
      <c r="W10" s="3" t="n">
        <f aca="false">K10/$O10*100</f>
        <v>7.44949429547896</v>
      </c>
      <c r="X10" s="3" t="n">
        <f aca="false">L10/$O10*100</f>
        <v>5.22103788821356</v>
      </c>
      <c r="Y10" s="3" t="n">
        <f aca="false">M10/$O10*100</f>
        <v>3.4413599271512</v>
      </c>
      <c r="Z10" s="3" t="n">
        <f aca="false">N10/$O10*100</f>
        <v>1.58616038546049</v>
      </c>
    </row>
    <row r="11" customFormat="false" ht="15" hidden="false" customHeight="false" outlineLevel="0" collapsed="false">
      <c r="A11" s="1" t="s">
        <v>147</v>
      </c>
      <c r="B11" s="1" t="s">
        <v>71</v>
      </c>
      <c r="C11" s="1" t="s">
        <v>156</v>
      </c>
      <c r="D11" s="3" t="n">
        <v>46.4354</v>
      </c>
      <c r="E11" s="3" t="n">
        <v>2.5926</v>
      </c>
      <c r="F11" s="3" t="n">
        <v>14.7906</v>
      </c>
      <c r="G11" s="3" t="n">
        <v>0</v>
      </c>
      <c r="H11" s="3" t="n">
        <v>11.9805</v>
      </c>
      <c r="I11" s="3" t="n">
        <v>0.2986</v>
      </c>
      <c r="J11" s="3" t="n">
        <v>3.7708</v>
      </c>
      <c r="K11" s="3" t="n">
        <v>7.166</v>
      </c>
      <c r="L11" s="3" t="n">
        <v>5.0649</v>
      </c>
      <c r="M11" s="3" t="n">
        <v>3.4175</v>
      </c>
      <c r="N11" s="3" t="n">
        <v>1.7039</v>
      </c>
      <c r="O11" s="3" t="n">
        <f aca="false">SUM(D11:N11)</f>
        <v>97.2208</v>
      </c>
      <c r="P11" s="3" t="n">
        <f aca="false">D11/$O11*100</f>
        <v>47.7628244161743</v>
      </c>
      <c r="Q11" s="3" t="n">
        <f aca="false">E11/$O11*100</f>
        <v>2.66671329592021</v>
      </c>
      <c r="R11" s="3" t="n">
        <f aca="false">F11/$O11*100</f>
        <v>15.2134111218998</v>
      </c>
      <c r="S11" s="3" t="n">
        <f aca="false">G11/$O11*100</f>
        <v>0</v>
      </c>
      <c r="T11" s="3" t="n">
        <f aca="false">H11/$O11*100</f>
        <v>12.3229802675971</v>
      </c>
      <c r="U11" s="3" t="n">
        <f aca="false">I11/$O11*100</f>
        <v>0.307135921531195</v>
      </c>
      <c r="V11" s="3" t="n">
        <f aca="false">J11/$O11*100</f>
        <v>3.87859388114478</v>
      </c>
      <c r="W11" s="3" t="n">
        <f aca="false">K11/$O11*100</f>
        <v>7.37085068215855</v>
      </c>
      <c r="X11" s="3" t="n">
        <f aca="false">L11/$O11*100</f>
        <v>5.20968763885917</v>
      </c>
      <c r="Y11" s="3" t="n">
        <f aca="false">M11/$O11*100</f>
        <v>3.51519427941346</v>
      </c>
      <c r="Z11" s="3" t="n">
        <f aca="false">N11/$O11*100</f>
        <v>1.75260849530142</v>
      </c>
    </row>
    <row r="12" customFormat="false" ht="15" hidden="false" customHeight="false" outlineLevel="0" collapsed="false">
      <c r="A12" s="1" t="s">
        <v>148</v>
      </c>
      <c r="B12" s="1" t="s">
        <v>71</v>
      </c>
      <c r="C12" s="1" t="s">
        <v>156</v>
      </c>
      <c r="D12" s="3" t="n">
        <v>46.8877</v>
      </c>
      <c r="E12" s="3" t="n">
        <v>2.5715</v>
      </c>
      <c r="F12" s="3" t="n">
        <v>14.6651</v>
      </c>
      <c r="G12" s="3" t="n">
        <v>0</v>
      </c>
      <c r="H12" s="3" t="n">
        <v>11.8741</v>
      </c>
      <c r="I12" s="3" t="n">
        <v>0.2289</v>
      </c>
      <c r="J12" s="3" t="n">
        <v>3.5774</v>
      </c>
      <c r="K12" s="3" t="n">
        <v>7.0331</v>
      </c>
      <c r="L12" s="3" t="n">
        <v>5.218</v>
      </c>
      <c r="M12" s="3" t="n">
        <v>3.3624</v>
      </c>
      <c r="N12" s="3" t="n">
        <v>1.6632</v>
      </c>
      <c r="O12" s="3" t="n">
        <f aca="false">SUM(D12:N12)</f>
        <v>97.0814</v>
      </c>
      <c r="P12" s="3" t="n">
        <f aca="false">D12/$O12*100</f>
        <v>48.297305148051</v>
      </c>
      <c r="Q12" s="3" t="n">
        <f aca="false">E12/$O12*100</f>
        <v>2.64880811360364</v>
      </c>
      <c r="R12" s="3" t="n">
        <f aca="false">F12/$O12*100</f>
        <v>15.1059832264471</v>
      </c>
      <c r="S12" s="3" t="n">
        <f aca="false">G12/$O12*100</f>
        <v>0</v>
      </c>
      <c r="T12" s="3" t="n">
        <f aca="false">H12/$O12*100</f>
        <v>12.2310761896718</v>
      </c>
      <c r="U12" s="3" t="n">
        <f aca="false">I12/$O12*100</f>
        <v>0.235781519425966</v>
      </c>
      <c r="V12" s="3" t="n">
        <f aca="false">J12/$O12*100</f>
        <v>3.68494891915444</v>
      </c>
      <c r="W12" s="3" t="n">
        <f aca="false">K12/$O12*100</f>
        <v>7.24453911871893</v>
      </c>
      <c r="X12" s="3" t="n">
        <f aca="false">L12/$O12*100</f>
        <v>5.37487098455523</v>
      </c>
      <c r="Y12" s="3" t="n">
        <f aca="false">M12/$O12*100</f>
        <v>3.46348528142363</v>
      </c>
      <c r="Z12" s="3" t="n">
        <f aca="false">N12/$O12*100</f>
        <v>1.71320149894831</v>
      </c>
    </row>
    <row r="13" customFormat="false" ht="15" hidden="false" customHeight="false" outlineLevel="0" collapsed="false">
      <c r="A13" s="1" t="s">
        <v>149</v>
      </c>
      <c r="B13" s="1" t="s">
        <v>71</v>
      </c>
      <c r="C13" s="1" t="s">
        <v>156</v>
      </c>
      <c r="D13" s="3" t="n">
        <v>46.6114</v>
      </c>
      <c r="E13" s="3" t="n">
        <v>2.5043</v>
      </c>
      <c r="F13" s="3" t="n">
        <v>14.971</v>
      </c>
      <c r="G13" s="3" t="n">
        <v>0</v>
      </c>
      <c r="H13" s="3" t="n">
        <v>11.5286</v>
      </c>
      <c r="I13" s="3" t="n">
        <v>0.3302</v>
      </c>
      <c r="J13" s="3" t="n">
        <v>3.5041</v>
      </c>
      <c r="K13" s="3" t="n">
        <v>7.1215</v>
      </c>
      <c r="L13" s="3" t="n">
        <v>4.6109</v>
      </c>
      <c r="M13" s="3" t="n">
        <v>3.3553</v>
      </c>
      <c r="N13" s="3" t="n">
        <v>1.5512</v>
      </c>
      <c r="O13" s="3" t="n">
        <f aca="false">SUM(D13:N13)</f>
        <v>96.0885</v>
      </c>
      <c r="P13" s="3" t="n">
        <f aca="false">D13/$O13*100</f>
        <v>48.5088225958361</v>
      </c>
      <c r="Q13" s="3" t="n">
        <f aca="false">E13/$O13*100</f>
        <v>2.60624320288068</v>
      </c>
      <c r="R13" s="3" t="n">
        <f aca="false">F13/$O13*100</f>
        <v>15.5804284591809</v>
      </c>
      <c r="S13" s="3" t="n">
        <f aca="false">G13/$O13*100</f>
        <v>0</v>
      </c>
      <c r="T13" s="3" t="n">
        <f aca="false">H13/$O13*100</f>
        <v>11.9978977713254</v>
      </c>
      <c r="U13" s="3" t="n">
        <f aca="false">I13/$O13*100</f>
        <v>0.343641538789761</v>
      </c>
      <c r="V13" s="3" t="n">
        <f aca="false">J13/$O13*100</f>
        <v>3.64674232608481</v>
      </c>
      <c r="W13" s="3" t="n">
        <f aca="false">K13/$O13*100</f>
        <v>7.41139678525526</v>
      </c>
      <c r="X13" s="3" t="n">
        <f aca="false">L13/$O13*100</f>
        <v>4.79859712660724</v>
      </c>
      <c r="Y13" s="3" t="n">
        <f aca="false">M13/$O13*100</f>
        <v>3.49188508510384</v>
      </c>
      <c r="Z13" s="3" t="n">
        <f aca="false">N13/$O13*100</f>
        <v>1.61434510893603</v>
      </c>
    </row>
    <row r="14" customFormat="false" ht="15" hidden="false" customHeight="false" outlineLevel="0" collapsed="false">
      <c r="C14" s="1" t="s">
        <v>14</v>
      </c>
      <c r="D14" s="3" t="n">
        <f aca="false">AVERAGE(D3:D13)</f>
        <v>46.8014</v>
      </c>
      <c r="E14" s="3" t="n">
        <f aca="false">AVERAGE(E3:E13)</f>
        <v>2.48019090909091</v>
      </c>
      <c r="F14" s="3" t="n">
        <f aca="false">AVERAGE(F3:F13)</f>
        <v>14.6871545454545</v>
      </c>
      <c r="G14" s="3" t="n">
        <f aca="false">AVERAGE(G3:G13)</f>
        <v>0.00924545454545454</v>
      </c>
      <c r="H14" s="3" t="n">
        <f aca="false">AVERAGE(H3:H13)</f>
        <v>11.7148818181818</v>
      </c>
      <c r="I14" s="3" t="n">
        <f aca="false">AVERAGE(I3:I13)</f>
        <v>0.259345454545455</v>
      </c>
      <c r="J14" s="3" t="n">
        <f aca="false">AVERAGE(J3:J13)</f>
        <v>3.72577272727273</v>
      </c>
      <c r="K14" s="3" t="n">
        <f aca="false">AVERAGE(K3:K13)</f>
        <v>7.18544545454546</v>
      </c>
      <c r="L14" s="3" t="n">
        <f aca="false">AVERAGE(L3:L13)</f>
        <v>5.04409090909091</v>
      </c>
      <c r="M14" s="3" t="n">
        <f aca="false">AVERAGE(M3:M13)</f>
        <v>3.04204545454545</v>
      </c>
      <c r="N14" s="3" t="n">
        <f aca="false">AVERAGE(N3:N13)</f>
        <v>1.60418181818182</v>
      </c>
      <c r="O14" s="3" t="n">
        <f aca="false">SUM(D14:N14)</f>
        <v>96.5537545454545</v>
      </c>
      <c r="P14" s="3" t="n">
        <f aca="false">AVERAGE(P3:P13)</f>
        <v>48.4809197199789</v>
      </c>
      <c r="Q14" s="3" t="n">
        <f aca="false">AVERAGE(Q3:Q13)</f>
        <v>2.56832724011758</v>
      </c>
      <c r="R14" s="3" t="n">
        <f aca="false">AVERAGE(R3:R13)</f>
        <v>15.2136276362804</v>
      </c>
      <c r="S14" s="3" t="n">
        <f aca="false">AVERAGE(S3:S13)</f>
        <v>0.00954597451367644</v>
      </c>
      <c r="T14" s="3" t="n">
        <f aca="false">AVERAGE(T3:T13)</f>
        <v>12.1324827044379</v>
      </c>
      <c r="U14" s="3" t="n">
        <f aca="false">AVERAGE(U3:U13)</f>
        <v>0.268408176738706</v>
      </c>
      <c r="V14" s="3" t="n">
        <f aca="false">AVERAGE(V3:V13)</f>
        <v>3.85957226336232</v>
      </c>
      <c r="W14" s="3" t="n">
        <f aca="false">AVERAGE(W3:W13)</f>
        <v>7.44314071814292</v>
      </c>
      <c r="X14" s="3" t="n">
        <f aca="false">AVERAGE(X3:X13)</f>
        <v>5.22415937640211</v>
      </c>
      <c r="Y14" s="3" t="n">
        <f aca="false">AVERAGE(Y3:Y13)</f>
        <v>3.13790435925363</v>
      </c>
      <c r="Z14" s="3" t="n">
        <f aca="false">AVERAGE(Z3:Z13)</f>
        <v>1.66191183077188</v>
      </c>
    </row>
    <row r="15" customFormat="false" ht="15" hidden="false" customHeight="false" outlineLevel="0" collapsed="false">
      <c r="C15" s="1" t="s">
        <v>81</v>
      </c>
      <c r="D15" s="3" t="n">
        <f aca="false">_xlfn.STDEV.P(D3:D13)</f>
        <v>0.283272518963629</v>
      </c>
      <c r="E15" s="3" t="n">
        <f aca="false">_xlfn.STDEV.P(E3:E13)</f>
        <v>0.0926975183991209</v>
      </c>
      <c r="F15" s="3" t="n">
        <f aca="false">_xlfn.STDEV.P(F3:F13)</f>
        <v>0.161664711186378</v>
      </c>
      <c r="G15" s="3" t="n">
        <f aca="false">_xlfn.STDEV.P(G3:G13)</f>
        <v>0.0201706070416771</v>
      </c>
      <c r="H15" s="3" t="n">
        <f aca="false">_xlfn.STDEV.P(H3:H13)</f>
        <v>0.221471372326833</v>
      </c>
      <c r="I15" s="3" t="n">
        <f aca="false">_xlfn.STDEV.P(I3:I13)</f>
        <v>0.0517538995217025</v>
      </c>
      <c r="J15" s="3" t="n">
        <f aca="false">_xlfn.STDEV.P(J3:J13)</f>
        <v>0.102088856937199</v>
      </c>
      <c r="K15" s="3" t="n">
        <f aca="false">_xlfn.STDEV.P(K3:K13)</f>
        <v>0.157447880921312</v>
      </c>
      <c r="L15" s="3" t="n">
        <f aca="false">_xlfn.STDEV.P(L3:L13)</f>
        <v>0.158411084635947</v>
      </c>
      <c r="M15" s="3" t="n">
        <f aca="false">_xlfn.STDEV.P(M3:M13)</f>
        <v>0.96455037416276</v>
      </c>
      <c r="N15" s="3" t="n">
        <f aca="false">_xlfn.STDEV.P(N3:N13)</f>
        <v>0.0845344665391452</v>
      </c>
      <c r="O15" s="3"/>
      <c r="P15" s="3" t="n">
        <f aca="false">_xlfn.STDEV.P(P3:P13)</f>
        <v>0.733989664659835</v>
      </c>
      <c r="Q15" s="3" t="n">
        <f aca="false">_xlfn.STDEV.P(Q3:Q13)</f>
        <v>0.0783991702531625</v>
      </c>
      <c r="R15" s="3" t="n">
        <f aca="false">_xlfn.STDEV.P(R3:R13)</f>
        <v>0.232189834900941</v>
      </c>
      <c r="S15" s="3" t="n">
        <f aca="false">_xlfn.STDEV.P(S3:S13)</f>
        <v>0.0208126197453262</v>
      </c>
      <c r="T15" s="3" t="n">
        <f aca="false">_xlfn.STDEV.P(T3:T13)</f>
        <v>0.114033792120411</v>
      </c>
      <c r="U15" s="3" t="n">
        <f aca="false">_xlfn.STDEV.P(U3:U13)</f>
        <v>0.0528151331467982</v>
      </c>
      <c r="V15" s="3" t="n">
        <f aca="false">_xlfn.STDEV.P(V3:V13)</f>
        <v>0.12231055568449</v>
      </c>
      <c r="W15" s="3" t="n">
        <f aca="false">_xlfn.STDEV.P(W3:W13)</f>
        <v>0.186117513649674</v>
      </c>
      <c r="X15" s="3" t="n">
        <f aca="false">_xlfn.STDEV.P(X3:X13)</f>
        <v>0.149260652180072</v>
      </c>
      <c r="Y15" s="3" t="n">
        <f aca="false">_xlfn.STDEV.P(Y3:Y13)</f>
        <v>0.99446390356009</v>
      </c>
      <c r="Z15" s="3" t="n">
        <f aca="false">_xlfn.STDEV.P(Z3:Z13)</f>
        <v>0.0934670577718449</v>
      </c>
    </row>
    <row r="16" customFormat="false" ht="15" hidden="false" customHeight="false" outlineLevel="0" collapsed="false">
      <c r="C16" s="1" t="s">
        <v>66</v>
      </c>
      <c r="D16" s="3" t="n">
        <f aca="false">D14/$O$14*100</f>
        <v>48.4718592459989</v>
      </c>
      <c r="E16" s="3" t="n">
        <f aca="false">E14/$O$14*100</f>
        <v>2.5687151377664</v>
      </c>
      <c r="F16" s="3" t="n">
        <f aca="false">F14/$O$14*100</f>
        <v>15.2113758958387</v>
      </c>
      <c r="G16" s="3" t="n">
        <f aca="false">G14/$O$14*100</f>
        <v>0.00957544798643958</v>
      </c>
      <c r="H16" s="3" t="n">
        <f aca="false">H14/$O$14*100</f>
        <v>12.1330153066879</v>
      </c>
      <c r="I16" s="3" t="n">
        <f aca="false">I14/$O$14*100</f>
        <v>0.26860214371401</v>
      </c>
      <c r="J16" s="3" t="n">
        <f aca="false">J14/$O$14*100</f>
        <v>3.85875489235247</v>
      </c>
      <c r="K16" s="3" t="n">
        <f aca="false">K14/$O$14*100</f>
        <v>7.44191200888285</v>
      </c>
      <c r="L16" s="3" t="n">
        <f aca="false">L14/$O$14*100</f>
        <v>5.22412715366372</v>
      </c>
      <c r="M16" s="3" t="n">
        <f aca="false">M14/$O$14*100</f>
        <v>3.15062367990398</v>
      </c>
      <c r="N16" s="3" t="n">
        <f aca="false">N14/$O$14*100</f>
        <v>1.66143908720465</v>
      </c>
      <c r="O16" s="3"/>
    </row>
    <row r="17" customFormat="false" ht="15" hidden="false" customHeight="false" outlineLevel="0" collapsed="false"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customFormat="false" ht="15" hidden="false" customHeight="false" outlineLevel="0" collapsed="false">
      <c r="A18" s="16" t="s">
        <v>151</v>
      </c>
      <c r="B18" s="16" t="s">
        <v>82</v>
      </c>
      <c r="C18" s="17" t="s">
        <v>157</v>
      </c>
      <c r="D18" s="18" t="n">
        <v>0.1351</v>
      </c>
      <c r="E18" s="18" t="n">
        <v>17.0473</v>
      </c>
      <c r="F18" s="18" t="n">
        <v>4.1611</v>
      </c>
      <c r="G18" s="18" t="n">
        <v>0.0669</v>
      </c>
      <c r="H18" s="18" t="n">
        <v>67.0134</v>
      </c>
      <c r="I18" s="18" t="n">
        <v>0.4506</v>
      </c>
      <c r="J18" s="18" t="n">
        <v>4.8039</v>
      </c>
      <c r="K18" s="18" t="n">
        <v>1.3427</v>
      </c>
      <c r="L18" s="18" t="n">
        <v>0</v>
      </c>
      <c r="M18" s="18" t="n">
        <v>0.005</v>
      </c>
      <c r="N18" s="3"/>
      <c r="O18" s="3" t="n">
        <f aca="false">SUM(D18:N18)</f>
        <v>95.026</v>
      </c>
    </row>
    <row r="19" customFormat="false" ht="15" hidden="false" customHeight="false" outlineLevel="0" collapsed="false">
      <c r="A19" s="16" t="s">
        <v>153</v>
      </c>
      <c r="B19" s="16" t="s">
        <v>82</v>
      </c>
      <c r="C19" s="17" t="s">
        <v>157</v>
      </c>
      <c r="D19" s="18" t="n">
        <v>0.1054</v>
      </c>
      <c r="E19" s="18" t="n">
        <v>17.4221</v>
      </c>
      <c r="F19" s="18" t="n">
        <v>4.3186</v>
      </c>
      <c r="G19" s="18" t="n">
        <v>0.0578</v>
      </c>
      <c r="H19" s="18" t="n">
        <v>68.1934</v>
      </c>
      <c r="I19" s="18" t="n">
        <v>0.4822</v>
      </c>
      <c r="J19" s="18" t="n">
        <v>4.9539</v>
      </c>
      <c r="K19" s="18" t="n">
        <v>0.0841</v>
      </c>
      <c r="L19" s="18" t="n">
        <v>0.0254</v>
      </c>
      <c r="M19" s="18" t="n">
        <v>0.0256</v>
      </c>
      <c r="N19" s="3"/>
      <c r="O19" s="3" t="n">
        <f aca="false">SUM(D19:N19)</f>
        <v>95.6685</v>
      </c>
    </row>
    <row r="20" customFormat="false" ht="15" hidden="false" customHeight="false" outlineLevel="0" collapsed="false">
      <c r="A20" s="16" t="s">
        <v>136</v>
      </c>
      <c r="B20" s="16" t="s">
        <v>82</v>
      </c>
      <c r="C20" s="17" t="s">
        <v>157</v>
      </c>
      <c r="D20" s="18" t="n">
        <v>0.0788</v>
      </c>
      <c r="E20" s="18" t="n">
        <v>17.7213</v>
      </c>
      <c r="F20" s="18" t="n">
        <v>4.2541</v>
      </c>
      <c r="G20" s="18" t="n">
        <v>0.0307</v>
      </c>
      <c r="H20" s="18" t="n">
        <v>68.412</v>
      </c>
      <c r="I20" s="18" t="n">
        <v>0.5457</v>
      </c>
      <c r="J20" s="18" t="n">
        <v>5.0024</v>
      </c>
      <c r="K20" s="18" t="n">
        <v>0.0723</v>
      </c>
      <c r="L20" s="18" t="n">
        <v>0.0029</v>
      </c>
      <c r="M20" s="18" t="n">
        <v>0.0163</v>
      </c>
      <c r="N20" s="3"/>
      <c r="O20" s="3" t="n">
        <f aca="false">SUM(D20:N20)</f>
        <v>96.1365</v>
      </c>
    </row>
    <row r="21" customFormat="false" ht="15" hidden="false" customHeight="false" outlineLevel="0" collapsed="false">
      <c r="A21" s="16" t="s">
        <v>138</v>
      </c>
      <c r="B21" s="16" t="s">
        <v>82</v>
      </c>
      <c r="C21" s="17" t="s">
        <v>157</v>
      </c>
      <c r="D21" s="18" t="n">
        <v>0.0833</v>
      </c>
      <c r="E21" s="18" t="n">
        <v>16.7555</v>
      </c>
      <c r="F21" s="18" t="n">
        <v>4.381</v>
      </c>
      <c r="G21" s="18" t="n">
        <v>0.0447</v>
      </c>
      <c r="H21" s="18" t="n">
        <v>69.3609</v>
      </c>
      <c r="I21" s="18" t="n">
        <v>0.4897</v>
      </c>
      <c r="J21" s="18" t="n">
        <v>4.7166</v>
      </c>
      <c r="K21" s="18" t="n">
        <v>0.0457</v>
      </c>
      <c r="L21" s="18" t="n">
        <v>0.0312</v>
      </c>
      <c r="M21" s="18" t="n">
        <v>0.0066</v>
      </c>
      <c r="N21" s="3"/>
      <c r="O21" s="3" t="n">
        <f aca="false">SUM(D21:N21)</f>
        <v>95.9152</v>
      </c>
    </row>
    <row r="22" customFormat="false" ht="15" hidden="false" customHeight="false" outlineLevel="0" collapsed="false">
      <c r="A22" s="16" t="s">
        <v>145</v>
      </c>
      <c r="B22" s="16" t="s">
        <v>82</v>
      </c>
      <c r="C22" s="17" t="s">
        <v>157</v>
      </c>
      <c r="D22" s="18" t="n">
        <v>0.0707</v>
      </c>
      <c r="E22" s="18" t="n">
        <v>17.9555</v>
      </c>
      <c r="F22" s="18" t="n">
        <v>4.3566</v>
      </c>
      <c r="G22" s="18" t="n">
        <v>0</v>
      </c>
      <c r="H22" s="18" t="n">
        <v>68.5566</v>
      </c>
      <c r="I22" s="18" t="n">
        <v>0.5179</v>
      </c>
      <c r="J22" s="18" t="n">
        <v>4.9536</v>
      </c>
      <c r="K22" s="18" t="n">
        <v>0.0688</v>
      </c>
      <c r="L22" s="18" t="n">
        <v>0</v>
      </c>
      <c r="M22" s="18" t="n">
        <v>0.0116</v>
      </c>
      <c r="N22" s="3"/>
      <c r="O22" s="3" t="n">
        <f aca="false">SUM(D22:N22)</f>
        <v>96.4913</v>
      </c>
    </row>
    <row r="23" customFormat="false" ht="15" hidden="false" customHeight="false" outlineLevel="0" collapsed="false">
      <c r="A23" s="16" t="s">
        <v>124</v>
      </c>
      <c r="B23" s="16" t="s">
        <v>82</v>
      </c>
      <c r="C23" s="17" t="s">
        <v>157</v>
      </c>
      <c r="D23" s="18" t="n">
        <v>0.0579</v>
      </c>
      <c r="E23" s="18" t="n">
        <v>18.2248</v>
      </c>
      <c r="F23" s="18" t="n">
        <v>4.3232</v>
      </c>
      <c r="G23" s="18" t="n">
        <v>0</v>
      </c>
      <c r="H23" s="18" t="n">
        <v>68.8503</v>
      </c>
      <c r="I23" s="18" t="n">
        <v>0.4799</v>
      </c>
      <c r="J23" s="18" t="n">
        <v>5.1302</v>
      </c>
      <c r="K23" s="18" t="n">
        <v>0.0857</v>
      </c>
      <c r="L23" s="18" t="n">
        <v>0</v>
      </c>
      <c r="M23" s="18" t="n">
        <v>0.0054</v>
      </c>
      <c r="N23" s="3"/>
      <c r="O23" s="3" t="n">
        <f aca="false">SUM(D23:N23)</f>
        <v>97.1574</v>
      </c>
    </row>
    <row r="24" customFormat="false" ht="15" hidden="false" customHeight="false" outlineLevel="0" collapsed="false">
      <c r="A24" s="16" t="s">
        <v>146</v>
      </c>
      <c r="B24" s="16" t="s">
        <v>82</v>
      </c>
      <c r="C24" s="17" t="s">
        <v>157</v>
      </c>
      <c r="D24" s="18" t="n">
        <v>0.1103</v>
      </c>
      <c r="E24" s="18" t="n">
        <v>17.8247</v>
      </c>
      <c r="F24" s="18" t="n">
        <v>4.4345</v>
      </c>
      <c r="G24" s="18" t="n">
        <v>0</v>
      </c>
      <c r="H24" s="18" t="n">
        <v>68.1899</v>
      </c>
      <c r="I24" s="18" t="n">
        <v>0.4606</v>
      </c>
      <c r="J24" s="18" t="n">
        <v>4.8529</v>
      </c>
      <c r="K24" s="18" t="n">
        <v>0.0975</v>
      </c>
      <c r="L24" s="18" t="n">
        <v>0.0078</v>
      </c>
      <c r="M24" s="18" t="n">
        <v>0.0171</v>
      </c>
      <c r="N24" s="3"/>
      <c r="O24" s="3" t="n">
        <f aca="false">SUM(D24:N24)</f>
        <v>95.9953</v>
      </c>
    </row>
    <row r="25" customFormat="false" ht="15" hidden="false" customHeight="false" outlineLevel="0" collapsed="false">
      <c r="C25" s="1" t="s">
        <v>30</v>
      </c>
      <c r="D25" s="3" t="n">
        <f aca="false">AVERAGE(D18:D24)</f>
        <v>0.0916428571428571</v>
      </c>
      <c r="E25" s="3" t="n">
        <f aca="false">AVERAGE(E18:E24)</f>
        <v>17.5644571428571</v>
      </c>
      <c r="F25" s="3" t="n">
        <f aca="false">AVERAGE(F18:F24)</f>
        <v>4.31844285714286</v>
      </c>
      <c r="G25" s="3" t="n">
        <f aca="false">AVERAGE(G18:G24)</f>
        <v>0.0285857142857143</v>
      </c>
      <c r="H25" s="3" t="n">
        <f aca="false">AVERAGE(H18:H24)</f>
        <v>68.3680714285714</v>
      </c>
      <c r="I25" s="3" t="n">
        <f aca="false">AVERAGE(I18:I24)</f>
        <v>0.489514285714286</v>
      </c>
      <c r="J25" s="3" t="n">
        <f aca="false">AVERAGE(J18:J24)</f>
        <v>4.91621428571429</v>
      </c>
      <c r="K25" s="3" t="n">
        <f aca="false">AVERAGE(K18:K24)</f>
        <v>0.256685714285714</v>
      </c>
      <c r="L25" s="3" t="n">
        <f aca="false">AVERAGE(L18:L24)</f>
        <v>0.00961428571428571</v>
      </c>
      <c r="M25" s="3" t="n">
        <f aca="false">AVERAGE(M18:M24)</f>
        <v>0.0125142857142857</v>
      </c>
      <c r="N25" s="3"/>
      <c r="O25" s="3" t="n">
        <f aca="false">SUM(D25:N25)</f>
        <v>96.0557428571429</v>
      </c>
    </row>
    <row r="26" customFormat="false" ht="15" hidden="false" customHeight="false" outlineLevel="0" collapsed="false">
      <c r="C26" s="1" t="s">
        <v>81</v>
      </c>
      <c r="D26" s="3" t="n">
        <f aca="false">_xlfn.STDEV.P(D18:D24)</f>
        <v>0.0246042886588531</v>
      </c>
      <c r="E26" s="3" t="n">
        <f aca="false">_xlfn.STDEV.P(E18:E24)</f>
        <v>0.481578054368115</v>
      </c>
      <c r="F26" s="3" t="n">
        <f aca="false">_xlfn.STDEV.P(F18:F24)</f>
        <v>0.0825989079336811</v>
      </c>
      <c r="G26" s="3" t="n">
        <f aca="false">_xlfn.STDEV.P(G18:G24)</f>
        <v>0.0268249046634668</v>
      </c>
      <c r="H26" s="3" t="n">
        <f aca="false">_xlfn.STDEV.P(H18:H24)</f>
        <v>0.67115205369847</v>
      </c>
      <c r="I26" s="3" t="n">
        <f aca="false">_xlfn.STDEV.P(I18:I24)</f>
        <v>0.0303759975060869</v>
      </c>
      <c r="J26" s="3" t="n">
        <f aca="false">_xlfn.STDEV.P(J18:J24)</f>
        <v>0.126775858771877</v>
      </c>
      <c r="K26" s="3" t="n">
        <f aca="false">_xlfn.STDEV.P(K18:K24)</f>
        <v>0.443621970435484</v>
      </c>
      <c r="L26" s="3" t="n">
        <f aca="false">_xlfn.STDEV.P(L18:L24)</f>
        <v>0.0121937253854394</v>
      </c>
      <c r="M26" s="3" t="n">
        <f aca="false">_xlfn.STDEV.P(M18:M24)</f>
        <v>0.00706589971450984</v>
      </c>
      <c r="N26" s="3"/>
      <c r="O26" s="3"/>
    </row>
    <row r="27" customFormat="false" ht="15" hidden="false" customHeight="false" outlineLevel="0" collapsed="false">
      <c r="C27" s="1" t="s">
        <v>66</v>
      </c>
      <c r="D27" s="3" t="n">
        <f aca="false">D25/$O$25*100</f>
        <v>0.0954059116269095</v>
      </c>
      <c r="E27" s="3" t="n">
        <f aca="false">E25/$O$25*100</f>
        <v>18.2856918497622</v>
      </c>
      <c r="F27" s="3" t="n">
        <f aca="false">F25/$O$25*100</f>
        <v>4.49576748739051</v>
      </c>
      <c r="G27" s="3" t="n">
        <f aca="false">G25/$O$25*100</f>
        <v>0.02975950571558</v>
      </c>
      <c r="H27" s="3" t="n">
        <f aca="false">H25/$O$25*100</f>
        <v>71.1754127290969</v>
      </c>
      <c r="I27" s="3" t="n">
        <f aca="false">I25/$O$25*100</f>
        <v>0.509614804023021</v>
      </c>
      <c r="J27" s="3" t="n">
        <f aca="false">J25/$O$25*100</f>
        <v>5.11808470736189</v>
      </c>
      <c r="K27" s="3" t="n">
        <f aca="false">K25/$O$25*100</f>
        <v>0.267225786455543</v>
      </c>
      <c r="L27" s="3" t="n">
        <f aca="false">L25/$O$25*100</f>
        <v>0.0100090691387233</v>
      </c>
      <c r="M27" s="3" t="n">
        <f aca="false">M25/$O$25*100</f>
        <v>0.0130281494287097</v>
      </c>
      <c r="N27" s="3"/>
      <c r="O27" s="3"/>
    </row>
    <row r="28" customFormat="false" ht="15" hidden="false" customHeight="false" outlineLevel="0" collapsed="false"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customFormat="false" ht="15" hidden="false" customHeight="false" outlineLevel="0" collapsed="false">
      <c r="A29" s="1" t="s">
        <v>139</v>
      </c>
      <c r="B29" s="1" t="s">
        <v>82</v>
      </c>
      <c r="C29" s="1" t="s">
        <v>158</v>
      </c>
      <c r="D29" s="3" t="n">
        <v>37.4779</v>
      </c>
      <c r="E29" s="3" t="n">
        <v>0.0709</v>
      </c>
      <c r="F29" s="3" t="n">
        <v>0.0305</v>
      </c>
      <c r="G29" s="3" t="n">
        <v>0</v>
      </c>
      <c r="H29" s="3" t="n">
        <v>26.1737</v>
      </c>
      <c r="I29" s="3" t="n">
        <v>0.6018</v>
      </c>
      <c r="J29" s="3" t="n">
        <v>34.5717</v>
      </c>
      <c r="K29" s="3" t="n">
        <v>0.4062</v>
      </c>
      <c r="L29" s="3" t="n">
        <v>0.0304</v>
      </c>
      <c r="M29" s="3" t="n">
        <v>0.0234</v>
      </c>
      <c r="N29" s="3"/>
      <c r="O29" s="3" t="n">
        <f aca="false">SUM(D29:N29)</f>
        <v>99.3865</v>
      </c>
    </row>
    <row r="30" customFormat="false" ht="15" hidden="false" customHeight="false" outlineLevel="0" collapsed="false">
      <c r="A30" s="1" t="s">
        <v>143</v>
      </c>
      <c r="B30" s="1" t="s">
        <v>82</v>
      </c>
      <c r="C30" s="1" t="s">
        <v>158</v>
      </c>
      <c r="D30" s="3" t="n">
        <v>37.602</v>
      </c>
      <c r="E30" s="3" t="n">
        <v>0.0772</v>
      </c>
      <c r="F30" s="3" t="n">
        <v>0.0437</v>
      </c>
      <c r="G30" s="3" t="n">
        <v>0</v>
      </c>
      <c r="H30" s="3" t="n">
        <v>26.6413</v>
      </c>
      <c r="I30" s="3" t="n">
        <v>0.538</v>
      </c>
      <c r="J30" s="3" t="n">
        <v>34.934</v>
      </c>
      <c r="K30" s="3" t="n">
        <v>0.4346</v>
      </c>
      <c r="L30" s="3" t="n">
        <v>0.0373</v>
      </c>
      <c r="M30" s="3" t="n">
        <v>0.0152</v>
      </c>
      <c r="N30" s="3"/>
      <c r="O30" s="3" t="n">
        <f aca="false">SUM(D30:N30)</f>
        <v>100.3233</v>
      </c>
    </row>
    <row r="31" customFormat="false" ht="15" hidden="false" customHeight="false" outlineLevel="0" collapsed="false">
      <c r="A31" s="1" t="s">
        <v>147</v>
      </c>
      <c r="B31" s="1" t="s">
        <v>82</v>
      </c>
      <c r="C31" s="1" t="s">
        <v>158</v>
      </c>
      <c r="D31" s="3" t="n">
        <v>37.4632</v>
      </c>
      <c r="E31" s="3" t="n">
        <v>0.1461</v>
      </c>
      <c r="F31" s="3" t="n">
        <v>0.0322</v>
      </c>
      <c r="G31" s="3" t="n">
        <v>0</v>
      </c>
      <c r="H31" s="3" t="n">
        <v>26.7977</v>
      </c>
      <c r="I31" s="3" t="n">
        <v>0.5429</v>
      </c>
      <c r="J31" s="3" t="n">
        <v>34.3317</v>
      </c>
      <c r="K31" s="3" t="n">
        <v>0.3808</v>
      </c>
      <c r="L31" s="3" t="n">
        <v>0.047</v>
      </c>
      <c r="M31" s="3" t="n">
        <v>0.0078</v>
      </c>
      <c r="N31" s="3"/>
      <c r="O31" s="3" t="n">
        <f aca="false">SUM(D31:N31)</f>
        <v>99.7494</v>
      </c>
    </row>
    <row r="32" customFormat="false" ht="15" hidden="false" customHeight="false" outlineLevel="0" collapsed="false">
      <c r="A32" s="1" t="s">
        <v>148</v>
      </c>
      <c r="B32" s="1" t="s">
        <v>82</v>
      </c>
      <c r="C32" s="1" t="s">
        <v>158</v>
      </c>
      <c r="D32" s="3" t="n">
        <v>37.5913</v>
      </c>
      <c r="E32" s="3" t="n">
        <v>0.1345</v>
      </c>
      <c r="F32" s="3" t="n">
        <v>0.0458</v>
      </c>
      <c r="G32" s="3" t="n">
        <v>0.0083</v>
      </c>
      <c r="H32" s="3" t="n">
        <v>26.1952</v>
      </c>
      <c r="I32" s="3" t="n">
        <v>0.5526</v>
      </c>
      <c r="J32" s="3" t="n">
        <v>34.6861</v>
      </c>
      <c r="K32" s="3" t="n">
        <v>0.4815</v>
      </c>
      <c r="L32" s="3" t="n">
        <v>0.0387</v>
      </c>
      <c r="M32" s="3" t="n">
        <v>0.007</v>
      </c>
      <c r="N32" s="3"/>
      <c r="O32" s="3" t="n">
        <f aca="false">SUM(D32:N32)</f>
        <v>99.741</v>
      </c>
    </row>
    <row r="33" customFormat="false" ht="15" hidden="false" customHeight="false" outlineLevel="0" collapsed="false">
      <c r="A33" s="1" t="s">
        <v>150</v>
      </c>
      <c r="B33" s="1" t="s">
        <v>82</v>
      </c>
      <c r="C33" s="1" t="s">
        <v>158</v>
      </c>
      <c r="D33" s="3" t="n">
        <v>37.2875</v>
      </c>
      <c r="E33" s="3" t="n">
        <v>0.1056</v>
      </c>
      <c r="F33" s="3" t="n">
        <v>0.0493</v>
      </c>
      <c r="G33" s="3" t="n">
        <v>0</v>
      </c>
      <c r="H33" s="3" t="n">
        <v>26.0983</v>
      </c>
      <c r="I33" s="3" t="n">
        <v>0.569</v>
      </c>
      <c r="J33" s="3" t="n">
        <v>34.5854</v>
      </c>
      <c r="K33" s="3" t="n">
        <v>0.4344</v>
      </c>
      <c r="L33" s="3" t="n">
        <v>0.0549</v>
      </c>
      <c r="M33" s="3" t="n">
        <v>0.0239</v>
      </c>
      <c r="N33" s="3"/>
      <c r="O33" s="3" t="n">
        <f aca="false">SUM(D33:N33)</f>
        <v>99.2083</v>
      </c>
    </row>
    <row r="34" customFormat="false" ht="15" hidden="false" customHeight="false" outlineLevel="0" collapsed="false">
      <c r="A34" s="1" t="s">
        <v>154</v>
      </c>
      <c r="B34" s="1" t="s">
        <v>82</v>
      </c>
      <c r="C34" s="1" t="s">
        <v>158</v>
      </c>
      <c r="D34" s="3" t="n">
        <v>37.7173</v>
      </c>
      <c r="E34" s="3" t="n">
        <v>0.0612</v>
      </c>
      <c r="F34" s="3" t="n">
        <v>0.0475</v>
      </c>
      <c r="G34" s="3" t="n">
        <v>0.0104</v>
      </c>
      <c r="H34" s="3" t="n">
        <v>26.2937</v>
      </c>
      <c r="I34" s="3" t="n">
        <v>0.5718</v>
      </c>
      <c r="J34" s="3" t="n">
        <v>34.892</v>
      </c>
      <c r="K34" s="3" t="n">
        <v>0.4258</v>
      </c>
      <c r="L34" s="3" t="n">
        <v>0.0299</v>
      </c>
      <c r="M34" s="3" t="n">
        <v>0.0318</v>
      </c>
      <c r="N34" s="3"/>
      <c r="O34" s="3" t="n">
        <f aca="false">SUM(D34:N34)</f>
        <v>100.0814</v>
      </c>
    </row>
    <row r="35" customFormat="false" ht="15" hidden="false" customHeight="false" outlineLevel="0" collapsed="false">
      <c r="C35" s="1" t="s">
        <v>32</v>
      </c>
      <c r="D35" s="3" t="n">
        <f aca="false">AVERAGE(D28:D34)</f>
        <v>37.5232</v>
      </c>
      <c r="E35" s="3" t="n">
        <f aca="false">AVERAGE(E28:E34)</f>
        <v>0.09925</v>
      </c>
      <c r="F35" s="3" t="n">
        <f aca="false">AVERAGE(F28:F34)</f>
        <v>0.0415</v>
      </c>
      <c r="G35" s="3" t="n">
        <f aca="false">AVERAGE(G28:G34)</f>
        <v>0.00311666666666667</v>
      </c>
      <c r="H35" s="3" t="n">
        <f aca="false">AVERAGE(H28:H34)</f>
        <v>26.36665</v>
      </c>
      <c r="I35" s="3" t="n">
        <f aca="false">AVERAGE(I28:I34)</f>
        <v>0.562683333333333</v>
      </c>
      <c r="J35" s="3" t="n">
        <f aca="false">AVERAGE(J28:J34)</f>
        <v>34.6668166666667</v>
      </c>
      <c r="K35" s="3" t="n">
        <f aca="false">AVERAGE(K28:K34)</f>
        <v>0.427216666666667</v>
      </c>
      <c r="L35" s="3" t="n">
        <f aca="false">AVERAGE(L28:L34)</f>
        <v>0.0397</v>
      </c>
      <c r="M35" s="3" t="n">
        <f aca="false">AVERAGE(M28:M34)</f>
        <v>0.0181833333333333</v>
      </c>
      <c r="N35" s="3"/>
      <c r="O35" s="3" t="n">
        <f aca="false">SUM(D35:N35)</f>
        <v>99.7483166666667</v>
      </c>
    </row>
    <row r="36" customFormat="false" ht="15" hidden="false" customHeight="false" outlineLevel="0" collapsed="false">
      <c r="C36" s="1" t="s">
        <v>81</v>
      </c>
      <c r="D36" s="3" t="n">
        <f aca="false">_xlfn.STDEV.P(D28:D34)</f>
        <v>0.135233403171455</v>
      </c>
      <c r="E36" s="3" t="n">
        <f aca="false">_xlfn.STDEV.P(E28:E34)</f>
        <v>0.0321857499524246</v>
      </c>
      <c r="F36" s="3" t="n">
        <f aca="false">_xlfn.STDEV.P(F28:F34)</f>
        <v>0.00738985791473693</v>
      </c>
      <c r="G36" s="3" t="n">
        <f aca="false">_xlfn.STDEV.P(G28:G34)</f>
        <v>0.00444912600655704</v>
      </c>
      <c r="H36" s="3" t="n">
        <f aca="false">_xlfn.STDEV.P(H28:H34)</f>
        <v>0.259870145457303</v>
      </c>
      <c r="I36" s="3" t="n">
        <f aca="false">_xlfn.STDEV.P(I28:I34)</f>
        <v>0.0214299180793788</v>
      </c>
      <c r="J36" s="3" t="n">
        <f aca="false">_xlfn.STDEV.P(J28:J34)</f>
        <v>0.204305877029735</v>
      </c>
      <c r="K36" s="3" t="n">
        <f aca="false">_xlfn.STDEV.P(K28:K34)</f>
        <v>0.0306893258678359</v>
      </c>
      <c r="L36" s="3" t="n">
        <f aca="false">_xlfn.STDEV.P(L28:L34)</f>
        <v>0.00888463092461733</v>
      </c>
      <c r="M36" s="3" t="n">
        <f aca="false">_xlfn.STDEV.P(M28:M34)</f>
        <v>0.00901007152518164</v>
      </c>
      <c r="N36" s="3"/>
      <c r="O36" s="3"/>
    </row>
    <row r="37" customFormat="false" ht="15" hidden="false" customHeight="false" outlineLevel="0" collapsed="false">
      <c r="C37" s="1" t="s">
        <v>66</v>
      </c>
      <c r="D37" s="3" t="n">
        <f aca="false">D35/$O$35*100</f>
        <v>37.6178779291012</v>
      </c>
      <c r="E37" s="3" t="n">
        <f aca="false">E35/$O$35*100</f>
        <v>0.0995004259888095</v>
      </c>
      <c r="F37" s="3" t="n">
        <f aca="false">F35/$O$35*100</f>
        <v>0.0416047121263032</v>
      </c>
      <c r="G37" s="3" t="n">
        <f aca="false">G35/$O$35*100</f>
        <v>0.0031245305894051</v>
      </c>
      <c r="H37" s="3" t="n">
        <f aca="false">H35/$O$35*100</f>
        <v>26.4331779032528</v>
      </c>
      <c r="I37" s="3" t="n">
        <f aca="false">I35/$O$35*100</f>
        <v>0.564103086785592</v>
      </c>
      <c r="J37" s="3" t="n">
        <f aca="false">J35/$O$35*100</f>
        <v>34.7542874157108</v>
      </c>
      <c r="K37" s="3" t="n">
        <f aca="false">K35/$O$35*100</f>
        <v>0.428294612824711</v>
      </c>
      <c r="L37" s="3" t="n">
        <f aca="false">L35/$O$35*100</f>
        <v>0.0398001703955238</v>
      </c>
      <c r="M37" s="3" t="n">
        <f aca="false">M35/$O$35*100</f>
        <v>0.018229213224818</v>
      </c>
      <c r="N37" s="3"/>
      <c r="O37" s="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R70"/>
  <sheetViews>
    <sheetView showFormulas="false" showGridLines="true" showRowColHeaders="true" showZeros="true" rightToLeft="false" tabSelected="false" showOutlineSymbols="true" defaultGridColor="true" view="normal" topLeftCell="A20" colorId="64" zoomScale="55" zoomScaleNormal="55" zoomScalePageLayoutView="100" workbookViewId="0">
      <selection pane="topLeft" activeCell="D39" activeCellId="0" sqref="D39"/>
    </sheetView>
  </sheetViews>
  <sheetFormatPr defaultColWidth="10.6445312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15" min="4" style="1" width="6.7"/>
    <col collapsed="false" customWidth="true" hidden="false" outlineLevel="0" max="24" min="16" style="1" width="6.9"/>
    <col collapsed="false" customWidth="true" hidden="false" outlineLevel="0" max="26" min="25" style="1" width="6.5"/>
  </cols>
  <sheetData>
    <row r="1" customFormat="false" ht="15" hidden="false" customHeight="false" outlineLevel="0" collapsed="false">
      <c r="D1" s="3" t="s">
        <v>65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1" t="s">
        <v>66</v>
      </c>
    </row>
    <row r="2" customFormat="false" ht="15" hidden="false" customHeight="false" outlineLevel="0" collapsed="false">
      <c r="B2" s="1" t="s">
        <v>67</v>
      </c>
      <c r="C2" s="1" t="s">
        <v>68</v>
      </c>
      <c r="D2" s="3" t="s">
        <v>15</v>
      </c>
      <c r="E2" s="3" t="s">
        <v>16</v>
      </c>
      <c r="F2" s="3" t="s">
        <v>17</v>
      </c>
      <c r="G2" s="3" t="s">
        <v>31</v>
      </c>
      <c r="H2" s="3" t="s">
        <v>18</v>
      </c>
      <c r="I2" s="3" t="s">
        <v>19</v>
      </c>
      <c r="J2" s="3" t="s">
        <v>20</v>
      </c>
      <c r="K2" s="3" t="s">
        <v>21</v>
      </c>
      <c r="L2" s="3" t="s">
        <v>22</v>
      </c>
      <c r="M2" s="3" t="s">
        <v>23</v>
      </c>
      <c r="N2" s="3" t="s">
        <v>24</v>
      </c>
      <c r="O2" s="3" t="s">
        <v>69</v>
      </c>
      <c r="P2" s="3" t="s">
        <v>15</v>
      </c>
      <c r="Q2" s="3" t="s">
        <v>16</v>
      </c>
      <c r="R2" s="3" t="s">
        <v>17</v>
      </c>
      <c r="S2" s="3" t="s">
        <v>31</v>
      </c>
      <c r="T2" s="3" t="s">
        <v>18</v>
      </c>
      <c r="U2" s="3" t="s">
        <v>19</v>
      </c>
      <c r="V2" s="3" t="s">
        <v>20</v>
      </c>
      <c r="W2" s="3" t="s">
        <v>21</v>
      </c>
      <c r="X2" s="3" t="s">
        <v>22</v>
      </c>
      <c r="Y2" s="3" t="s">
        <v>23</v>
      </c>
      <c r="Z2" s="3" t="s">
        <v>24</v>
      </c>
    </row>
    <row r="3" customFormat="false" ht="15" hidden="false" customHeight="false" outlineLevel="0" collapsed="false">
      <c r="A3" s="1" t="s">
        <v>159</v>
      </c>
      <c r="B3" s="1" t="s">
        <v>71</v>
      </c>
      <c r="C3" s="1" t="s">
        <v>160</v>
      </c>
      <c r="D3" s="3" t="n">
        <v>49.6266</v>
      </c>
      <c r="E3" s="3" t="n">
        <v>2.1764</v>
      </c>
      <c r="F3" s="3" t="n">
        <v>15.4699</v>
      </c>
      <c r="G3" s="3" t="n">
        <v>0</v>
      </c>
      <c r="H3" s="3" t="n">
        <v>9.9537</v>
      </c>
      <c r="I3" s="3" t="n">
        <v>0.327</v>
      </c>
      <c r="J3" s="3" t="n">
        <v>2.967</v>
      </c>
      <c r="K3" s="3" t="n">
        <v>6.5864</v>
      </c>
      <c r="L3" s="3" t="n">
        <v>5.8066</v>
      </c>
      <c r="M3" s="3" t="n">
        <v>3.2475</v>
      </c>
      <c r="N3" s="3" t="n">
        <v>1.0162</v>
      </c>
      <c r="O3" s="3" t="n">
        <f aca="false">SUM(D3:N3)</f>
        <v>97.1773</v>
      </c>
      <c r="P3" s="3" t="n">
        <f aca="false">D3/$O3*100</f>
        <v>51.0680992371675</v>
      </c>
      <c r="Q3" s="3" t="n">
        <f aca="false">E3/$O3*100</f>
        <v>2.23961768849309</v>
      </c>
      <c r="R3" s="3" t="n">
        <f aca="false">F3/$O3*100</f>
        <v>15.919252747298</v>
      </c>
      <c r="S3" s="3" t="n">
        <f aca="false">G3/$O3*100</f>
        <v>0</v>
      </c>
      <c r="T3" s="3" t="n">
        <f aca="false">H3/$O3*100</f>
        <v>10.2428241986554</v>
      </c>
      <c r="U3" s="3" t="n">
        <f aca="false">I3/$O3*100</f>
        <v>0.336498338603769</v>
      </c>
      <c r="V3" s="3" t="n">
        <f aca="false">J3/$O3*100</f>
        <v>3.053182173203</v>
      </c>
      <c r="W3" s="3" t="n">
        <f aca="false">K3/$O3*100</f>
        <v>6.77771454856227</v>
      </c>
      <c r="X3" s="3" t="n">
        <f aca="false">L3/$O3*100</f>
        <v>5.97526377044845</v>
      </c>
      <c r="Y3" s="3" t="n">
        <f aca="false">M3/$O3*100</f>
        <v>3.34182983062917</v>
      </c>
      <c r="Z3" s="3" t="n">
        <f aca="false">N3/$O3*100</f>
        <v>1.0457174669393</v>
      </c>
    </row>
    <row r="4" customFormat="false" ht="15" hidden="false" customHeight="false" outlineLevel="0" collapsed="false">
      <c r="A4" s="1" t="s">
        <v>161</v>
      </c>
      <c r="B4" s="1" t="s">
        <v>71</v>
      </c>
      <c r="C4" s="1" t="s">
        <v>160</v>
      </c>
      <c r="D4" s="3" t="n">
        <v>49.3329</v>
      </c>
      <c r="E4" s="3" t="n">
        <v>2.2223</v>
      </c>
      <c r="F4" s="3" t="n">
        <v>15.6247</v>
      </c>
      <c r="G4" s="3" t="n">
        <v>0</v>
      </c>
      <c r="H4" s="3" t="n">
        <v>9.5801</v>
      </c>
      <c r="I4" s="3" t="n">
        <v>0.1701</v>
      </c>
      <c r="J4" s="3" t="n">
        <v>2.9756</v>
      </c>
      <c r="K4" s="3" t="n">
        <v>6.5221</v>
      </c>
      <c r="L4" s="3" t="n">
        <v>5.7663</v>
      </c>
      <c r="M4" s="3" t="n">
        <v>3.2732</v>
      </c>
      <c r="N4" s="3" t="n">
        <v>1.0943</v>
      </c>
      <c r="O4" s="3" t="n">
        <f aca="false">SUM(D4:N4)</f>
        <v>96.5616</v>
      </c>
      <c r="P4" s="3" t="n">
        <f aca="false">D4/$O4*100</f>
        <v>51.0895635532137</v>
      </c>
      <c r="Q4" s="3" t="n">
        <f aca="false">E4/$O4*100</f>
        <v>2.30143245348047</v>
      </c>
      <c r="R4" s="3" t="n">
        <f aca="false">F4/$O4*100</f>
        <v>16.1810699077066</v>
      </c>
      <c r="S4" s="3" t="n">
        <f aca="false">G4/$O4*100</f>
        <v>0</v>
      </c>
      <c r="T4" s="3" t="n">
        <f aca="false">H4/$O4*100</f>
        <v>9.92123162830773</v>
      </c>
      <c r="U4" s="3" t="n">
        <f aca="false">I4/$O4*100</f>
        <v>0.176156981657305</v>
      </c>
      <c r="V4" s="3" t="n">
        <f aca="false">J4/$O4*100</f>
        <v>3.08155622939139</v>
      </c>
      <c r="W4" s="3" t="n">
        <f aca="false">K4/$O4*100</f>
        <v>6.75434127023579</v>
      </c>
      <c r="X4" s="3" t="n">
        <f aca="false">L4/$O4*100</f>
        <v>5.97162847343043</v>
      </c>
      <c r="Y4" s="3" t="n">
        <f aca="false">M4/$O4*100</f>
        <v>3.38975327666484</v>
      </c>
      <c r="Z4" s="3" t="n">
        <f aca="false">N4/$O4*100</f>
        <v>1.13326622591175</v>
      </c>
    </row>
    <row r="5" customFormat="false" ht="15" hidden="false" customHeight="false" outlineLevel="0" collapsed="false">
      <c r="A5" s="1" t="s">
        <v>162</v>
      </c>
      <c r="B5" s="1" t="s">
        <v>71</v>
      </c>
      <c r="C5" s="1" t="s">
        <v>160</v>
      </c>
      <c r="D5" s="3" t="n">
        <v>49.265</v>
      </c>
      <c r="E5" s="3" t="n">
        <v>2.1305</v>
      </c>
      <c r="F5" s="3" t="n">
        <v>15.2717</v>
      </c>
      <c r="G5" s="3" t="n">
        <v>0</v>
      </c>
      <c r="H5" s="3" t="n">
        <v>9.672</v>
      </c>
      <c r="I5" s="3" t="n">
        <v>0.2609</v>
      </c>
      <c r="J5" s="3" t="n">
        <v>2.9131</v>
      </c>
      <c r="K5" s="3" t="n">
        <v>6.5283</v>
      </c>
      <c r="L5" s="3" t="n">
        <v>5.7746</v>
      </c>
      <c r="M5" s="3" t="n">
        <v>3.3488</v>
      </c>
      <c r="N5" s="3" t="n">
        <v>1.1979</v>
      </c>
      <c r="O5" s="3" t="n">
        <f aca="false">SUM(D5:N5)</f>
        <v>96.3628</v>
      </c>
      <c r="P5" s="3" t="n">
        <f aca="false">D5/$O5*100</f>
        <v>51.1245003258519</v>
      </c>
      <c r="Q5" s="3" t="n">
        <f aca="false">E5/$O5*100</f>
        <v>2.21091541549229</v>
      </c>
      <c r="R5" s="3" t="n">
        <f aca="false">F5/$O5*100</f>
        <v>15.8481281158289</v>
      </c>
      <c r="S5" s="3" t="n">
        <f aca="false">G5/$O5*100</f>
        <v>0</v>
      </c>
      <c r="T5" s="3" t="n">
        <f aca="false">H5/$O5*100</f>
        <v>10.0370682462527</v>
      </c>
      <c r="U5" s="3" t="n">
        <f aca="false">I5/$O5*100</f>
        <v>0.270747632903984</v>
      </c>
      <c r="V5" s="3" t="n">
        <f aca="false">J5/$O5*100</f>
        <v>3.02305453971865</v>
      </c>
      <c r="W5" s="3" t="n">
        <f aca="false">K5/$O5*100</f>
        <v>6.7747097427638</v>
      </c>
      <c r="X5" s="3" t="n">
        <f aca="false">L5/$O5*100</f>
        <v>5.99256144487292</v>
      </c>
      <c r="Y5" s="3" t="n">
        <f aca="false">M5/$O5*100</f>
        <v>3.47519997343373</v>
      </c>
      <c r="Z5" s="3" t="n">
        <f aca="false">N5/$O5*100</f>
        <v>1.24311456288111</v>
      </c>
    </row>
    <row r="6" customFormat="false" ht="15" hidden="false" customHeight="false" outlineLevel="0" collapsed="false">
      <c r="A6" s="1" t="s">
        <v>163</v>
      </c>
      <c r="B6" s="1" t="s">
        <v>71</v>
      </c>
      <c r="C6" s="1" t="s">
        <v>160</v>
      </c>
      <c r="D6" s="3" t="n">
        <v>49.5223</v>
      </c>
      <c r="E6" s="3" t="n">
        <v>2.4821</v>
      </c>
      <c r="F6" s="3" t="n">
        <v>15.5905</v>
      </c>
      <c r="G6" s="3" t="n">
        <v>0.0937</v>
      </c>
      <c r="H6" s="3" t="n">
        <v>9.6138</v>
      </c>
      <c r="I6" s="3" t="n">
        <v>0.2438</v>
      </c>
      <c r="J6" s="3" t="n">
        <v>2.9887</v>
      </c>
      <c r="K6" s="3" t="n">
        <v>6.5602</v>
      </c>
      <c r="L6" s="3" t="n">
        <v>5.699</v>
      </c>
      <c r="M6" s="3" t="n">
        <v>3.3167</v>
      </c>
      <c r="N6" s="3" t="n">
        <v>1.18</v>
      </c>
      <c r="O6" s="3" t="n">
        <f aca="false">SUM(D6:N6)</f>
        <v>97.2908</v>
      </c>
      <c r="P6" s="3" t="n">
        <f aca="false">D6/$O6*100</f>
        <v>50.9013185213813</v>
      </c>
      <c r="Q6" s="3" t="n">
        <f aca="false">E6/$O6*100</f>
        <v>2.5512175868633</v>
      </c>
      <c r="R6" s="3" t="n">
        <f aca="false">F6/$O6*100</f>
        <v>16.0246395342622</v>
      </c>
      <c r="S6" s="3" t="n">
        <f aca="false">G6/$O6*100</f>
        <v>0.0963092090927405</v>
      </c>
      <c r="T6" s="3" t="n">
        <f aca="false">H6/$O6*100</f>
        <v>9.88150986526989</v>
      </c>
      <c r="U6" s="3" t="n">
        <f aca="false">I6/$O6*100</f>
        <v>0.250588955995839</v>
      </c>
      <c r="V6" s="3" t="n">
        <f aca="false">J6/$O6*100</f>
        <v>3.07192458074145</v>
      </c>
      <c r="W6" s="3" t="n">
        <f aca="false">K6/$O6*100</f>
        <v>6.74287805218993</v>
      </c>
      <c r="X6" s="3" t="n">
        <f aca="false">L6/$O6*100</f>
        <v>5.85769671952538</v>
      </c>
      <c r="Y6" s="3" t="n">
        <f aca="false">M6/$O6*100</f>
        <v>3.40905820488679</v>
      </c>
      <c r="Z6" s="3" t="n">
        <f aca="false">N6/$O6*100</f>
        <v>1.21285876979118</v>
      </c>
    </row>
    <row r="7" customFormat="false" ht="15" hidden="false" customHeight="false" outlineLevel="0" collapsed="false">
      <c r="A7" s="1" t="s">
        <v>164</v>
      </c>
      <c r="B7" s="1" t="s">
        <v>71</v>
      </c>
      <c r="C7" s="1" t="s">
        <v>160</v>
      </c>
      <c r="D7" s="3" t="n">
        <v>49.2485</v>
      </c>
      <c r="E7" s="3" t="n">
        <v>2.2637</v>
      </c>
      <c r="F7" s="3" t="n">
        <v>15.3416</v>
      </c>
      <c r="G7" s="3" t="n">
        <v>0.0939</v>
      </c>
      <c r="H7" s="3" t="n">
        <v>9.8971</v>
      </c>
      <c r="I7" s="3" t="n">
        <v>0.3222</v>
      </c>
      <c r="J7" s="3" t="n">
        <v>2.921</v>
      </c>
      <c r="K7" s="3" t="n">
        <v>6.5433</v>
      </c>
      <c r="L7" s="3" t="n">
        <v>5.7491</v>
      </c>
      <c r="M7" s="3" t="n">
        <v>3.2984</v>
      </c>
      <c r="N7" s="3" t="n">
        <v>1.2261</v>
      </c>
      <c r="O7" s="3" t="n">
        <f aca="false">SUM(D7:N7)</f>
        <v>96.9049</v>
      </c>
      <c r="P7" s="3" t="n">
        <f aca="false">D7/$O7*100</f>
        <v>50.8214754878236</v>
      </c>
      <c r="Q7" s="3" t="n">
        <f aca="false">E7/$O7*100</f>
        <v>2.33600158505917</v>
      </c>
      <c r="R7" s="3" t="n">
        <f aca="false">F7/$O7*100</f>
        <v>15.8316039746184</v>
      </c>
      <c r="S7" s="3" t="n">
        <f aca="false">G7/$O7*100</f>
        <v>0.096899124812058</v>
      </c>
      <c r="T7" s="3" t="n">
        <f aca="false">H7/$O7*100</f>
        <v>10.2132090327734</v>
      </c>
      <c r="U7" s="3" t="n">
        <f aca="false">I7/$O7*100</f>
        <v>0.332490926671407</v>
      </c>
      <c r="V7" s="3" t="n">
        <f aca="false">J7/$O7*100</f>
        <v>3.01429545874357</v>
      </c>
      <c r="W7" s="3" t="n">
        <f aca="false">K7/$O7*100</f>
        <v>6.75229013187156</v>
      </c>
      <c r="X7" s="3" t="n">
        <f aca="false">L7/$O7*100</f>
        <v>5.93272373223645</v>
      </c>
      <c r="Y7" s="3" t="n">
        <f aca="false">M7/$O7*100</f>
        <v>3.40374944920226</v>
      </c>
      <c r="Z7" s="3" t="n">
        <f aca="false">N7/$O7*100</f>
        <v>1.26526109618812</v>
      </c>
    </row>
    <row r="8" customFormat="false" ht="15" hidden="false" customHeight="false" outlineLevel="0" collapsed="false">
      <c r="A8" s="1" t="s">
        <v>165</v>
      </c>
      <c r="B8" s="1" t="s">
        <v>71</v>
      </c>
      <c r="C8" s="1" t="s">
        <v>160</v>
      </c>
      <c r="D8" s="3" t="n">
        <v>48.8191</v>
      </c>
      <c r="E8" s="3" t="n">
        <v>2.3456</v>
      </c>
      <c r="F8" s="3" t="n">
        <v>15.5131</v>
      </c>
      <c r="G8" s="3" t="n">
        <v>0.0045</v>
      </c>
      <c r="H8" s="3" t="n">
        <v>10.0953</v>
      </c>
      <c r="I8" s="3" t="n">
        <v>0.2905</v>
      </c>
      <c r="J8" s="3" t="n">
        <v>3.0866</v>
      </c>
      <c r="K8" s="3" t="n">
        <v>6.6432</v>
      </c>
      <c r="L8" s="3" t="n">
        <v>5.6995</v>
      </c>
      <c r="M8" s="3" t="n">
        <v>3.1932</v>
      </c>
      <c r="N8" s="3" t="n">
        <v>1.15</v>
      </c>
      <c r="O8" s="3" t="n">
        <f aca="false">SUM(D8:N8)</f>
        <v>96.8406</v>
      </c>
      <c r="P8" s="3" t="n">
        <f aca="false">D8/$O8*100</f>
        <v>50.4118107487975</v>
      </c>
      <c r="Q8" s="3" t="n">
        <f aca="false">E8/$O8*100</f>
        <v>2.42212460476288</v>
      </c>
      <c r="R8" s="3" t="n">
        <f aca="false">F8/$O8*100</f>
        <v>16.0192109507789</v>
      </c>
      <c r="S8" s="3" t="n">
        <f aca="false">G8/$O8*100</f>
        <v>0.00464681135804611</v>
      </c>
      <c r="T8" s="3" t="n">
        <f aca="false">H8/$O8*100</f>
        <v>10.4246566006406</v>
      </c>
      <c r="U8" s="3" t="n">
        <f aca="false">I8/$O8*100</f>
        <v>0.299977488780532</v>
      </c>
      <c r="V8" s="3" t="n">
        <f aca="false">J8/$O8*100</f>
        <v>3.18729954172114</v>
      </c>
      <c r="W8" s="3" t="n">
        <f aca="false">K8/$O8*100</f>
        <v>6.85993271417154</v>
      </c>
      <c r="X8" s="3" t="n">
        <f aca="false">L8/$O8*100</f>
        <v>5.88544474115195</v>
      </c>
      <c r="Y8" s="3" t="n">
        <f aca="false">M8/$O8*100</f>
        <v>3.29737733966952</v>
      </c>
      <c r="Z8" s="3" t="n">
        <f aca="false">N8/$O8*100</f>
        <v>1.18751845816734</v>
      </c>
    </row>
    <row r="9" customFormat="false" ht="15" hidden="false" customHeight="false" outlineLevel="0" collapsed="false">
      <c r="A9" s="1" t="s">
        <v>166</v>
      </c>
      <c r="B9" s="1" t="s">
        <v>71</v>
      </c>
      <c r="C9" s="1" t="s">
        <v>160</v>
      </c>
      <c r="D9" s="3" t="n">
        <v>49.2715</v>
      </c>
      <c r="E9" s="3" t="n">
        <v>2.2784</v>
      </c>
      <c r="F9" s="3" t="n">
        <v>15.4396</v>
      </c>
      <c r="G9" s="3" t="n">
        <v>0.0178</v>
      </c>
      <c r="H9" s="3" t="n">
        <v>9.9548</v>
      </c>
      <c r="I9" s="3" t="n">
        <v>0.2424</v>
      </c>
      <c r="J9" s="3" t="n">
        <v>3.1103</v>
      </c>
      <c r="K9" s="3" t="n">
        <v>6.8987</v>
      </c>
      <c r="L9" s="3" t="n">
        <v>5.7048</v>
      </c>
      <c r="M9" s="3" t="n">
        <v>3.3174</v>
      </c>
      <c r="N9" s="3" t="n">
        <v>1.3505</v>
      </c>
      <c r="O9" s="3" t="n">
        <f aca="false">SUM(D9:N9)</f>
        <v>97.5862</v>
      </c>
      <c r="P9" s="3" t="n">
        <f aca="false">D9/$O9*100</f>
        <v>50.4902332501932</v>
      </c>
      <c r="Q9" s="3" t="n">
        <f aca="false">E9/$O9*100</f>
        <v>2.33475634874603</v>
      </c>
      <c r="R9" s="3" t="n">
        <f aca="false">F9/$O9*100</f>
        <v>15.8214993513427</v>
      </c>
      <c r="S9" s="3" t="n">
        <f aca="false">G9/$O9*100</f>
        <v>0.0182402839745784</v>
      </c>
      <c r="T9" s="3" t="n">
        <f aca="false">H9/$O9*100</f>
        <v>10.2010325230412</v>
      </c>
      <c r="U9" s="3" t="n">
        <f aca="false">I9/$O9*100</f>
        <v>0.248395777271786</v>
      </c>
      <c r="V9" s="3" t="n">
        <f aca="false">J9/$O9*100</f>
        <v>3.18723344079388</v>
      </c>
      <c r="W9" s="3" t="n">
        <f aca="false">K9/$O9*100</f>
        <v>7.06933972221482</v>
      </c>
      <c r="X9" s="3" t="n">
        <f aca="false">L9/$O9*100</f>
        <v>5.84590854034689</v>
      </c>
      <c r="Y9" s="3" t="n">
        <f aca="false">M9/$O9*100</f>
        <v>3.39945607063294</v>
      </c>
      <c r="Z9" s="3" t="n">
        <f aca="false">N9/$O9*100</f>
        <v>1.38390469144203</v>
      </c>
    </row>
    <row r="10" customFormat="false" ht="15" hidden="false" customHeight="false" outlineLevel="0" collapsed="false">
      <c r="A10" s="1" t="s">
        <v>167</v>
      </c>
      <c r="B10" s="1" t="s">
        <v>71</v>
      </c>
      <c r="C10" s="1" t="s">
        <v>160</v>
      </c>
      <c r="D10" s="3" t="n">
        <v>49.9148</v>
      </c>
      <c r="E10" s="3" t="n">
        <v>2.3918</v>
      </c>
      <c r="F10" s="3" t="n">
        <v>15.4318</v>
      </c>
      <c r="G10" s="3" t="n">
        <v>0.0535</v>
      </c>
      <c r="H10" s="3" t="n">
        <v>10.0921</v>
      </c>
      <c r="I10" s="3" t="n">
        <v>0.2191</v>
      </c>
      <c r="J10" s="3" t="n">
        <v>2.8949</v>
      </c>
      <c r="K10" s="3" t="n">
        <v>6.5179</v>
      </c>
      <c r="L10" s="3" t="n">
        <v>5.7761</v>
      </c>
      <c r="M10" s="3" t="n">
        <v>3.3871</v>
      </c>
      <c r="N10" s="3" t="n">
        <v>1.105</v>
      </c>
      <c r="O10" s="3" t="n">
        <f aca="false">SUM(D10:N10)</f>
        <v>97.7841</v>
      </c>
      <c r="P10" s="3" t="n">
        <f aca="false">D10/$O10*100</f>
        <v>51.0459266895129</v>
      </c>
      <c r="Q10" s="3" t="n">
        <f aca="false">E10/$O10*100</f>
        <v>2.44600093471229</v>
      </c>
      <c r="R10" s="3" t="n">
        <f aca="false">F10/$O10*100</f>
        <v>15.7815023096802</v>
      </c>
      <c r="S10" s="3" t="n">
        <f aca="false">G10/$O10*100</f>
        <v>0.0547123714387104</v>
      </c>
      <c r="T10" s="3" t="n">
        <f aca="false">H10/$O10*100</f>
        <v>10.3207985756376</v>
      </c>
      <c r="U10" s="3" t="n">
        <f aca="false">I10/$O10*100</f>
        <v>0.224065057611616</v>
      </c>
      <c r="V10" s="3" t="n">
        <f aca="false">J10/$O10*100</f>
        <v>2.96050175846584</v>
      </c>
      <c r="W10" s="3" t="n">
        <f aca="false">K10/$O10*100</f>
        <v>6.66560309907234</v>
      </c>
      <c r="X10" s="3" t="n">
        <f aca="false">L10/$O10*100</f>
        <v>5.90699305919879</v>
      </c>
      <c r="Y10" s="3" t="n">
        <f aca="false">M10/$O10*100</f>
        <v>3.46385557570198</v>
      </c>
      <c r="Z10" s="3" t="n">
        <f aca="false">N10/$O10*100</f>
        <v>1.13004056896776</v>
      </c>
    </row>
    <row r="11" customFormat="false" ht="15" hidden="false" customHeight="false" outlineLevel="0" collapsed="false">
      <c r="A11" s="1" t="s">
        <v>168</v>
      </c>
      <c r="B11" s="1" t="s">
        <v>71</v>
      </c>
      <c r="C11" s="1" t="s">
        <v>160</v>
      </c>
      <c r="D11" s="3" t="n">
        <v>48.9665</v>
      </c>
      <c r="E11" s="3" t="n">
        <v>2.2975</v>
      </c>
      <c r="F11" s="3" t="n">
        <v>15.3713</v>
      </c>
      <c r="G11" s="3" t="n">
        <v>0</v>
      </c>
      <c r="H11" s="3" t="n">
        <v>9.5356</v>
      </c>
      <c r="I11" s="3" t="n">
        <v>0.2365</v>
      </c>
      <c r="J11" s="3" t="n">
        <v>2.9662</v>
      </c>
      <c r="K11" s="3" t="n">
        <v>6.6859</v>
      </c>
      <c r="L11" s="3" t="n">
        <v>5.5992</v>
      </c>
      <c r="M11" s="3" t="n">
        <v>3.2764</v>
      </c>
      <c r="N11" s="3" t="n">
        <v>1.2294</v>
      </c>
      <c r="O11" s="3" t="n">
        <f aca="false">SUM(D11:N11)</f>
        <v>96.1645</v>
      </c>
      <c r="P11" s="3" t="n">
        <f aca="false">D11/$O11*100</f>
        <v>50.9195181173926</v>
      </c>
      <c r="Q11" s="3" t="n">
        <f aca="false">E11/$O11*100</f>
        <v>2.38913528381055</v>
      </c>
      <c r="R11" s="3" t="n">
        <f aca="false">F11/$O11*100</f>
        <v>15.9843809305929</v>
      </c>
      <c r="S11" s="3" t="n">
        <f aca="false">G11/$O11*100</f>
        <v>0</v>
      </c>
      <c r="T11" s="3" t="n">
        <f aca="false">H11/$O11*100</f>
        <v>9.91592531547505</v>
      </c>
      <c r="U11" s="3" t="n">
        <f aca="false">I11/$O11*100</f>
        <v>0.245932750651228</v>
      </c>
      <c r="V11" s="3" t="n">
        <f aca="false">J11/$O11*100</f>
        <v>3.08450623670897</v>
      </c>
      <c r="W11" s="3" t="n">
        <f aca="false">K11/$O11*100</f>
        <v>6.95256565572535</v>
      </c>
      <c r="X11" s="3" t="n">
        <f aca="false">L11/$O11*100</f>
        <v>5.82252286446662</v>
      </c>
      <c r="Y11" s="3" t="n">
        <f aca="false">M11/$O11*100</f>
        <v>3.40707849570268</v>
      </c>
      <c r="Z11" s="3" t="n">
        <f aca="false">N11/$O11*100</f>
        <v>1.27843434947408</v>
      </c>
    </row>
    <row r="12" customFormat="false" ht="15" hidden="false" customHeight="false" outlineLevel="0" collapsed="false">
      <c r="A12" s="1" t="s">
        <v>169</v>
      </c>
      <c r="B12" s="1" t="s">
        <v>71</v>
      </c>
      <c r="C12" s="1" t="s">
        <v>160</v>
      </c>
      <c r="D12" s="3" t="n">
        <v>49.4553</v>
      </c>
      <c r="E12" s="3" t="n">
        <v>2.4552</v>
      </c>
      <c r="F12" s="3" t="n">
        <v>15.333</v>
      </c>
      <c r="G12" s="3" t="n">
        <v>0</v>
      </c>
      <c r="H12" s="3" t="n">
        <v>9.7422</v>
      </c>
      <c r="I12" s="3" t="n">
        <v>0.1856</v>
      </c>
      <c r="J12" s="3" t="n">
        <v>2.7889</v>
      </c>
      <c r="K12" s="3" t="n">
        <v>6.5874</v>
      </c>
      <c r="L12" s="3" t="n">
        <v>5.6721</v>
      </c>
      <c r="M12" s="3" t="n">
        <v>3.189</v>
      </c>
      <c r="N12" s="3" t="n">
        <v>1.0967</v>
      </c>
      <c r="O12" s="3" t="n">
        <f aca="false">SUM(D12:N12)</f>
        <v>96.5054</v>
      </c>
      <c r="P12" s="3" t="n">
        <f aca="false">D12/$O12*100</f>
        <v>51.2461478839526</v>
      </c>
      <c r="Q12" s="3" t="n">
        <f aca="false">E12/$O12*100</f>
        <v>2.54410634016335</v>
      </c>
      <c r="R12" s="3" t="n">
        <f aca="false">F12/$O12*100</f>
        <v>15.888230088679</v>
      </c>
      <c r="S12" s="3" t="n">
        <f aca="false">G12/$O12*100</f>
        <v>0</v>
      </c>
      <c r="T12" s="3" t="n">
        <f aca="false">H12/$O12*100</f>
        <v>10.0949791410636</v>
      </c>
      <c r="U12" s="3" t="n">
        <f aca="false">I12/$O12*100</f>
        <v>0.192320844222189</v>
      </c>
      <c r="V12" s="3" t="n">
        <f aca="false">J12/$O12*100</f>
        <v>2.88989009941413</v>
      </c>
      <c r="W12" s="3" t="n">
        <f aca="false">K12/$O12*100</f>
        <v>6.82593927386447</v>
      </c>
      <c r="X12" s="3" t="n">
        <f aca="false">L12/$O12*100</f>
        <v>5.87749493810709</v>
      </c>
      <c r="Y12" s="3" t="n">
        <f aca="false">M12/$O12*100</f>
        <v>3.3044782986237</v>
      </c>
      <c r="Z12" s="3" t="n">
        <f aca="false">N12/$O12*100</f>
        <v>1.13641309190988</v>
      </c>
    </row>
    <row r="13" customFormat="false" ht="15" hidden="false" customHeight="false" outlineLevel="0" collapsed="false">
      <c r="A13" s="1" t="s">
        <v>170</v>
      </c>
      <c r="B13" s="1" t="s">
        <v>71</v>
      </c>
      <c r="C13" s="1" t="s">
        <v>160</v>
      </c>
      <c r="D13" s="3" t="n">
        <v>49.332</v>
      </c>
      <c r="E13" s="3" t="n">
        <v>2.2463</v>
      </c>
      <c r="F13" s="3" t="n">
        <v>15.4359</v>
      </c>
      <c r="G13" s="3" t="n">
        <v>0.0045</v>
      </c>
      <c r="H13" s="3" t="n">
        <v>10.0259</v>
      </c>
      <c r="I13" s="3" t="n">
        <v>0.1683</v>
      </c>
      <c r="J13" s="3" t="n">
        <v>2.9315</v>
      </c>
      <c r="K13" s="3" t="n">
        <v>6.5802</v>
      </c>
      <c r="L13" s="3" t="n">
        <v>5.9234</v>
      </c>
      <c r="M13" s="3" t="n">
        <v>3.2523</v>
      </c>
      <c r="N13" s="3" t="n">
        <v>1.1434</v>
      </c>
      <c r="O13" s="3" t="n">
        <f aca="false">SUM(D13:N13)</f>
        <v>97.0437</v>
      </c>
      <c r="P13" s="3" t="n">
        <f aca="false">D13/$O13*100</f>
        <v>50.8348300817055</v>
      </c>
      <c r="Q13" s="3" t="n">
        <f aca="false">E13/$O13*100</f>
        <v>2.31473037404798</v>
      </c>
      <c r="R13" s="3" t="n">
        <f aca="false">F13/$O13*100</f>
        <v>15.9061330101799</v>
      </c>
      <c r="S13" s="3" t="n">
        <f aca="false">G13/$O13*100</f>
        <v>0.00463708617870094</v>
      </c>
      <c r="T13" s="3" t="n">
        <f aca="false">H13/$O13*100</f>
        <v>10.3313249597862</v>
      </c>
      <c r="U13" s="3" t="n">
        <f aca="false">I13/$O13*100</f>
        <v>0.173427023083415</v>
      </c>
      <c r="V13" s="3" t="n">
        <f aca="false">J13/$O13*100</f>
        <v>3.02080402952484</v>
      </c>
      <c r="W13" s="3" t="n">
        <f aca="false">K13/$O13*100</f>
        <v>6.78065654957509</v>
      </c>
      <c r="X13" s="3" t="n">
        <f aca="false">L13/$O13*100</f>
        <v>6.10384806020381</v>
      </c>
      <c r="Y13" s="3" t="n">
        <f aca="false">M13/$O13*100</f>
        <v>3.35137675088646</v>
      </c>
      <c r="Z13" s="3" t="n">
        <f aca="false">N13/$O13*100</f>
        <v>1.17823207482814</v>
      </c>
    </row>
    <row r="14" customFormat="false" ht="15" hidden="false" customHeight="false" outlineLevel="0" collapsed="false">
      <c r="C14" s="1" t="s">
        <v>14</v>
      </c>
      <c r="D14" s="3" t="n">
        <f aca="false">AVERAGE(D3:D13)</f>
        <v>49.3413181818182</v>
      </c>
      <c r="E14" s="3" t="n">
        <f aca="false">AVERAGE(E3:E13)</f>
        <v>2.29907272727273</v>
      </c>
      <c r="F14" s="3" t="n">
        <f aca="false">AVERAGE(F3:F13)</f>
        <v>15.4384636363636</v>
      </c>
      <c r="G14" s="3" t="n">
        <f aca="false">AVERAGE(G3:G13)</f>
        <v>0.0243545454545455</v>
      </c>
      <c r="H14" s="3" t="n">
        <f aca="false">AVERAGE(H3:H13)</f>
        <v>9.83296363636364</v>
      </c>
      <c r="I14" s="3" t="n">
        <f aca="false">AVERAGE(I3:I13)</f>
        <v>0.2424</v>
      </c>
      <c r="J14" s="3" t="n">
        <f aca="false">AVERAGE(J3:J13)</f>
        <v>2.95852727272727</v>
      </c>
      <c r="K14" s="3" t="n">
        <f aca="false">AVERAGE(K3:K13)</f>
        <v>6.60487272727273</v>
      </c>
      <c r="L14" s="3" t="n">
        <f aca="false">AVERAGE(L3:L13)</f>
        <v>5.74279090909091</v>
      </c>
      <c r="M14" s="3" t="n">
        <f aca="false">AVERAGE(M3:M13)</f>
        <v>3.28181818181818</v>
      </c>
      <c r="N14" s="3" t="n">
        <f aca="false">AVERAGE(N3:N13)</f>
        <v>1.16268181818182</v>
      </c>
      <c r="O14" s="3" t="n">
        <f aca="false">SUM(D14:N14)</f>
        <v>96.9292636363636</v>
      </c>
      <c r="P14" s="3" t="n">
        <f aca="false">AVERAGE(P3:P13)</f>
        <v>50.9048567179084</v>
      </c>
      <c r="Q14" s="3" t="n">
        <f aca="false">AVERAGE(Q3:Q13)</f>
        <v>2.37182169233013</v>
      </c>
      <c r="R14" s="3" t="n">
        <f aca="false">AVERAGE(R3:R13)</f>
        <v>15.9277864473607</v>
      </c>
      <c r="S14" s="3" t="n">
        <f aca="false">AVERAGE(S3:S13)</f>
        <v>0.0250404442595304</v>
      </c>
      <c r="T14" s="3" t="n">
        <f aca="false">AVERAGE(T3:T13)</f>
        <v>10.1440509169912</v>
      </c>
      <c r="U14" s="3" t="n">
        <f aca="false">AVERAGE(U3:U13)</f>
        <v>0.250054707041188</v>
      </c>
      <c r="V14" s="3" t="n">
        <f aca="false">AVERAGE(V3:V13)</f>
        <v>3.05220437167517</v>
      </c>
      <c r="W14" s="3" t="n">
        <f aca="false">AVERAGE(W3:W13)</f>
        <v>6.81417916002245</v>
      </c>
      <c r="X14" s="3" t="n">
        <f aca="false">AVERAGE(X3:X13)</f>
        <v>5.9247351221808</v>
      </c>
      <c r="Y14" s="3" t="n">
        <f aca="false">AVERAGE(Y3:Y13)</f>
        <v>3.38574666054855</v>
      </c>
      <c r="Z14" s="3" t="n">
        <f aca="false">AVERAGE(Z3:Z13)</f>
        <v>1.19952375968188</v>
      </c>
    </row>
    <row r="15" customFormat="false" ht="15" hidden="false" customHeight="false" outlineLevel="0" collapsed="false">
      <c r="C15" s="1" t="s">
        <v>81</v>
      </c>
      <c r="D15" s="3" t="n">
        <f aca="false">_xlfn.STDEV.P(D3:D13)</f>
        <v>0.284235151745176</v>
      </c>
      <c r="E15" s="3" t="n">
        <f aca="false">_xlfn.STDEV.P(E3:E13)</f>
        <v>0.105513153776364</v>
      </c>
      <c r="F15" s="3" t="n">
        <f aca="false">_xlfn.STDEV.P(F3:F13)</f>
        <v>0.103236861569775</v>
      </c>
      <c r="G15" s="3" t="n">
        <f aca="false">_xlfn.STDEV.P(G3:G13)</f>
        <v>0.0360453089530477</v>
      </c>
      <c r="H15" s="3" t="n">
        <f aca="false">_xlfn.STDEV.P(H3:H13)</f>
        <v>0.200289900225227</v>
      </c>
      <c r="I15" s="3" t="n">
        <f aca="false">_xlfn.STDEV.P(I3:I13)</f>
        <v>0.0528334088518722</v>
      </c>
      <c r="J15" s="3" t="n">
        <f aca="false">_xlfn.STDEV.P(J3:J13)</f>
        <v>0.0840964607504014</v>
      </c>
      <c r="K15" s="3" t="n">
        <f aca="false">_xlfn.STDEV.P(K3:K13)</f>
        <v>0.105179483748747</v>
      </c>
      <c r="L15" s="3" t="n">
        <f aca="false">_xlfn.STDEV.P(L3:L13)</f>
        <v>0.079917940351855</v>
      </c>
      <c r="M15" s="3" t="n">
        <f aca="false">_xlfn.STDEV.P(M3:M13)</f>
        <v>0.0579574109808514</v>
      </c>
      <c r="N15" s="3" t="n">
        <f aca="false">_xlfn.STDEV.P(N3:N13)</f>
        <v>0.0850857836451683</v>
      </c>
      <c r="O15" s="3"/>
      <c r="P15" s="3" t="n">
        <f aca="false">_xlfn.STDEV.P(P3:P13)</f>
        <v>0.247253831468771</v>
      </c>
      <c r="Q15" s="3" t="n">
        <f aca="false">_xlfn.STDEV.P(Q3:Q13)</f>
        <v>0.106360152402208</v>
      </c>
      <c r="R15" s="3" t="n">
        <f aca="false">_xlfn.STDEV.P(R3:R13)</f>
        <v>0.110984569581661</v>
      </c>
      <c r="S15" s="3" t="n">
        <f aca="false">_xlfn.STDEV.P(S3:S13)</f>
        <v>0.0370955630543325</v>
      </c>
      <c r="T15" s="3" t="n">
        <f aca="false">_xlfn.STDEV.P(T3:T13)</f>
        <v>0.177689110926891</v>
      </c>
      <c r="U15" s="3" t="n">
        <f aca="false">_xlfn.STDEV.P(U3:U13)</f>
        <v>0.0543975915372025</v>
      </c>
      <c r="V15" s="3" t="n">
        <f aca="false">_xlfn.STDEV.P(V3:V13)</f>
        <v>0.0835607625260445</v>
      </c>
      <c r="W15" s="3" t="n">
        <f aca="false">_xlfn.STDEV.P(W3:W13)</f>
        <v>0.106630291453553</v>
      </c>
      <c r="X15" s="3" t="n">
        <f aca="false">_xlfn.STDEV.P(X3:X13)</f>
        <v>0.0778944951303728</v>
      </c>
      <c r="Y15" s="3" t="n">
        <f aca="false">_xlfn.STDEV.P(Y3:Y13)</f>
        <v>0.0548991940351912</v>
      </c>
      <c r="Z15" s="3" t="n">
        <f aca="false">_xlfn.STDEV.P(Z3:Z13)</f>
        <v>0.0874265182167405</v>
      </c>
    </row>
    <row r="16" customFormat="false" ht="15" hidden="false" customHeight="false" outlineLevel="0" collapsed="false">
      <c r="C16" s="1" t="s">
        <v>66</v>
      </c>
      <c r="D16" s="3" t="n">
        <f aca="false">D14/$O$14*100</f>
        <v>50.9044599440323</v>
      </c>
      <c r="E16" s="3" t="n">
        <f aca="false">E14/$O$14*100</f>
        <v>2.37190776141439</v>
      </c>
      <c r="F16" s="3" t="n">
        <f aca="false">F14/$O$14*100</f>
        <v>15.9275569184989</v>
      </c>
      <c r="G16" s="3" t="n">
        <f aca="false">G14/$O$14*100</f>
        <v>0.0251261017992596</v>
      </c>
      <c r="H16" s="3" t="n">
        <f aca="false">H14/$O$14*100</f>
        <v>10.1444736785091</v>
      </c>
      <c r="I16" s="3" t="n">
        <f aca="false">I14/$O$14*100</f>
        <v>0.250079275242799</v>
      </c>
      <c r="J16" s="3" t="n">
        <f aca="false">J14/$O$14*100</f>
        <v>3.05225394451193</v>
      </c>
      <c r="K16" s="3" t="n">
        <f aca="false">K14/$O$14*100</f>
        <v>6.81411627354493</v>
      </c>
      <c r="L16" s="3" t="n">
        <f aca="false">L14/$O$14*100</f>
        <v>5.92472354957256</v>
      </c>
      <c r="M16" s="3" t="n">
        <f aca="false">M14/$O$14*100</f>
        <v>3.38578676727612</v>
      </c>
      <c r="N16" s="3" t="n">
        <f aca="false">N14/$O$14*100</f>
        <v>1.19951578559773</v>
      </c>
      <c r="O16" s="3"/>
    </row>
    <row r="17" customFormat="false" ht="15" hidden="false" customHeight="false" outlineLevel="0" collapsed="false"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customFormat="false" ht="15" hidden="false" customHeight="false" outlineLevel="0" collapsed="false">
      <c r="A18" s="16" t="s">
        <v>171</v>
      </c>
      <c r="B18" s="16" t="s">
        <v>82</v>
      </c>
      <c r="C18" s="17" t="s">
        <v>160</v>
      </c>
      <c r="D18" s="18" t="n">
        <v>0.0802</v>
      </c>
      <c r="E18" s="18" t="n">
        <v>18.0713</v>
      </c>
      <c r="F18" s="18" t="n">
        <v>3.6226</v>
      </c>
      <c r="G18" s="18" t="n">
        <v>0.0162</v>
      </c>
      <c r="H18" s="18" t="n">
        <v>68.3174</v>
      </c>
      <c r="I18" s="18" t="n">
        <v>0.6462</v>
      </c>
      <c r="J18" s="18" t="n">
        <v>4.7051</v>
      </c>
      <c r="K18" s="18" t="n">
        <v>0.0783</v>
      </c>
      <c r="L18" s="18" t="n">
        <v>0.0117</v>
      </c>
      <c r="M18" s="18" t="n">
        <v>0.0104</v>
      </c>
      <c r="N18" s="3"/>
      <c r="O18" s="3" t="n">
        <f aca="false">SUM(D18:N18)</f>
        <v>95.5594</v>
      </c>
    </row>
    <row r="19" customFormat="false" ht="15" hidden="false" customHeight="false" outlineLevel="0" collapsed="false">
      <c r="A19" s="16" t="s">
        <v>172</v>
      </c>
      <c r="B19" s="16" t="s">
        <v>82</v>
      </c>
      <c r="C19" s="17" t="s">
        <v>160</v>
      </c>
      <c r="D19" s="18" t="n">
        <v>0.0822</v>
      </c>
      <c r="E19" s="18" t="n">
        <v>18.8776</v>
      </c>
      <c r="F19" s="18" t="n">
        <v>3.7113</v>
      </c>
      <c r="G19" s="18" t="n">
        <v>0.0434</v>
      </c>
      <c r="H19" s="18" t="n">
        <v>67.8881</v>
      </c>
      <c r="I19" s="18" t="n">
        <v>0.6576</v>
      </c>
      <c r="J19" s="18" t="n">
        <v>4.6226</v>
      </c>
      <c r="K19" s="18" t="n">
        <v>0.1299</v>
      </c>
      <c r="L19" s="18" t="n">
        <v>0.0263</v>
      </c>
      <c r="M19" s="18" t="n">
        <v>0.0147</v>
      </c>
      <c r="N19" s="3"/>
      <c r="O19" s="3" t="n">
        <f aca="false">SUM(D19:N19)</f>
        <v>96.0537</v>
      </c>
    </row>
    <row r="20" customFormat="false" ht="15" hidden="false" customHeight="false" outlineLevel="0" collapsed="false">
      <c r="A20" s="16" t="s">
        <v>169</v>
      </c>
      <c r="B20" s="16" t="s">
        <v>82</v>
      </c>
      <c r="C20" s="17" t="s">
        <v>160</v>
      </c>
      <c r="D20" s="18" t="n">
        <v>0.0929</v>
      </c>
      <c r="E20" s="18" t="n">
        <v>18.1901</v>
      </c>
      <c r="F20" s="18" t="n">
        <v>3.6173</v>
      </c>
      <c r="G20" s="18" t="n">
        <v>0</v>
      </c>
      <c r="H20" s="18" t="n">
        <v>68.333</v>
      </c>
      <c r="I20" s="18" t="n">
        <v>0.5695</v>
      </c>
      <c r="J20" s="18" t="n">
        <v>4.6403</v>
      </c>
      <c r="K20" s="18" t="n">
        <v>0.0779</v>
      </c>
      <c r="L20" s="18" t="n">
        <v>0.0254</v>
      </c>
      <c r="M20" s="18" t="n">
        <v>0.0351</v>
      </c>
      <c r="N20" s="3"/>
      <c r="O20" s="3" t="n">
        <f aca="false">SUM(D20:N20)</f>
        <v>95.5815</v>
      </c>
    </row>
    <row r="21" customFormat="false" ht="15" hidden="false" customHeight="false" outlineLevel="0" collapsed="false">
      <c r="A21" s="16" t="s">
        <v>173</v>
      </c>
      <c r="B21" s="16" t="s">
        <v>82</v>
      </c>
      <c r="C21" s="17" t="s">
        <v>160</v>
      </c>
      <c r="D21" s="18" t="n">
        <v>0.1203</v>
      </c>
      <c r="E21" s="18" t="n">
        <v>18.9088</v>
      </c>
      <c r="F21" s="18" t="n">
        <v>3.6799</v>
      </c>
      <c r="G21" s="18" t="n">
        <v>0</v>
      </c>
      <c r="H21" s="18" t="n">
        <v>68.0158</v>
      </c>
      <c r="I21" s="18" t="n">
        <v>0.6213</v>
      </c>
      <c r="J21" s="18" t="n">
        <v>4.4419</v>
      </c>
      <c r="K21" s="18" t="n">
        <v>0.0987</v>
      </c>
      <c r="L21" s="18" t="n">
        <v>0.0391</v>
      </c>
      <c r="M21" s="18" t="n">
        <v>0.0058</v>
      </c>
      <c r="N21" s="3"/>
      <c r="O21" s="3" t="n">
        <f aca="false">SUM(D21:N21)</f>
        <v>95.9316</v>
      </c>
    </row>
    <row r="22" customFormat="false" ht="15" hidden="false" customHeight="false" outlineLevel="0" collapsed="false">
      <c r="A22" s="16" t="s">
        <v>161</v>
      </c>
      <c r="B22" s="16" t="s">
        <v>82</v>
      </c>
      <c r="C22" s="17" t="s">
        <v>160</v>
      </c>
      <c r="D22" s="18" t="n">
        <v>0.1251</v>
      </c>
      <c r="E22" s="18" t="n">
        <v>18.8489</v>
      </c>
      <c r="F22" s="18" t="n">
        <v>3.624</v>
      </c>
      <c r="G22" s="18" t="n">
        <v>0.0867</v>
      </c>
      <c r="H22" s="18" t="n">
        <v>68.1647</v>
      </c>
      <c r="I22" s="18" t="n">
        <v>0.6541</v>
      </c>
      <c r="J22" s="18" t="n">
        <v>4.5189</v>
      </c>
      <c r="K22" s="18" t="n">
        <v>0.0818</v>
      </c>
      <c r="L22" s="18" t="n">
        <v>0.0322</v>
      </c>
      <c r="M22" s="18" t="n">
        <v>0.0243</v>
      </c>
      <c r="N22" s="3"/>
      <c r="O22" s="3" t="n">
        <f aca="false">SUM(D22:N22)</f>
        <v>96.1607</v>
      </c>
    </row>
    <row r="23" customFormat="false" ht="15" hidden="false" customHeight="false" outlineLevel="0" collapsed="false">
      <c r="A23" s="16" t="s">
        <v>168</v>
      </c>
      <c r="B23" s="16" t="s">
        <v>82</v>
      </c>
      <c r="C23" s="17" t="s">
        <v>160</v>
      </c>
      <c r="D23" s="18" t="n">
        <v>0.1367</v>
      </c>
      <c r="E23" s="18" t="n">
        <v>18.6807</v>
      </c>
      <c r="F23" s="18" t="n">
        <v>3.7088</v>
      </c>
      <c r="G23" s="18" t="n">
        <v>0.0288</v>
      </c>
      <c r="H23" s="18" t="n">
        <v>68.4428</v>
      </c>
      <c r="I23" s="18" t="n">
        <v>0.6517</v>
      </c>
      <c r="J23" s="18" t="n">
        <v>4.5235</v>
      </c>
      <c r="K23" s="18" t="n">
        <v>0.0621</v>
      </c>
      <c r="L23" s="18" t="n">
        <v>0</v>
      </c>
      <c r="M23" s="18" t="n">
        <v>0.0212</v>
      </c>
      <c r="N23" s="3"/>
      <c r="O23" s="3" t="n">
        <f aca="false">SUM(D23:N23)</f>
        <v>96.2563</v>
      </c>
    </row>
    <row r="24" customFormat="false" ht="15" hidden="false" customHeight="false" outlineLevel="0" collapsed="false">
      <c r="A24" s="16" t="s">
        <v>167</v>
      </c>
      <c r="B24" s="16" t="s">
        <v>82</v>
      </c>
      <c r="C24" s="17" t="s">
        <v>160</v>
      </c>
      <c r="D24" s="18" t="n">
        <v>0.1768</v>
      </c>
      <c r="E24" s="18" t="n">
        <v>18.6766</v>
      </c>
      <c r="F24" s="18" t="n">
        <v>3.6292</v>
      </c>
      <c r="G24" s="18" t="n">
        <v>0.0723</v>
      </c>
      <c r="H24" s="18" t="n">
        <v>67.2394</v>
      </c>
      <c r="I24" s="18" t="n">
        <v>0.6369</v>
      </c>
      <c r="J24" s="18" t="n">
        <v>4.5365</v>
      </c>
      <c r="K24" s="18" t="n">
        <v>0.1738</v>
      </c>
      <c r="L24" s="18" t="n">
        <v>0.0068</v>
      </c>
      <c r="M24" s="18" t="n">
        <v>0.0464</v>
      </c>
      <c r="N24" s="3"/>
      <c r="O24" s="3" t="n">
        <f aca="false">SUM(D24:N24)</f>
        <v>95.1947</v>
      </c>
    </row>
    <row r="25" customFormat="false" ht="15" hidden="false" customHeight="false" outlineLevel="0" collapsed="false">
      <c r="C25" s="1" t="s">
        <v>30</v>
      </c>
      <c r="D25" s="3" t="n">
        <f aca="false">AVERAGE(D18:D24)</f>
        <v>0.116314285714286</v>
      </c>
      <c r="E25" s="3" t="n">
        <f aca="false">AVERAGE(E18:E24)</f>
        <v>18.6077142857143</v>
      </c>
      <c r="F25" s="3" t="n">
        <f aca="false">AVERAGE(F18:F24)</f>
        <v>3.65615714285714</v>
      </c>
      <c r="G25" s="3" t="n">
        <f aca="false">AVERAGE(G18:G24)</f>
        <v>0.0353428571428571</v>
      </c>
      <c r="H25" s="3" t="n">
        <f aca="false">AVERAGE(H18:H24)</f>
        <v>68.0573142857143</v>
      </c>
      <c r="I25" s="3" t="n">
        <f aca="false">AVERAGE(I18:I24)</f>
        <v>0.6339</v>
      </c>
      <c r="J25" s="3" t="n">
        <f aca="false">AVERAGE(J18:J24)</f>
        <v>4.56982857142857</v>
      </c>
      <c r="K25" s="3" t="n">
        <f aca="false">AVERAGE(K18:K24)</f>
        <v>0.100357142857143</v>
      </c>
      <c r="L25" s="3" t="n">
        <f aca="false">AVERAGE(L18:L24)</f>
        <v>0.0202142857142857</v>
      </c>
      <c r="M25" s="3" t="n">
        <f aca="false">AVERAGE(M18:M24)</f>
        <v>0.0225571428571429</v>
      </c>
      <c r="N25" s="3"/>
      <c r="O25" s="3" t="n">
        <f aca="false">SUM(D25:N25)</f>
        <v>95.8197</v>
      </c>
    </row>
    <row r="26" customFormat="false" ht="15" hidden="false" customHeight="false" outlineLevel="0" collapsed="false">
      <c r="C26" s="1" t="s">
        <v>81</v>
      </c>
      <c r="D26" s="3" t="n">
        <f aca="false">_xlfn.STDEV.P(D18:D24)</f>
        <v>0.0320344202637203</v>
      </c>
      <c r="E26" s="3" t="n">
        <f aca="false">_xlfn.STDEV.P(E18:E24)</f>
        <v>0.314841363358807</v>
      </c>
      <c r="F26" s="3" t="n">
        <f aca="false">_xlfn.STDEV.P(F18:F24)</f>
        <v>0.0392291020669552</v>
      </c>
      <c r="G26" s="3" t="n">
        <f aca="false">_xlfn.STDEV.P(G18:G24)</f>
        <v>0.0315680605831209</v>
      </c>
      <c r="H26" s="3" t="n">
        <f aca="false">_xlfn.STDEV.P(H18:H24)</f>
        <v>0.378553413587536</v>
      </c>
      <c r="I26" s="3" t="n">
        <f aca="false">_xlfn.STDEV.P(I18:I24)</f>
        <v>0.0286680010763619</v>
      </c>
      <c r="J26" s="3" t="n">
        <f aca="false">_xlfn.STDEV.P(J18:J24)</f>
        <v>0.08303697479842</v>
      </c>
      <c r="K26" s="3" t="n">
        <f aca="false">_xlfn.STDEV.P(K18:K24)</f>
        <v>0.0359924538576335</v>
      </c>
      <c r="L26" s="3" t="n">
        <f aca="false">_xlfn.STDEV.P(L18:L24)</f>
        <v>0.0132304225795193</v>
      </c>
      <c r="M26" s="3" t="n">
        <f aca="false">_xlfn.STDEV.P(M18:M24)</f>
        <v>0.0132072336394933</v>
      </c>
      <c r="N26" s="3"/>
      <c r="O26" s="3"/>
    </row>
    <row r="27" customFormat="false" ht="15" hidden="false" customHeight="false" outlineLevel="0" collapsed="false">
      <c r="C27" s="1" t="s">
        <v>66</v>
      </c>
      <c r="D27" s="3" t="n">
        <f aca="false">D25/$O$25*100</f>
        <v>0.121388697433081</v>
      </c>
      <c r="E27" s="3" t="n">
        <f aca="false">E25/$O$25*100</f>
        <v>19.4195079777063</v>
      </c>
      <c r="F27" s="3" t="n">
        <f aca="false">F25/$O$25*100</f>
        <v>3.81566331647578</v>
      </c>
      <c r="G27" s="3" t="n">
        <f aca="false">G25/$O$25*100</f>
        <v>0.0368847503622503</v>
      </c>
      <c r="H27" s="3" t="n">
        <f aca="false">H25/$O$25*100</f>
        <v>71.0264322323221</v>
      </c>
      <c r="I27" s="3" t="n">
        <f aca="false">I25/$O$25*100</f>
        <v>0.661554982952357</v>
      </c>
      <c r="J27" s="3" t="n">
        <f aca="false">J25/$O$25*100</f>
        <v>4.76919524004831</v>
      </c>
      <c r="K27" s="3" t="n">
        <f aca="false">K25/$O$25*100</f>
        <v>0.104735396643011</v>
      </c>
      <c r="L27" s="3" t="n">
        <f aca="false">L25/$O$25*100</f>
        <v>0.02109616886119</v>
      </c>
      <c r="M27" s="3" t="n">
        <f aca="false">M25/$O$25*100</f>
        <v>0.0235412371956319</v>
      </c>
      <c r="N27" s="3"/>
      <c r="O27" s="3"/>
    </row>
    <row r="28" customFormat="false" ht="15" hidden="false" customHeight="false" outlineLevel="0" collapsed="false"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customFormat="false" ht="15" hidden="false" customHeight="false" outlineLevel="0" collapsed="false">
      <c r="A29" s="16" t="s">
        <v>165</v>
      </c>
      <c r="B29" s="16" t="s">
        <v>82</v>
      </c>
      <c r="C29" s="16" t="s">
        <v>160</v>
      </c>
      <c r="D29" s="18" t="n">
        <v>37.1376</v>
      </c>
      <c r="E29" s="18" t="n">
        <v>0.0869</v>
      </c>
      <c r="F29" s="18" t="n">
        <v>0.0262</v>
      </c>
      <c r="G29" s="18" t="n">
        <v>0</v>
      </c>
      <c r="H29" s="18" t="n">
        <v>27.6583</v>
      </c>
      <c r="I29" s="18" t="n">
        <v>0.6743</v>
      </c>
      <c r="J29" s="18" t="n">
        <v>33.1401</v>
      </c>
      <c r="K29" s="18" t="n">
        <v>0.4585</v>
      </c>
      <c r="L29" s="18" t="n">
        <v>0.0536</v>
      </c>
      <c r="M29" s="18" t="n">
        <v>0.0199</v>
      </c>
      <c r="N29" s="3"/>
      <c r="O29" s="3" t="n">
        <f aca="false">SUM(D29:N29)</f>
        <v>99.2554</v>
      </c>
    </row>
    <row r="30" customFormat="false" ht="15" hidden="false" customHeight="false" outlineLevel="0" collapsed="false">
      <c r="A30" s="16" t="s">
        <v>174</v>
      </c>
      <c r="B30" s="16" t="s">
        <v>82</v>
      </c>
      <c r="C30" s="16" t="s">
        <v>160</v>
      </c>
      <c r="D30" s="18" t="n">
        <v>37.5414</v>
      </c>
      <c r="E30" s="18" t="n">
        <v>0.0648</v>
      </c>
      <c r="F30" s="18" t="n">
        <v>0.0373</v>
      </c>
      <c r="G30" s="18" t="n">
        <v>0.0391</v>
      </c>
      <c r="H30" s="18" t="n">
        <v>27.1956</v>
      </c>
      <c r="I30" s="18" t="n">
        <v>0.6661</v>
      </c>
      <c r="J30" s="18" t="n">
        <v>34.4739</v>
      </c>
      <c r="K30" s="18" t="n">
        <v>0.4127</v>
      </c>
      <c r="L30" s="18" t="n">
        <v>0.0136</v>
      </c>
      <c r="M30" s="18" t="n">
        <v>0.0035</v>
      </c>
      <c r="N30" s="3"/>
      <c r="O30" s="3" t="n">
        <f aca="false">SUM(D30:N30)</f>
        <v>100.448</v>
      </c>
    </row>
    <row r="31" customFormat="false" ht="15" hidden="false" customHeight="false" outlineLevel="0" collapsed="false">
      <c r="A31" s="16" t="s">
        <v>175</v>
      </c>
      <c r="B31" s="16" t="s">
        <v>82</v>
      </c>
      <c r="C31" s="16" t="s">
        <v>160</v>
      </c>
      <c r="D31" s="18" t="n">
        <v>37.5511</v>
      </c>
      <c r="E31" s="18" t="n">
        <v>0.106</v>
      </c>
      <c r="F31" s="18" t="n">
        <v>0.0379</v>
      </c>
      <c r="G31" s="18" t="n">
        <v>0.0104</v>
      </c>
      <c r="H31" s="18" t="n">
        <v>27.2109</v>
      </c>
      <c r="I31" s="18" t="n">
        <v>0.5567</v>
      </c>
      <c r="J31" s="18" t="n">
        <v>33.7493</v>
      </c>
      <c r="K31" s="18" t="n">
        <v>0.385</v>
      </c>
      <c r="L31" s="18" t="n">
        <v>0.0193</v>
      </c>
      <c r="M31" s="18" t="n">
        <v>0</v>
      </c>
      <c r="N31" s="3"/>
      <c r="O31" s="3" t="n">
        <f aca="false">SUM(D31:N31)</f>
        <v>99.6266</v>
      </c>
    </row>
    <row r="32" customFormat="false" ht="15" hidden="false" customHeight="false" outlineLevel="0" collapsed="false">
      <c r="A32" s="16" t="s">
        <v>159</v>
      </c>
      <c r="B32" s="16" t="s">
        <v>82</v>
      </c>
      <c r="C32" s="16" t="s">
        <v>160</v>
      </c>
      <c r="D32" s="18" t="n">
        <v>37.5811</v>
      </c>
      <c r="E32" s="18" t="n">
        <v>0.0628</v>
      </c>
      <c r="F32" s="18" t="n">
        <v>0.0206</v>
      </c>
      <c r="G32" s="18" t="n">
        <v>0</v>
      </c>
      <c r="H32" s="18" t="n">
        <v>27.1576</v>
      </c>
      <c r="I32" s="18" t="n">
        <v>0.5977</v>
      </c>
      <c r="J32" s="18" t="n">
        <v>34.15</v>
      </c>
      <c r="K32" s="18" t="n">
        <v>0.4384</v>
      </c>
      <c r="L32" s="18" t="n">
        <v>0.0259</v>
      </c>
      <c r="M32" s="18" t="n">
        <v>0.0264</v>
      </c>
      <c r="N32" s="3"/>
      <c r="O32" s="3" t="n">
        <f aca="false">SUM(D32:N32)</f>
        <v>100.0605</v>
      </c>
    </row>
    <row r="33" customFormat="false" ht="15" hidden="false" customHeight="false" outlineLevel="0" collapsed="false">
      <c r="A33" s="16" t="s">
        <v>163</v>
      </c>
      <c r="B33" s="16" t="s">
        <v>82</v>
      </c>
      <c r="C33" s="16" t="s">
        <v>160</v>
      </c>
      <c r="D33" s="18" t="n">
        <v>37.6701</v>
      </c>
      <c r="E33" s="18" t="n">
        <v>0.069</v>
      </c>
      <c r="F33" s="18" t="n">
        <v>0.0163</v>
      </c>
      <c r="G33" s="18" t="n">
        <v>0</v>
      </c>
      <c r="H33" s="18" t="n">
        <v>26.6551</v>
      </c>
      <c r="I33" s="18" t="n">
        <v>0.6644</v>
      </c>
      <c r="J33" s="18" t="n">
        <v>34.2392</v>
      </c>
      <c r="K33" s="18" t="n">
        <v>0.3553</v>
      </c>
      <c r="L33" s="18" t="n">
        <v>0.0279</v>
      </c>
      <c r="M33" s="18" t="n">
        <v>0.0069</v>
      </c>
      <c r="N33" s="3"/>
      <c r="O33" s="3" t="n">
        <f aca="false">SUM(D33:N33)</f>
        <v>99.7042</v>
      </c>
    </row>
    <row r="34" customFormat="false" ht="15" hidden="false" customHeight="false" outlineLevel="0" collapsed="false">
      <c r="A34" s="16" t="s">
        <v>176</v>
      </c>
      <c r="B34" s="16" t="s">
        <v>82</v>
      </c>
      <c r="C34" s="16" t="s">
        <v>160</v>
      </c>
      <c r="D34" s="18" t="n">
        <v>37.6845</v>
      </c>
      <c r="E34" s="18" t="n">
        <v>0.089</v>
      </c>
      <c r="F34" s="18" t="n">
        <v>0.0052</v>
      </c>
      <c r="G34" s="18" t="n">
        <v>0.0185</v>
      </c>
      <c r="H34" s="18" t="n">
        <v>27.401</v>
      </c>
      <c r="I34" s="18" t="n">
        <v>0.6721</v>
      </c>
      <c r="J34" s="18" t="n">
        <v>34.2147</v>
      </c>
      <c r="K34" s="18" t="n">
        <v>0.368</v>
      </c>
      <c r="L34" s="18" t="n">
        <v>0.0184</v>
      </c>
      <c r="M34" s="18" t="n">
        <v>0.0061</v>
      </c>
      <c r="N34" s="3"/>
      <c r="O34" s="3" t="n">
        <f aca="false">SUM(D34:N34)</f>
        <v>100.4775</v>
      </c>
    </row>
    <row r="35" customFormat="false" ht="15" hidden="false" customHeight="false" outlineLevel="0" collapsed="false">
      <c r="A35" s="16" t="s">
        <v>164</v>
      </c>
      <c r="B35" s="16" t="s">
        <v>82</v>
      </c>
      <c r="C35" s="16" t="s">
        <v>160</v>
      </c>
      <c r="D35" s="18" t="n">
        <v>37.6948</v>
      </c>
      <c r="E35" s="18" t="n">
        <v>0.0486</v>
      </c>
      <c r="F35" s="18" t="n">
        <v>0.0202</v>
      </c>
      <c r="G35" s="18" t="n">
        <v>0</v>
      </c>
      <c r="H35" s="18" t="n">
        <v>26.6781</v>
      </c>
      <c r="I35" s="18" t="n">
        <v>0.5887</v>
      </c>
      <c r="J35" s="18" t="n">
        <v>34.5333</v>
      </c>
      <c r="K35" s="18" t="n">
        <v>0.3562</v>
      </c>
      <c r="L35" s="18" t="n">
        <v>0.0047</v>
      </c>
      <c r="M35" s="18" t="n">
        <v>0.0052</v>
      </c>
      <c r="N35" s="3"/>
      <c r="O35" s="3" t="n">
        <f aca="false">SUM(D35:N35)</f>
        <v>99.9298</v>
      </c>
    </row>
    <row r="36" customFormat="false" ht="15" hidden="false" customHeight="false" outlineLevel="0" collapsed="false">
      <c r="A36" s="16" t="s">
        <v>177</v>
      </c>
      <c r="B36" s="16" t="s">
        <v>82</v>
      </c>
      <c r="C36" s="16" t="s">
        <v>160</v>
      </c>
      <c r="D36" s="18" t="n">
        <v>37.7712</v>
      </c>
      <c r="E36" s="18" t="n">
        <v>0.0203</v>
      </c>
      <c r="F36" s="18" t="n">
        <v>0.0397</v>
      </c>
      <c r="G36" s="18" t="n">
        <v>0.0577</v>
      </c>
      <c r="H36" s="18" t="n">
        <v>27.3579</v>
      </c>
      <c r="I36" s="18" t="n">
        <v>0.6607</v>
      </c>
      <c r="J36" s="18" t="n">
        <v>34.291</v>
      </c>
      <c r="K36" s="18" t="n">
        <v>0.3913</v>
      </c>
      <c r="L36" s="18" t="n">
        <v>0.0034</v>
      </c>
      <c r="M36" s="18" t="n">
        <v>0.02</v>
      </c>
      <c r="N36" s="3"/>
      <c r="O36" s="3" t="n">
        <f aca="false">SUM(D36:N36)</f>
        <v>100.6132</v>
      </c>
    </row>
    <row r="37" customFormat="false" ht="15" hidden="false" customHeight="false" outlineLevel="0" collapsed="false">
      <c r="C37" s="1" t="s">
        <v>32</v>
      </c>
      <c r="D37" s="3" t="n">
        <f aca="false">AVERAGE(D28:D36)</f>
        <v>37.578975</v>
      </c>
      <c r="E37" s="3" t="n">
        <f aca="false">AVERAGE(E28:E36)</f>
        <v>0.068425</v>
      </c>
      <c r="F37" s="3" t="n">
        <f aca="false">AVERAGE(F28:F36)</f>
        <v>0.025425</v>
      </c>
      <c r="G37" s="3" t="n">
        <f aca="false">AVERAGE(G28:G36)</f>
        <v>0.0157125</v>
      </c>
      <c r="H37" s="3" t="n">
        <f aca="false">AVERAGE(H28:H36)</f>
        <v>27.1643125</v>
      </c>
      <c r="I37" s="3" t="n">
        <f aca="false">AVERAGE(I28:I36)</f>
        <v>0.6350875</v>
      </c>
      <c r="J37" s="3" t="n">
        <f aca="false">AVERAGE(J28:J36)</f>
        <v>34.0989375</v>
      </c>
      <c r="K37" s="3" t="n">
        <f aca="false">AVERAGE(K28:K36)</f>
        <v>0.395675</v>
      </c>
      <c r="L37" s="3" t="n">
        <f aca="false">AVERAGE(L28:L36)</f>
        <v>0.02085</v>
      </c>
      <c r="M37" s="3" t="n">
        <f aca="false">AVERAGE(M28:M36)</f>
        <v>0.011</v>
      </c>
      <c r="N37" s="3"/>
      <c r="O37" s="3" t="n">
        <f aca="false">SUM(D37:N37)</f>
        <v>100.0144</v>
      </c>
    </row>
    <row r="38" customFormat="false" ht="15" hidden="false" customHeight="false" outlineLevel="0" collapsed="false">
      <c r="C38" s="1" t="s">
        <v>81</v>
      </c>
      <c r="D38" s="3" t="n">
        <f aca="false">_xlfn.STDEV.P(D28:D36)</f>
        <v>0.182623408617297</v>
      </c>
      <c r="E38" s="3" t="n">
        <f aca="false">_xlfn.STDEV.P(E28:E36)</f>
        <v>0.0248261329046632</v>
      </c>
      <c r="F38" s="3" t="n">
        <f aca="false">_xlfn.STDEV.P(F28:F36)</f>
        <v>0.0114231946057134</v>
      </c>
      <c r="G38" s="3" t="n">
        <f aca="false">_xlfn.STDEV.P(G28:G36)</f>
        <v>0.0204127679100606</v>
      </c>
      <c r="H38" s="3" t="n">
        <f aca="false">_xlfn.STDEV.P(H28:H36)</f>
        <v>0.323344836967826</v>
      </c>
      <c r="I38" s="3" t="n">
        <f aca="false">_xlfn.STDEV.P(I28:I36)</f>
        <v>0.0434148142199181</v>
      </c>
      <c r="J38" s="3" t="n">
        <f aca="false">_xlfn.STDEV.P(J28:J36)</f>
        <v>0.424772483035036</v>
      </c>
      <c r="K38" s="3" t="n">
        <f aca="false">_xlfn.STDEV.P(K28:K36)</f>
        <v>0.0356189468541674</v>
      </c>
      <c r="L38" s="3" t="n">
        <f aca="false">_xlfn.STDEV.P(L28:L36)</f>
        <v>0.0148915244350604</v>
      </c>
      <c r="M38" s="3" t="n">
        <f aca="false">_xlfn.STDEV.P(M28:M36)</f>
        <v>0.00900749687760146</v>
      </c>
      <c r="N38" s="3"/>
      <c r="O38" s="3"/>
    </row>
    <row r="39" customFormat="false" ht="15" hidden="false" customHeight="false" outlineLevel="0" collapsed="false">
      <c r="C39" s="1" t="s">
        <v>66</v>
      </c>
      <c r="D39" s="3" t="n">
        <f aca="false">D37/$O$37*100</f>
        <v>37.5735644067254</v>
      </c>
      <c r="E39" s="3" t="n">
        <f aca="false">E37/$O$37*100</f>
        <v>0.0684151482186565</v>
      </c>
      <c r="F39" s="3" t="n">
        <f aca="false">F37/$O$37*100</f>
        <v>0.0254213393271369</v>
      </c>
      <c r="G39" s="3" t="n">
        <f aca="false">G37/$O$37*100</f>
        <v>0.0157102377257675</v>
      </c>
      <c r="H39" s="3" t="n">
        <f aca="false">H37/$O$37*100</f>
        <v>27.1604014021981</v>
      </c>
      <c r="I39" s="3" t="n">
        <f aca="false">I37/$O$37*100</f>
        <v>0.634996060567278</v>
      </c>
      <c r="J39" s="3" t="n">
        <f aca="false">J37/$O$37*100</f>
        <v>34.0940279599738</v>
      </c>
      <c r="K39" s="3" t="n">
        <f aca="false">K37/$O$37*100</f>
        <v>0.395618031003536</v>
      </c>
      <c r="L39" s="3" t="n">
        <f aca="false">L37/$O$37*100</f>
        <v>0.0208469980322833</v>
      </c>
      <c r="M39" s="3" t="n">
        <f aca="false">M37/$O$37*100</f>
        <v>0.0109984162280632</v>
      </c>
      <c r="N39" s="3"/>
      <c r="O39" s="3"/>
    </row>
    <row r="40" customFormat="false" ht="15" hidden="false" customHeight="false" outlineLevel="0" collapsed="false"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customFormat="false" ht="15" hidden="false" customHeight="false" outlineLevel="0" collapsed="false">
      <c r="A41" s="16"/>
      <c r="B41" s="16"/>
      <c r="C41" s="16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O41" s="16"/>
      <c r="AP41" s="16"/>
      <c r="AQ41" s="16"/>
      <c r="AR41" s="16"/>
      <c r="AS41" s="16"/>
      <c r="AT41" s="16"/>
      <c r="AU41" s="16"/>
      <c r="AV41" s="16"/>
      <c r="AW41" s="16"/>
      <c r="AX41" s="16"/>
      <c r="AY41" s="16"/>
      <c r="AZ41" s="16"/>
      <c r="BA41" s="16"/>
      <c r="BB41" s="16"/>
      <c r="BC41" s="16"/>
      <c r="BD41" s="16"/>
      <c r="BE41" s="16"/>
      <c r="BF41" s="16"/>
      <c r="BG41" s="16"/>
      <c r="BH41" s="16"/>
      <c r="BI41" s="16"/>
      <c r="BJ41" s="16"/>
      <c r="BK41" s="16"/>
      <c r="BL41" s="16"/>
      <c r="BM41" s="16"/>
      <c r="BN41" s="16"/>
      <c r="BO41" s="16"/>
      <c r="BP41" s="16"/>
      <c r="BQ41" s="16"/>
      <c r="BR41" s="16"/>
    </row>
    <row r="42" customFormat="false" ht="15" hidden="false" customHeight="false" outlineLevel="0" collapsed="false">
      <c r="A42" s="16"/>
      <c r="B42" s="16"/>
      <c r="C42" s="16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16"/>
      <c r="AL42" s="16"/>
      <c r="AM42" s="16"/>
      <c r="AN42" s="16"/>
      <c r="AO42" s="16"/>
      <c r="AP42" s="16"/>
      <c r="AQ42" s="16"/>
      <c r="AR42" s="16"/>
      <c r="AS42" s="16"/>
      <c r="AT42" s="16"/>
      <c r="AU42" s="16"/>
      <c r="AV42" s="16"/>
      <c r="AW42" s="16"/>
      <c r="AX42" s="16"/>
      <c r="AY42" s="16"/>
      <c r="AZ42" s="16"/>
      <c r="BA42" s="16"/>
      <c r="BB42" s="16"/>
      <c r="BC42" s="16"/>
      <c r="BD42" s="16"/>
      <c r="BE42" s="16"/>
      <c r="BF42" s="16"/>
      <c r="BG42" s="16"/>
      <c r="BH42" s="16"/>
      <c r="BI42" s="16"/>
      <c r="BJ42" s="16"/>
      <c r="BK42" s="16"/>
      <c r="BL42" s="16"/>
      <c r="BM42" s="16"/>
      <c r="BN42" s="16"/>
      <c r="BO42" s="16"/>
      <c r="BP42" s="16"/>
      <c r="BQ42" s="16"/>
      <c r="BR42" s="16"/>
    </row>
    <row r="43" customFormat="false" ht="15" hidden="false" customHeight="false" outlineLevel="0" collapsed="false">
      <c r="A43" s="16"/>
      <c r="B43" s="16"/>
      <c r="C43" s="16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/>
      <c r="AL43" s="16"/>
      <c r="AM43" s="16"/>
      <c r="AN43" s="16"/>
      <c r="AO43" s="16"/>
      <c r="AP43" s="16"/>
      <c r="AQ43" s="16"/>
      <c r="AR43" s="16"/>
      <c r="AS43" s="16"/>
      <c r="AT43" s="16"/>
      <c r="AU43" s="16"/>
      <c r="AV43" s="16"/>
      <c r="AW43" s="16"/>
      <c r="AX43" s="16"/>
      <c r="AY43" s="16"/>
      <c r="AZ43" s="16"/>
      <c r="BA43" s="16"/>
      <c r="BB43" s="16"/>
      <c r="BC43" s="16"/>
      <c r="BD43" s="16"/>
      <c r="BE43" s="16"/>
      <c r="BF43" s="16"/>
      <c r="BG43" s="16"/>
      <c r="BH43" s="16"/>
      <c r="BI43" s="16"/>
      <c r="BJ43" s="16"/>
      <c r="BK43" s="16"/>
      <c r="BL43" s="16"/>
      <c r="BM43" s="16"/>
      <c r="BN43" s="16"/>
      <c r="BO43" s="16"/>
      <c r="BP43" s="16"/>
      <c r="BQ43" s="16"/>
      <c r="BR43" s="16"/>
    </row>
    <row r="44" customFormat="false" ht="15" hidden="false" customHeight="false" outlineLevel="0" collapsed="false">
      <c r="A44" s="16"/>
      <c r="B44" s="16"/>
      <c r="C44" s="16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/>
      <c r="AL44" s="16"/>
      <c r="AM44" s="16"/>
      <c r="AN44" s="16"/>
      <c r="AO44" s="16"/>
      <c r="AP44" s="16"/>
      <c r="AQ44" s="16"/>
      <c r="AR44" s="16"/>
      <c r="AS44" s="16"/>
      <c r="AT44" s="16"/>
      <c r="AU44" s="16"/>
      <c r="AV44" s="16"/>
      <c r="AW44" s="16"/>
      <c r="AX44" s="16"/>
      <c r="AY44" s="16"/>
      <c r="AZ44" s="16"/>
      <c r="BA44" s="16"/>
      <c r="BB44" s="16"/>
      <c r="BC44" s="16"/>
      <c r="BD44" s="16"/>
      <c r="BE44" s="16"/>
      <c r="BF44" s="16"/>
      <c r="BG44" s="16"/>
      <c r="BH44" s="16"/>
      <c r="BI44" s="16"/>
      <c r="BJ44" s="16"/>
      <c r="BK44" s="16"/>
      <c r="BL44" s="16"/>
      <c r="BM44" s="16"/>
      <c r="BN44" s="16"/>
      <c r="BO44" s="16"/>
      <c r="BP44" s="16"/>
      <c r="BQ44" s="16"/>
      <c r="BR44" s="16"/>
    </row>
    <row r="45" customFormat="false" ht="15" hidden="false" customHeight="false" outlineLevel="0" collapsed="false">
      <c r="A45" s="16"/>
      <c r="B45" s="16"/>
      <c r="C45" s="16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6"/>
      <c r="AQ45" s="16"/>
      <c r="AR45" s="16"/>
      <c r="AS45" s="16"/>
      <c r="AT45" s="16"/>
      <c r="AU45" s="16"/>
      <c r="AV45" s="16"/>
      <c r="AW45" s="16"/>
      <c r="AX45" s="16"/>
      <c r="AY45" s="16"/>
      <c r="AZ45" s="16"/>
      <c r="BA45" s="16"/>
      <c r="BB45" s="16"/>
      <c r="BC45" s="16"/>
      <c r="BD45" s="16"/>
      <c r="BE45" s="16"/>
      <c r="BF45" s="16"/>
      <c r="BG45" s="16"/>
      <c r="BH45" s="16"/>
      <c r="BI45" s="16"/>
      <c r="BJ45" s="16"/>
      <c r="BK45" s="16"/>
      <c r="BL45" s="16"/>
      <c r="BM45" s="16"/>
      <c r="BN45" s="16"/>
      <c r="BO45" s="16"/>
      <c r="BP45" s="16"/>
      <c r="BQ45" s="16"/>
      <c r="BR45" s="16"/>
    </row>
    <row r="46" customFormat="false" ht="15" hidden="false" customHeight="false" outlineLevel="0" collapsed="false">
      <c r="A46" s="16"/>
      <c r="B46" s="16"/>
      <c r="C46" s="16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6"/>
      <c r="AL46" s="16"/>
      <c r="AM46" s="16"/>
      <c r="AN46" s="16"/>
      <c r="AO46" s="16"/>
      <c r="AP46" s="16"/>
      <c r="AQ46" s="16"/>
      <c r="AR46" s="16"/>
      <c r="AS46" s="16"/>
      <c r="AT46" s="16"/>
      <c r="AU46" s="16"/>
      <c r="AV46" s="16"/>
      <c r="AW46" s="16"/>
      <c r="AX46" s="16"/>
      <c r="AY46" s="16"/>
      <c r="AZ46" s="16"/>
      <c r="BA46" s="16"/>
      <c r="BB46" s="16"/>
      <c r="BC46" s="16"/>
      <c r="BD46" s="16"/>
      <c r="BE46" s="16"/>
      <c r="BF46" s="16"/>
      <c r="BG46" s="16"/>
      <c r="BH46" s="16"/>
      <c r="BI46" s="16"/>
      <c r="BJ46" s="16"/>
      <c r="BK46" s="16"/>
      <c r="BL46" s="16"/>
      <c r="BM46" s="16"/>
      <c r="BN46" s="16"/>
      <c r="BO46" s="16"/>
      <c r="BP46" s="16"/>
      <c r="BQ46" s="16"/>
      <c r="BR46" s="16"/>
    </row>
    <row r="47" customFormat="false" ht="15" hidden="false" customHeight="false" outlineLevel="0" collapsed="false">
      <c r="A47" s="16"/>
      <c r="B47" s="16"/>
      <c r="C47" s="16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/>
      <c r="AL47" s="16"/>
      <c r="AM47" s="16"/>
      <c r="AN47" s="16"/>
      <c r="AO47" s="16"/>
      <c r="AP47" s="16"/>
      <c r="AQ47" s="16"/>
      <c r="AR47" s="16"/>
      <c r="AS47" s="16"/>
      <c r="AT47" s="16"/>
      <c r="AU47" s="16"/>
      <c r="AV47" s="16"/>
      <c r="AW47" s="16"/>
      <c r="AX47" s="16"/>
      <c r="AY47" s="16"/>
      <c r="AZ47" s="16"/>
      <c r="BA47" s="16"/>
      <c r="BB47" s="16"/>
      <c r="BC47" s="16"/>
      <c r="BD47" s="16"/>
      <c r="BE47" s="16"/>
      <c r="BF47" s="16"/>
      <c r="BG47" s="16"/>
      <c r="BH47" s="16"/>
      <c r="BI47" s="16"/>
      <c r="BJ47" s="16"/>
      <c r="BK47" s="16"/>
      <c r="BL47" s="16"/>
      <c r="BM47" s="16"/>
      <c r="BN47" s="16"/>
      <c r="BO47" s="16"/>
      <c r="BP47" s="16"/>
      <c r="BQ47" s="16"/>
      <c r="BR47" s="16"/>
    </row>
    <row r="48" customFormat="false" ht="15" hidden="false" customHeight="false" outlineLevel="0" collapsed="false">
      <c r="A48" s="16"/>
      <c r="B48" s="16"/>
      <c r="C48" s="16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  <c r="AN48" s="16"/>
      <c r="AO48" s="16"/>
      <c r="AP48" s="16"/>
      <c r="AQ48" s="16"/>
      <c r="AR48" s="16"/>
      <c r="AS48" s="16"/>
      <c r="AT48" s="16"/>
      <c r="AU48" s="16"/>
      <c r="AV48" s="16"/>
      <c r="AW48" s="16"/>
      <c r="AX48" s="16"/>
      <c r="AY48" s="16"/>
      <c r="AZ48" s="16"/>
      <c r="BA48" s="16"/>
      <c r="BB48" s="16"/>
      <c r="BC48" s="16"/>
      <c r="BD48" s="16"/>
      <c r="BE48" s="16"/>
      <c r="BF48" s="16"/>
      <c r="BG48" s="16"/>
      <c r="BH48" s="16"/>
      <c r="BI48" s="16"/>
      <c r="BJ48" s="16"/>
      <c r="BK48" s="16"/>
      <c r="BL48" s="16"/>
      <c r="BM48" s="16"/>
      <c r="BN48" s="16"/>
      <c r="BO48" s="16"/>
      <c r="BP48" s="16"/>
      <c r="BQ48" s="16"/>
      <c r="BR48" s="16"/>
    </row>
    <row r="49" customFormat="false" ht="15" hidden="false" customHeight="false" outlineLevel="0" collapsed="false">
      <c r="A49" s="16"/>
      <c r="B49" s="16"/>
      <c r="C49" s="16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/>
      <c r="AO49" s="16"/>
      <c r="AP49" s="16"/>
      <c r="AQ49" s="16"/>
      <c r="AR49" s="16"/>
      <c r="AS49" s="16"/>
      <c r="AT49" s="16"/>
      <c r="AU49" s="16"/>
      <c r="AV49" s="16"/>
      <c r="AW49" s="16"/>
      <c r="AX49" s="16"/>
      <c r="AY49" s="16"/>
      <c r="AZ49" s="16"/>
      <c r="BA49" s="16"/>
      <c r="BB49" s="16"/>
      <c r="BC49" s="16"/>
      <c r="BD49" s="16"/>
      <c r="BE49" s="16"/>
      <c r="BF49" s="16"/>
      <c r="BG49" s="16"/>
      <c r="BH49" s="16"/>
      <c r="BI49" s="16"/>
      <c r="BJ49" s="16"/>
      <c r="BK49" s="16"/>
      <c r="BL49" s="16"/>
      <c r="BM49" s="16"/>
      <c r="BN49" s="16"/>
      <c r="BO49" s="16"/>
      <c r="BP49" s="16"/>
      <c r="BQ49" s="16"/>
      <c r="BR49" s="16"/>
    </row>
    <row r="50" customFormat="false" ht="15" hidden="false" customHeight="false" outlineLevel="0" collapsed="false">
      <c r="A50" s="16"/>
      <c r="B50" s="16"/>
      <c r="C50" s="16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/>
      <c r="AL50" s="16"/>
      <c r="AM50" s="16"/>
      <c r="AN50" s="16"/>
      <c r="AO50" s="16"/>
      <c r="AP50" s="16"/>
      <c r="AQ50" s="16"/>
      <c r="AR50" s="16"/>
      <c r="AS50" s="16"/>
      <c r="AT50" s="16"/>
      <c r="AU50" s="16"/>
      <c r="AV50" s="16"/>
      <c r="AW50" s="16"/>
      <c r="AX50" s="16"/>
      <c r="AY50" s="16"/>
      <c r="AZ50" s="16"/>
      <c r="BA50" s="16"/>
      <c r="BB50" s="16"/>
      <c r="BC50" s="16"/>
      <c r="BD50" s="16"/>
      <c r="BE50" s="16"/>
      <c r="BF50" s="16"/>
      <c r="BG50" s="16"/>
      <c r="BH50" s="16"/>
      <c r="BI50" s="16"/>
      <c r="BJ50" s="16"/>
      <c r="BK50" s="16"/>
      <c r="BL50" s="16"/>
      <c r="BM50" s="16"/>
      <c r="BN50" s="16"/>
      <c r="BO50" s="16"/>
      <c r="BP50" s="16"/>
      <c r="BQ50" s="16"/>
      <c r="BR50" s="16"/>
    </row>
    <row r="51" customFormat="false" ht="15" hidden="false" customHeight="false" outlineLevel="0" collapsed="false">
      <c r="A51" s="16"/>
      <c r="B51" s="16"/>
      <c r="C51" s="16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/>
      <c r="AL51" s="16"/>
      <c r="AM51" s="16"/>
      <c r="AN51" s="16"/>
      <c r="AO51" s="16"/>
      <c r="AP51" s="16"/>
      <c r="AQ51" s="16"/>
      <c r="AR51" s="16"/>
      <c r="AS51" s="16"/>
      <c r="AT51" s="16"/>
      <c r="AU51" s="16"/>
      <c r="AV51" s="16"/>
      <c r="AW51" s="16"/>
      <c r="AX51" s="16"/>
      <c r="AY51" s="16"/>
      <c r="AZ51" s="16"/>
      <c r="BA51" s="16"/>
      <c r="BB51" s="16"/>
      <c r="BC51" s="16"/>
      <c r="BD51" s="16"/>
      <c r="BE51" s="16"/>
      <c r="BF51" s="16"/>
      <c r="BG51" s="16"/>
      <c r="BH51" s="16"/>
      <c r="BI51" s="16"/>
      <c r="BJ51" s="16"/>
      <c r="BK51" s="16"/>
      <c r="BL51" s="16"/>
      <c r="BM51" s="16"/>
      <c r="BN51" s="16"/>
      <c r="BO51" s="16"/>
      <c r="BP51" s="16"/>
      <c r="BQ51" s="16"/>
      <c r="BR51" s="16"/>
    </row>
    <row r="52" customFormat="false" ht="15" hidden="false" customHeight="false" outlineLevel="0" collapsed="false">
      <c r="A52" s="16"/>
      <c r="B52" s="16"/>
      <c r="C52" s="16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6"/>
      <c r="AU52" s="16"/>
      <c r="AV52" s="16"/>
      <c r="AW52" s="16"/>
      <c r="AX52" s="16"/>
      <c r="AY52" s="16"/>
      <c r="AZ52" s="16"/>
      <c r="BA52" s="16"/>
      <c r="BB52" s="16"/>
      <c r="BC52" s="16"/>
      <c r="BD52" s="16"/>
      <c r="BE52" s="16"/>
      <c r="BF52" s="16"/>
      <c r="BG52" s="16"/>
      <c r="BH52" s="16"/>
      <c r="BI52" s="16"/>
      <c r="BJ52" s="16"/>
      <c r="BK52" s="16"/>
      <c r="BL52" s="16"/>
      <c r="BM52" s="16"/>
      <c r="BN52" s="16"/>
      <c r="BO52" s="16"/>
      <c r="BP52" s="16"/>
      <c r="BQ52" s="16"/>
      <c r="BR52" s="16"/>
    </row>
    <row r="53" customFormat="false" ht="15" hidden="false" customHeight="false" outlineLevel="0" collapsed="false">
      <c r="A53" s="16"/>
      <c r="B53" s="16"/>
      <c r="C53" s="16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16"/>
      <c r="AF53" s="16"/>
      <c r="AG53" s="16"/>
      <c r="AH53" s="16"/>
      <c r="AI53" s="16"/>
      <c r="AJ53" s="16"/>
      <c r="AK53" s="16"/>
      <c r="AL53" s="16"/>
      <c r="AM53" s="16"/>
      <c r="AN53" s="16"/>
      <c r="AO53" s="16"/>
      <c r="AP53" s="16"/>
      <c r="AQ53" s="16"/>
      <c r="AR53" s="16"/>
      <c r="AS53" s="16"/>
      <c r="AT53" s="16"/>
      <c r="AU53" s="16"/>
      <c r="AV53" s="16"/>
      <c r="AW53" s="16"/>
      <c r="AX53" s="16"/>
      <c r="AY53" s="16"/>
      <c r="AZ53" s="16"/>
      <c r="BA53" s="16"/>
      <c r="BB53" s="16"/>
      <c r="BC53" s="16"/>
      <c r="BD53" s="16"/>
      <c r="BE53" s="16"/>
      <c r="BF53" s="16"/>
      <c r="BG53" s="16"/>
      <c r="BH53" s="16"/>
      <c r="BI53" s="16"/>
      <c r="BJ53" s="16"/>
      <c r="BK53" s="16"/>
      <c r="BL53" s="16"/>
      <c r="BM53" s="16"/>
      <c r="BN53" s="16"/>
      <c r="BO53" s="16"/>
      <c r="BP53" s="16"/>
      <c r="BQ53" s="16"/>
      <c r="BR53" s="16"/>
    </row>
    <row r="54" customFormat="false" ht="15" hidden="false" customHeight="false" outlineLevel="0" collapsed="false">
      <c r="A54" s="16"/>
      <c r="B54" s="16"/>
      <c r="C54" s="16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6"/>
      <c r="AO54" s="16"/>
      <c r="AP54" s="16"/>
      <c r="AQ54" s="16"/>
      <c r="AR54" s="16"/>
      <c r="AS54" s="16"/>
      <c r="AT54" s="16"/>
      <c r="AU54" s="16"/>
      <c r="AV54" s="16"/>
      <c r="AW54" s="16"/>
      <c r="AX54" s="16"/>
      <c r="AY54" s="16"/>
      <c r="AZ54" s="16"/>
      <c r="BA54" s="16"/>
      <c r="BB54" s="16"/>
      <c r="BC54" s="16"/>
      <c r="BD54" s="16"/>
      <c r="BE54" s="16"/>
      <c r="BF54" s="16"/>
      <c r="BG54" s="16"/>
      <c r="BH54" s="16"/>
      <c r="BI54" s="16"/>
      <c r="BJ54" s="16"/>
      <c r="BK54" s="16"/>
      <c r="BL54" s="16"/>
      <c r="BM54" s="16"/>
      <c r="BN54" s="16"/>
      <c r="BO54" s="16"/>
      <c r="BP54" s="16"/>
      <c r="BQ54" s="16"/>
      <c r="BR54" s="16"/>
    </row>
    <row r="55" customFormat="false" ht="15" hidden="false" customHeight="false" outlineLevel="0" collapsed="false">
      <c r="A55" s="16"/>
      <c r="B55" s="16"/>
      <c r="C55" s="16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  <c r="AE55" s="16"/>
      <c r="AF55" s="16"/>
      <c r="AG55" s="16"/>
      <c r="AH55" s="16"/>
      <c r="AI55" s="16"/>
      <c r="AJ55" s="16"/>
      <c r="AK55" s="16"/>
      <c r="AL55" s="16"/>
      <c r="AM55" s="16"/>
      <c r="AN55" s="16"/>
      <c r="AO55" s="16"/>
      <c r="AP55" s="16"/>
      <c r="AQ55" s="16"/>
      <c r="AR55" s="16"/>
      <c r="AS55" s="16"/>
      <c r="AT55" s="16"/>
      <c r="AU55" s="16"/>
      <c r="AV55" s="16"/>
      <c r="AW55" s="16"/>
      <c r="AX55" s="16"/>
      <c r="AY55" s="16"/>
      <c r="AZ55" s="16"/>
      <c r="BA55" s="16"/>
      <c r="BB55" s="16"/>
      <c r="BC55" s="16"/>
      <c r="BD55" s="16"/>
      <c r="BE55" s="16"/>
      <c r="BF55" s="16"/>
      <c r="BG55" s="16"/>
      <c r="BH55" s="16"/>
      <c r="BI55" s="16"/>
      <c r="BJ55" s="16"/>
      <c r="BK55" s="16"/>
      <c r="BL55" s="16"/>
      <c r="BM55" s="16"/>
      <c r="BN55" s="16"/>
      <c r="BO55" s="16"/>
      <c r="BP55" s="16"/>
      <c r="BQ55" s="16"/>
      <c r="BR55" s="16"/>
    </row>
    <row r="56" customFormat="false" ht="15" hidden="false" customHeight="false" outlineLevel="0" collapsed="false">
      <c r="A56" s="16"/>
      <c r="B56" s="16"/>
      <c r="C56" s="16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16"/>
      <c r="AD56" s="16"/>
      <c r="AE56" s="16"/>
      <c r="AF56" s="16"/>
      <c r="AG56" s="16"/>
      <c r="AH56" s="16"/>
      <c r="AI56" s="16"/>
      <c r="AJ56" s="16"/>
      <c r="AK56" s="16"/>
      <c r="AL56" s="16"/>
      <c r="AM56" s="16"/>
      <c r="AN56" s="16"/>
      <c r="AO56" s="16"/>
      <c r="AP56" s="16"/>
      <c r="AQ56" s="16"/>
      <c r="AR56" s="16"/>
      <c r="AS56" s="16"/>
      <c r="AT56" s="16"/>
      <c r="AU56" s="16"/>
      <c r="AV56" s="16"/>
      <c r="AW56" s="16"/>
      <c r="AX56" s="16"/>
      <c r="AY56" s="16"/>
      <c r="AZ56" s="16"/>
      <c r="BA56" s="16"/>
      <c r="BB56" s="16"/>
      <c r="BC56" s="16"/>
      <c r="BD56" s="16"/>
      <c r="BE56" s="16"/>
      <c r="BF56" s="16"/>
      <c r="BG56" s="16"/>
      <c r="BH56" s="16"/>
      <c r="BI56" s="16"/>
      <c r="BJ56" s="16"/>
      <c r="BK56" s="16"/>
      <c r="BL56" s="16"/>
      <c r="BM56" s="16"/>
      <c r="BN56" s="16"/>
      <c r="BO56" s="16"/>
      <c r="BP56" s="16"/>
      <c r="BQ56" s="16"/>
      <c r="BR56" s="16"/>
    </row>
    <row r="57" customFormat="false" ht="15" hidden="false" customHeight="false" outlineLevel="0" collapsed="false">
      <c r="A57" s="16"/>
      <c r="B57" s="16"/>
      <c r="C57" s="16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6"/>
      <c r="AD57" s="16"/>
      <c r="AE57" s="16"/>
      <c r="AF57" s="16"/>
      <c r="AG57" s="16"/>
      <c r="AH57" s="16"/>
      <c r="AI57" s="16"/>
      <c r="AJ57" s="16"/>
      <c r="AK57" s="16"/>
      <c r="AL57" s="16"/>
      <c r="AM57" s="16"/>
      <c r="AN57" s="16"/>
      <c r="AO57" s="16"/>
      <c r="AP57" s="16"/>
      <c r="AQ57" s="16"/>
      <c r="AR57" s="16"/>
      <c r="AS57" s="16"/>
      <c r="AT57" s="16"/>
      <c r="AU57" s="16"/>
      <c r="AV57" s="16"/>
      <c r="AW57" s="16"/>
      <c r="AX57" s="16"/>
      <c r="AY57" s="16"/>
      <c r="AZ57" s="16"/>
      <c r="BA57" s="16"/>
      <c r="BB57" s="16"/>
      <c r="BC57" s="16"/>
      <c r="BD57" s="16"/>
      <c r="BE57" s="16"/>
      <c r="BF57" s="16"/>
      <c r="BG57" s="16"/>
      <c r="BH57" s="16"/>
      <c r="BI57" s="16"/>
      <c r="BJ57" s="16"/>
      <c r="BK57" s="16"/>
      <c r="BL57" s="16"/>
      <c r="BM57" s="16"/>
      <c r="BN57" s="16"/>
      <c r="BO57" s="16"/>
      <c r="BP57" s="16"/>
      <c r="BQ57" s="16"/>
      <c r="BR57" s="16"/>
    </row>
    <row r="59" customFormat="false" ht="15" hidden="false" customHeight="false" outlineLevel="0" collapsed="false"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</row>
    <row r="60" customFormat="false" ht="15" hidden="false" customHeight="false" outlineLevel="0" collapsed="false"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</row>
    <row r="61" customFormat="false" ht="15" hidden="false" customHeight="false" outlineLevel="0" collapsed="false"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</row>
    <row r="62" customFormat="false" ht="15" hidden="false" customHeight="false" outlineLevel="0" collapsed="false"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</row>
    <row r="63" customFormat="false" ht="15" hidden="false" customHeight="false" outlineLevel="0" collapsed="false"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</row>
    <row r="64" customFormat="false" ht="15" hidden="false" customHeight="false" outlineLevel="0" collapsed="false"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</row>
    <row r="65" customFormat="false" ht="15" hidden="false" customHeight="false" outlineLevel="0" collapsed="false"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</row>
    <row r="66" customFormat="false" ht="15" hidden="false" customHeight="false" outlineLevel="0" collapsed="false"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</row>
    <row r="67" customFormat="false" ht="15" hidden="false" customHeight="false" outlineLevel="0" collapsed="false"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customFormat="false" ht="15" hidden="false" customHeight="false" outlineLevel="0" collapsed="false"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</row>
    <row r="69" customFormat="false" ht="15" hidden="false" customHeight="false" outlineLevel="0" collapsed="false"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</row>
    <row r="70" customFormat="false" ht="15" hidden="false" customHeight="false" outlineLevel="0" collapsed="false"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R59"/>
  <sheetViews>
    <sheetView showFormulas="false" showGridLines="true" showRowColHeaders="true" showZeros="true" rightToLeft="false" tabSelected="false" showOutlineSymbols="true" defaultGridColor="true" view="normal" topLeftCell="A23" colorId="64" zoomScale="55" zoomScaleNormal="55" zoomScalePageLayoutView="100" workbookViewId="0">
      <selection pane="topLeft" activeCell="D41" activeCellId="0" sqref="D41"/>
    </sheetView>
  </sheetViews>
  <sheetFormatPr defaultColWidth="10.6445312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15" min="4" style="1" width="6.7"/>
    <col collapsed="false" customWidth="true" hidden="false" outlineLevel="0" max="24" min="16" style="1" width="6.9"/>
    <col collapsed="false" customWidth="true" hidden="false" outlineLevel="0" max="26" min="25" style="1" width="6.5"/>
  </cols>
  <sheetData>
    <row r="1" customFormat="false" ht="15" hidden="false" customHeight="false" outlineLevel="0" collapsed="false">
      <c r="D1" s="3" t="s">
        <v>65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1" t="s">
        <v>66</v>
      </c>
    </row>
    <row r="2" customFormat="false" ht="15" hidden="false" customHeight="false" outlineLevel="0" collapsed="false">
      <c r="B2" s="1" t="s">
        <v>67</v>
      </c>
      <c r="C2" s="1" t="s">
        <v>68</v>
      </c>
      <c r="D2" s="3" t="s">
        <v>15</v>
      </c>
      <c r="E2" s="3" t="s">
        <v>16</v>
      </c>
      <c r="F2" s="3" t="s">
        <v>17</v>
      </c>
      <c r="G2" s="3" t="s">
        <v>31</v>
      </c>
      <c r="H2" s="3" t="s">
        <v>18</v>
      </c>
      <c r="I2" s="3" t="s">
        <v>19</v>
      </c>
      <c r="J2" s="3" t="s">
        <v>20</v>
      </c>
      <c r="K2" s="3" t="s">
        <v>21</v>
      </c>
      <c r="L2" s="3" t="s">
        <v>22</v>
      </c>
      <c r="M2" s="3" t="s">
        <v>23</v>
      </c>
      <c r="N2" s="3" t="s">
        <v>24</v>
      </c>
      <c r="O2" s="3" t="s">
        <v>69</v>
      </c>
      <c r="P2" s="3" t="s">
        <v>15</v>
      </c>
      <c r="Q2" s="3" t="s">
        <v>16</v>
      </c>
      <c r="R2" s="3" t="s">
        <v>17</v>
      </c>
      <c r="S2" s="3" t="s">
        <v>31</v>
      </c>
      <c r="T2" s="3" t="s">
        <v>18</v>
      </c>
      <c r="U2" s="3" t="s">
        <v>19</v>
      </c>
      <c r="V2" s="3" t="s">
        <v>20</v>
      </c>
      <c r="W2" s="3" t="s">
        <v>21</v>
      </c>
      <c r="X2" s="3" t="s">
        <v>22</v>
      </c>
      <c r="Y2" s="3" t="s">
        <v>23</v>
      </c>
      <c r="Z2" s="3" t="s">
        <v>24</v>
      </c>
    </row>
    <row r="3" customFormat="false" ht="15" hidden="false" customHeight="false" outlineLevel="0" collapsed="false">
      <c r="A3" s="1" t="s">
        <v>89</v>
      </c>
      <c r="B3" s="1" t="s">
        <v>71</v>
      </c>
      <c r="C3" s="1" t="s">
        <v>178</v>
      </c>
      <c r="D3" s="3" t="n">
        <v>45.3063</v>
      </c>
      <c r="E3" s="3" t="n">
        <v>3.5378</v>
      </c>
      <c r="F3" s="3" t="n">
        <v>13.9221</v>
      </c>
      <c r="G3" s="3" t="n">
        <v>0.0533</v>
      </c>
      <c r="H3" s="3" t="n">
        <v>11.1314</v>
      </c>
      <c r="I3" s="3" t="n">
        <v>0.286</v>
      </c>
      <c r="J3" s="3" t="n">
        <v>3.9784</v>
      </c>
      <c r="K3" s="3" t="n">
        <v>8.917</v>
      </c>
      <c r="L3" s="3" t="n">
        <v>4.8482</v>
      </c>
      <c r="M3" s="3" t="n">
        <v>3.0056</v>
      </c>
      <c r="N3" s="3" t="n">
        <v>1.4854</v>
      </c>
      <c r="O3" s="3" t="n">
        <f aca="false">SUM(D3:N3)</f>
        <v>96.4715</v>
      </c>
      <c r="P3" s="3" t="n">
        <f aca="false">D3/$O3*100</f>
        <v>46.9634036995382</v>
      </c>
      <c r="Q3" s="3" t="n">
        <f aca="false">E3/$O3*100</f>
        <v>3.66719704783278</v>
      </c>
      <c r="R3" s="3" t="n">
        <f aca="false">F3/$O3*100</f>
        <v>14.4313087284846</v>
      </c>
      <c r="S3" s="3" t="n">
        <f aca="false">G3/$O3*100</f>
        <v>0.0552494778250571</v>
      </c>
      <c r="T3" s="3" t="n">
        <f aca="false">H3/$O3*100</f>
        <v>11.5385372882147</v>
      </c>
      <c r="U3" s="3" t="n">
        <f aca="false">I3/$O3*100</f>
        <v>0.296460612719819</v>
      </c>
      <c r="V3" s="3" t="n">
        <f aca="false">J3/$O3*100</f>
        <v>4.12391224351233</v>
      </c>
      <c r="W3" s="3" t="n">
        <f aca="false">K3/$O3*100</f>
        <v>9.24314434833086</v>
      </c>
      <c r="X3" s="3" t="n">
        <f aca="false">L3/$O3*100</f>
        <v>5.0255256733854</v>
      </c>
      <c r="Y3" s="3" t="n">
        <f aca="false">M3/$O3*100</f>
        <v>3.11553153003737</v>
      </c>
      <c r="Z3" s="3" t="n">
        <f aca="false">N3/$O3*100</f>
        <v>1.53972935011895</v>
      </c>
    </row>
    <row r="4" customFormat="false" ht="15" hidden="false" customHeight="false" outlineLevel="0" collapsed="false">
      <c r="A4" s="1" t="s">
        <v>91</v>
      </c>
      <c r="B4" s="1" t="s">
        <v>71</v>
      </c>
      <c r="C4" s="1" t="s">
        <v>178</v>
      </c>
      <c r="D4" s="3" t="n">
        <v>45.2841</v>
      </c>
      <c r="E4" s="3" t="n">
        <v>3.8357</v>
      </c>
      <c r="F4" s="3" t="n">
        <v>14.0221</v>
      </c>
      <c r="G4" s="3" t="n">
        <v>0.0487</v>
      </c>
      <c r="H4" s="3" t="n">
        <v>11.39</v>
      </c>
      <c r="I4" s="3" t="n">
        <v>0.208</v>
      </c>
      <c r="J4" s="3" t="n">
        <v>4.0099</v>
      </c>
      <c r="K4" s="3" t="n">
        <v>8.7957</v>
      </c>
      <c r="L4" s="3" t="n">
        <v>4.7505</v>
      </c>
      <c r="M4" s="3" t="n">
        <v>2.9419</v>
      </c>
      <c r="N4" s="3" t="n">
        <v>1.2572</v>
      </c>
      <c r="O4" s="3" t="n">
        <f aca="false">SUM(D4:N4)</f>
        <v>96.5438</v>
      </c>
      <c r="P4" s="3" t="n">
        <f aca="false">D4/$O4*100</f>
        <v>46.9052388656755</v>
      </c>
      <c r="Q4" s="3" t="n">
        <f aca="false">E4/$O4*100</f>
        <v>3.97301535676035</v>
      </c>
      <c r="R4" s="3" t="n">
        <f aca="false">F4/$O4*100</f>
        <v>14.5240812978151</v>
      </c>
      <c r="S4" s="3" t="n">
        <f aca="false">G4/$O4*100</f>
        <v>0.0504434256782932</v>
      </c>
      <c r="T4" s="3" t="n">
        <f aca="false">H4/$O4*100</f>
        <v>11.7977539728082</v>
      </c>
      <c r="U4" s="3" t="n">
        <f aca="false">I4/$O4*100</f>
        <v>0.215446253410369</v>
      </c>
      <c r="V4" s="3" t="n">
        <f aca="false">J4/$O4*100</f>
        <v>4.15345159399154</v>
      </c>
      <c r="W4" s="3" t="n">
        <f aca="false">K4/$O4*100</f>
        <v>9.11057986116146</v>
      </c>
      <c r="X4" s="3" t="n">
        <f aca="false">L4/$O4*100</f>
        <v>4.92056455204788</v>
      </c>
      <c r="Y4" s="3" t="n">
        <f aca="false">M4/$O4*100</f>
        <v>3.04721794667291</v>
      </c>
      <c r="Z4" s="3" t="n">
        <f aca="false">N4/$O4*100</f>
        <v>1.30220687397844</v>
      </c>
    </row>
    <row r="5" customFormat="false" ht="15" hidden="false" customHeight="false" outlineLevel="0" collapsed="false">
      <c r="A5" s="1" t="s">
        <v>92</v>
      </c>
      <c r="B5" s="1" t="s">
        <v>71</v>
      </c>
      <c r="C5" s="1" t="s">
        <v>178</v>
      </c>
      <c r="D5" s="3" t="n">
        <v>45.7323</v>
      </c>
      <c r="E5" s="3" t="n">
        <v>3.812</v>
      </c>
      <c r="F5" s="3" t="n">
        <v>13.9643</v>
      </c>
      <c r="G5" s="3" t="n">
        <v>0</v>
      </c>
      <c r="H5" s="3" t="n">
        <v>11.5685</v>
      </c>
      <c r="I5" s="3" t="n">
        <v>0.1454</v>
      </c>
      <c r="J5" s="3" t="n">
        <v>3.9148</v>
      </c>
      <c r="K5" s="3" t="n">
        <v>8.942</v>
      </c>
      <c r="L5" s="3" t="n">
        <v>4.7341</v>
      </c>
      <c r="M5" s="3" t="n">
        <v>2.9035</v>
      </c>
      <c r="N5" s="3" t="n">
        <v>1.4331</v>
      </c>
      <c r="O5" s="3" t="n">
        <f aca="false">SUM(D5:N5)</f>
        <v>97.15</v>
      </c>
      <c r="P5" s="3" t="n">
        <f aca="false">D5/$O5*100</f>
        <v>47.0739063304169</v>
      </c>
      <c r="Q5" s="3" t="n">
        <f aca="false">E5/$O5*100</f>
        <v>3.92382913021101</v>
      </c>
      <c r="R5" s="3" t="n">
        <f aca="false">F5/$O5*100</f>
        <v>14.3739577972208</v>
      </c>
      <c r="S5" s="3" t="n">
        <f aca="false">G5/$O5*100</f>
        <v>0</v>
      </c>
      <c r="T5" s="3" t="n">
        <f aca="false">H5/$O5*100</f>
        <v>11.9078744209985</v>
      </c>
      <c r="U5" s="3" t="n">
        <f aca="false">I5/$O5*100</f>
        <v>0.149665465774575</v>
      </c>
      <c r="V5" s="3" t="n">
        <f aca="false">J5/$O5*100</f>
        <v>4.02964487905301</v>
      </c>
      <c r="W5" s="3" t="n">
        <f aca="false">K5/$O5*100</f>
        <v>9.20432321152856</v>
      </c>
      <c r="X5" s="3" t="n">
        <f aca="false">L5/$O5*100</f>
        <v>4.87297992794647</v>
      </c>
      <c r="Y5" s="3" t="n">
        <f aca="false">M5/$O5*100</f>
        <v>2.98867730313947</v>
      </c>
      <c r="Z5" s="3" t="n">
        <f aca="false">N5/$O5*100</f>
        <v>1.47514153371076</v>
      </c>
    </row>
    <row r="6" customFormat="false" ht="15" hidden="false" customHeight="false" outlineLevel="0" collapsed="false">
      <c r="A6" s="1" t="s">
        <v>70</v>
      </c>
      <c r="B6" s="1" t="s">
        <v>71</v>
      </c>
      <c r="C6" s="1" t="s">
        <v>178</v>
      </c>
      <c r="D6" s="3" t="n">
        <v>44.9081</v>
      </c>
      <c r="E6" s="3" t="n">
        <v>3.7257</v>
      </c>
      <c r="F6" s="3" t="n">
        <v>13.9144</v>
      </c>
      <c r="G6" s="3" t="n">
        <v>0.0177</v>
      </c>
      <c r="H6" s="3" t="n">
        <v>11.3214</v>
      </c>
      <c r="I6" s="3" t="n">
        <v>0.2074</v>
      </c>
      <c r="J6" s="3" t="n">
        <v>3.8911</v>
      </c>
      <c r="K6" s="3" t="n">
        <v>9.5591</v>
      </c>
      <c r="L6" s="3" t="n">
        <v>4.6674</v>
      </c>
      <c r="M6" s="3" t="n">
        <v>3.0062</v>
      </c>
      <c r="N6" s="3" t="n">
        <v>1.9314</v>
      </c>
      <c r="O6" s="3" t="n">
        <f aca="false">SUM(D6:N6)</f>
        <v>97.1499</v>
      </c>
      <c r="P6" s="3" t="n">
        <f aca="false">D6/$O6*100</f>
        <v>46.2255751163923</v>
      </c>
      <c r="Q6" s="3" t="n">
        <f aca="false">E6/$O6*100</f>
        <v>3.83500137416508</v>
      </c>
      <c r="R6" s="3" t="n">
        <f aca="false">F6/$O6*100</f>
        <v>14.322608669695</v>
      </c>
      <c r="S6" s="3" t="n">
        <f aca="false">G6/$O6*100</f>
        <v>0.0182192673384121</v>
      </c>
      <c r="T6" s="3" t="n">
        <f aca="false">H6/$O6*100</f>
        <v>11.6535374714745</v>
      </c>
      <c r="U6" s="3" t="n">
        <f aca="false">I6/$O6*100</f>
        <v>0.213484522372128</v>
      </c>
      <c r="V6" s="3" t="n">
        <f aca="false">J6/$O6*100</f>
        <v>4.00525373675114</v>
      </c>
      <c r="W6" s="3" t="n">
        <f aca="false">K6/$O6*100</f>
        <v>9.83953663359407</v>
      </c>
      <c r="X6" s="3" t="n">
        <f aca="false">L6/$O6*100</f>
        <v>4.80432815679687</v>
      </c>
      <c r="Y6" s="3" t="n">
        <f aca="false">M6/$O6*100</f>
        <v>3.09439330354432</v>
      </c>
      <c r="Z6" s="3" t="n">
        <f aca="false">N6/$O6*100</f>
        <v>1.98806174787622</v>
      </c>
    </row>
    <row r="7" customFormat="false" ht="15" hidden="false" customHeight="false" outlineLevel="0" collapsed="false">
      <c r="A7" s="1" t="s">
        <v>84</v>
      </c>
      <c r="B7" s="1" t="s">
        <v>71</v>
      </c>
      <c r="C7" s="1" t="s">
        <v>178</v>
      </c>
      <c r="D7" s="3" t="n">
        <v>45.8625</v>
      </c>
      <c r="E7" s="3" t="n">
        <v>3.7101</v>
      </c>
      <c r="F7" s="3" t="n">
        <v>13.5405</v>
      </c>
      <c r="G7" s="3" t="n">
        <v>0</v>
      </c>
      <c r="H7" s="3" t="n">
        <v>11.1206</v>
      </c>
      <c r="I7" s="3" t="n">
        <v>0.2128</v>
      </c>
      <c r="J7" s="3" t="n">
        <v>3.8448</v>
      </c>
      <c r="K7" s="3" t="n">
        <v>8.8467</v>
      </c>
      <c r="L7" s="3" t="n">
        <v>4.5994</v>
      </c>
      <c r="M7" s="3" t="n">
        <v>2.9966</v>
      </c>
      <c r="N7" s="3" t="n">
        <v>1.2946</v>
      </c>
      <c r="O7" s="3" t="n">
        <f aca="false">SUM(D7:N7)</f>
        <v>96.0286</v>
      </c>
      <c r="P7" s="3" t="n">
        <f aca="false">D7/$O7*100</f>
        <v>47.7592092355819</v>
      </c>
      <c r="Q7" s="3" t="n">
        <f aca="false">E7/$O7*100</f>
        <v>3.86353648808792</v>
      </c>
      <c r="R7" s="3" t="n">
        <f aca="false">F7/$O7*100</f>
        <v>14.100486729995</v>
      </c>
      <c r="S7" s="3" t="n">
        <f aca="false">G7/$O7*100</f>
        <v>0</v>
      </c>
      <c r="T7" s="3" t="n">
        <f aca="false">H7/$O7*100</f>
        <v>11.5805083069002</v>
      </c>
      <c r="U7" s="3" t="n">
        <f aca="false">I7/$O7*100</f>
        <v>0.221600648140241</v>
      </c>
      <c r="V7" s="3" t="n">
        <f aca="false">J7/$O7*100</f>
        <v>4.00380719910527</v>
      </c>
      <c r="W7" s="3" t="n">
        <f aca="false">K7/$O7*100</f>
        <v>9.2125679224731</v>
      </c>
      <c r="X7" s="3" t="n">
        <f aca="false">L7/$O7*100</f>
        <v>4.78961476060257</v>
      </c>
      <c r="Y7" s="3" t="n">
        <f aca="false">M7/$O7*100</f>
        <v>3.12052867583199</v>
      </c>
      <c r="Z7" s="3" t="n">
        <f aca="false">N7/$O7*100</f>
        <v>1.34814003328175</v>
      </c>
    </row>
    <row r="8" customFormat="false" ht="15" hidden="false" customHeight="false" outlineLevel="0" collapsed="false">
      <c r="A8" s="1" t="s">
        <v>85</v>
      </c>
      <c r="B8" s="1" t="s">
        <v>71</v>
      </c>
      <c r="C8" s="1" t="s">
        <v>178</v>
      </c>
      <c r="D8" s="3" t="n">
        <v>45.3406</v>
      </c>
      <c r="E8" s="3" t="n">
        <v>3.6445</v>
      </c>
      <c r="F8" s="3" t="n">
        <v>13.9168</v>
      </c>
      <c r="G8" s="3" t="n">
        <v>0.0622</v>
      </c>
      <c r="H8" s="3" t="n">
        <v>11.0665</v>
      </c>
      <c r="I8" s="3" t="n">
        <v>0.2579</v>
      </c>
      <c r="J8" s="3" t="n">
        <v>3.8743</v>
      </c>
      <c r="K8" s="3" t="n">
        <v>8.8585</v>
      </c>
      <c r="L8" s="3" t="n">
        <v>4.799</v>
      </c>
      <c r="M8" s="3" t="n">
        <v>3.0547</v>
      </c>
      <c r="N8" s="3" t="n">
        <v>1.2474</v>
      </c>
      <c r="O8" s="3" t="n">
        <f aca="false">SUM(D8:N8)</f>
        <v>96.1224</v>
      </c>
      <c r="P8" s="3" t="n">
        <f aca="false">D8/$O8*100</f>
        <v>47.1696503624545</v>
      </c>
      <c r="Q8" s="3" t="n">
        <f aca="false">E8/$O8*100</f>
        <v>3.79151997869383</v>
      </c>
      <c r="R8" s="3" t="n">
        <f aca="false">F8/$O8*100</f>
        <v>14.4782069528018</v>
      </c>
      <c r="S8" s="3" t="n">
        <f aca="false">G8/$O8*100</f>
        <v>0.0647091624844989</v>
      </c>
      <c r="T8" s="3" t="n">
        <f aca="false">H8/$O8*100</f>
        <v>11.5129251870532</v>
      </c>
      <c r="U8" s="3" t="n">
        <f aca="false">I8/$O8*100</f>
        <v>0.268303746057111</v>
      </c>
      <c r="V8" s="3" t="n">
        <f aca="false">J8/$O8*100</f>
        <v>4.0305901642073</v>
      </c>
      <c r="W8" s="3" t="n">
        <f aca="false">K8/$O8*100</f>
        <v>9.21585395287675</v>
      </c>
      <c r="X8" s="3" t="n">
        <f aca="false">L8/$O8*100</f>
        <v>4.99259277754197</v>
      </c>
      <c r="Y8" s="3" t="n">
        <f aca="false">M8/$O8*100</f>
        <v>3.17792730934725</v>
      </c>
      <c r="Z8" s="3" t="n">
        <f aca="false">N8/$O8*100</f>
        <v>1.29772040648174</v>
      </c>
    </row>
    <row r="9" customFormat="false" ht="15" hidden="false" customHeight="false" outlineLevel="0" collapsed="false">
      <c r="A9" s="1" t="s">
        <v>95</v>
      </c>
      <c r="B9" s="1" t="s">
        <v>71</v>
      </c>
      <c r="C9" s="1" t="s">
        <v>178</v>
      </c>
      <c r="D9" s="3" t="n">
        <v>45.7608</v>
      </c>
      <c r="E9" s="3" t="n">
        <v>3.7572</v>
      </c>
      <c r="F9" s="3" t="n">
        <v>14.1238</v>
      </c>
      <c r="G9" s="3" t="n">
        <v>0.0443</v>
      </c>
      <c r="H9" s="3" t="n">
        <v>11.2818</v>
      </c>
      <c r="I9" s="3" t="n">
        <v>0.2066</v>
      </c>
      <c r="J9" s="3" t="n">
        <v>4.0244</v>
      </c>
      <c r="K9" s="3" t="n">
        <v>8.972</v>
      </c>
      <c r="L9" s="3" t="n">
        <v>4.9192</v>
      </c>
      <c r="M9" s="3" t="n">
        <v>2.9882</v>
      </c>
      <c r="N9" s="3" t="n">
        <v>1.3414</v>
      </c>
      <c r="O9" s="3" t="n">
        <f aca="false">SUM(D9:N9)</f>
        <v>97.4197</v>
      </c>
      <c r="P9" s="3" t="n">
        <f aca="false">D9/$O9*100</f>
        <v>46.9728401955662</v>
      </c>
      <c r="Q9" s="3" t="n">
        <f aca="false">E9/$O9*100</f>
        <v>3.85671481230182</v>
      </c>
      <c r="R9" s="3" t="n">
        <f aca="false">F9/$O9*100</f>
        <v>14.4978890306581</v>
      </c>
      <c r="S9" s="3" t="n">
        <f aca="false">G9/$O9*100</f>
        <v>0.0454733488195919</v>
      </c>
      <c r="T9" s="3" t="n">
        <f aca="false">H9/$O9*100</f>
        <v>11.5806145984847</v>
      </c>
      <c r="U9" s="3" t="n">
        <f aca="false">I9/$O9*100</f>
        <v>0.212072096300851</v>
      </c>
      <c r="V9" s="3" t="n">
        <f aca="false">J9/$O9*100</f>
        <v>4.13099198622045</v>
      </c>
      <c r="W9" s="3" t="n">
        <f aca="false">K9/$O9*100</f>
        <v>9.20963624400403</v>
      </c>
      <c r="X9" s="3" t="n">
        <f aca="false">L9/$O9*100</f>
        <v>5.04949204319044</v>
      </c>
      <c r="Y9" s="3" t="n">
        <f aca="false">M9/$O9*100</f>
        <v>3.06734674814232</v>
      </c>
      <c r="Z9" s="3" t="n">
        <f aca="false">N9/$O9*100</f>
        <v>1.37692889631153</v>
      </c>
    </row>
    <row r="10" customFormat="false" ht="15" hidden="false" customHeight="false" outlineLevel="0" collapsed="false">
      <c r="A10" s="1" t="s">
        <v>97</v>
      </c>
      <c r="B10" s="1" t="s">
        <v>71</v>
      </c>
      <c r="C10" s="1" t="s">
        <v>178</v>
      </c>
      <c r="D10" s="3" t="n">
        <v>45.6362</v>
      </c>
      <c r="E10" s="3" t="n">
        <v>3.7483</v>
      </c>
      <c r="F10" s="3" t="n">
        <v>13.9259</v>
      </c>
      <c r="G10" s="3" t="n">
        <v>0</v>
      </c>
      <c r="H10" s="3" t="n">
        <v>11.5482</v>
      </c>
      <c r="I10" s="3" t="n">
        <v>0.1752</v>
      </c>
      <c r="J10" s="3" t="n">
        <v>3.8406</v>
      </c>
      <c r="K10" s="3" t="n">
        <v>9.0305</v>
      </c>
      <c r="L10" s="3" t="n">
        <v>4.4014</v>
      </c>
      <c r="M10" s="3" t="n">
        <v>2.9592</v>
      </c>
      <c r="N10" s="3" t="n">
        <v>1.4292</v>
      </c>
      <c r="O10" s="3" t="n">
        <f aca="false">SUM(D10:N10)</f>
        <v>96.6947</v>
      </c>
      <c r="P10" s="3" t="n">
        <f aca="false">D10/$O10*100</f>
        <v>47.1961751781639</v>
      </c>
      <c r="Q10" s="3" t="n">
        <f aca="false">E10/$O10*100</f>
        <v>3.87642756014549</v>
      </c>
      <c r="R10" s="3" t="n">
        <f aca="false">F10/$O10*100</f>
        <v>14.4019268894779</v>
      </c>
      <c r="S10" s="3" t="n">
        <f aca="false">G10/$O10*100</f>
        <v>0</v>
      </c>
      <c r="T10" s="3" t="n">
        <f aca="false">H10/$O10*100</f>
        <v>11.9429503375056</v>
      </c>
      <c r="U10" s="3" t="n">
        <f aca="false">I10/$O10*100</f>
        <v>0.181188834548326</v>
      </c>
      <c r="V10" s="3" t="n">
        <f aca="false">J10/$O10*100</f>
        <v>3.97188263679395</v>
      </c>
      <c r="W10" s="3" t="n">
        <f aca="false">K10/$O10*100</f>
        <v>9.33918818714987</v>
      </c>
      <c r="X10" s="3" t="n">
        <f aca="false">L10/$O10*100</f>
        <v>4.55185237660389</v>
      </c>
      <c r="Y10" s="3" t="n">
        <f aca="false">M10/$O10*100</f>
        <v>3.06035387668611</v>
      </c>
      <c r="Z10" s="3" t="n">
        <f aca="false">N10/$O10*100</f>
        <v>1.47805412292504</v>
      </c>
    </row>
    <row r="11" customFormat="false" ht="15" hidden="false" customHeight="false" outlineLevel="0" collapsed="false">
      <c r="A11" s="1" t="s">
        <v>98</v>
      </c>
      <c r="B11" s="1" t="s">
        <v>71</v>
      </c>
      <c r="C11" s="1" t="s">
        <v>178</v>
      </c>
      <c r="D11" s="3" t="n">
        <v>45.2957</v>
      </c>
      <c r="E11" s="3" t="n">
        <v>3.8192</v>
      </c>
      <c r="F11" s="3" t="n">
        <v>14.1202</v>
      </c>
      <c r="G11" s="3" t="n">
        <v>0</v>
      </c>
      <c r="H11" s="3" t="n">
        <v>11.6049</v>
      </c>
      <c r="I11" s="3" t="n">
        <v>0.1963</v>
      </c>
      <c r="J11" s="3" t="n">
        <v>3.8874</v>
      </c>
      <c r="K11" s="3" t="n">
        <v>8.6648</v>
      </c>
      <c r="L11" s="3" t="n">
        <v>4.8888</v>
      </c>
      <c r="M11" s="3" t="n">
        <v>2.9647</v>
      </c>
      <c r="N11" s="3" t="n">
        <v>1.365</v>
      </c>
      <c r="O11" s="3" t="n">
        <f aca="false">SUM(D11:N11)</f>
        <v>96.807</v>
      </c>
      <c r="P11" s="3" t="n">
        <f aca="false">D11/$O11*100</f>
        <v>46.7896949600752</v>
      </c>
      <c r="Q11" s="3" t="n">
        <f aca="false">E11/$O11*100</f>
        <v>3.94516925428946</v>
      </c>
      <c r="R11" s="3" t="n">
        <f aca="false">F11/$O11*100</f>
        <v>14.5859287035028</v>
      </c>
      <c r="S11" s="3" t="n">
        <f aca="false">G11/$O11*100</f>
        <v>0</v>
      </c>
      <c r="T11" s="3" t="n">
        <f aca="false">H11/$O11*100</f>
        <v>11.9876661811646</v>
      </c>
      <c r="U11" s="3" t="n">
        <f aca="false">I11/$O11*100</f>
        <v>0.202774592746392</v>
      </c>
      <c r="V11" s="3" t="n">
        <f aca="false">J11/$O11*100</f>
        <v>4.01561870525892</v>
      </c>
      <c r="W11" s="3" t="n">
        <f aca="false">K11/$O11*100</f>
        <v>8.9505924158377</v>
      </c>
      <c r="X11" s="3" t="n">
        <f aca="false">L11/$O11*100</f>
        <v>5.05004803371657</v>
      </c>
      <c r="Y11" s="3" t="n">
        <f aca="false">M11/$O11*100</f>
        <v>3.06248515086719</v>
      </c>
      <c r="Z11" s="3" t="n">
        <f aca="false">N11/$O11*100</f>
        <v>1.41002200254114</v>
      </c>
    </row>
    <row r="12" customFormat="false" ht="15" hidden="false" customHeight="false" outlineLevel="0" collapsed="false">
      <c r="A12" s="1" t="s">
        <v>99</v>
      </c>
      <c r="B12" s="1" t="s">
        <v>71</v>
      </c>
      <c r="C12" s="1" t="s">
        <v>178</v>
      </c>
      <c r="D12" s="3" t="n">
        <v>45.8466</v>
      </c>
      <c r="E12" s="3" t="n">
        <v>3.7681</v>
      </c>
      <c r="F12" s="3" t="n">
        <v>13.9662</v>
      </c>
      <c r="G12" s="3" t="n">
        <v>0.0267</v>
      </c>
      <c r="H12" s="3" t="n">
        <v>11.3967</v>
      </c>
      <c r="I12" s="3" t="n">
        <v>0.1771</v>
      </c>
      <c r="J12" s="3" t="n">
        <v>3.8175</v>
      </c>
      <c r="K12" s="3" t="n">
        <v>8.9019</v>
      </c>
      <c r="L12" s="3" t="n">
        <v>4.9813</v>
      </c>
      <c r="M12" s="3" t="n">
        <v>2.9235</v>
      </c>
      <c r="N12" s="3" t="n">
        <v>1.3551</v>
      </c>
      <c r="O12" s="3" t="n">
        <f aca="false">SUM(D12:N12)</f>
        <v>97.1607</v>
      </c>
      <c r="P12" s="3" t="n">
        <f aca="false">D12/$O12*100</f>
        <v>47.1863623872615</v>
      </c>
      <c r="Q12" s="3" t="n">
        <f aca="false">E12/$O12*100</f>
        <v>3.87821413390393</v>
      </c>
      <c r="R12" s="3" t="n">
        <f aca="false">F12/$O12*100</f>
        <v>14.3743303619673</v>
      </c>
      <c r="S12" s="3" t="n">
        <f aca="false">G12/$O12*100</f>
        <v>0.0274802466429328</v>
      </c>
      <c r="T12" s="3" t="n">
        <f aca="false">H12/$O12*100</f>
        <v>11.7297425811053</v>
      </c>
      <c r="U12" s="3" t="n">
        <f aca="false">I12/$O12*100</f>
        <v>0.18227534383758</v>
      </c>
      <c r="V12" s="3" t="n">
        <f aca="false">J12/$O12*100</f>
        <v>3.92905773630696</v>
      </c>
      <c r="W12" s="3" t="n">
        <f aca="false">K12/$O12*100</f>
        <v>9.16203773748028</v>
      </c>
      <c r="X12" s="3" t="n">
        <f aca="false">L12/$O12*100</f>
        <v>5.12686713866821</v>
      </c>
      <c r="Y12" s="3" t="n">
        <f aca="false">M12/$O12*100</f>
        <v>3.00893262399303</v>
      </c>
      <c r="Z12" s="3" t="n">
        <f aca="false">N12/$O12*100</f>
        <v>1.39469970883289</v>
      </c>
    </row>
    <row r="13" customFormat="false" ht="15" hidden="false" customHeight="false" outlineLevel="0" collapsed="false">
      <c r="A13" s="1" t="s">
        <v>100</v>
      </c>
      <c r="B13" s="1" t="s">
        <v>71</v>
      </c>
      <c r="C13" s="1" t="s">
        <v>178</v>
      </c>
      <c r="D13" s="3" t="n">
        <v>45.4436</v>
      </c>
      <c r="E13" s="3" t="n">
        <v>3.8321</v>
      </c>
      <c r="F13" s="3" t="n">
        <v>13.8518</v>
      </c>
      <c r="G13" s="3" t="n">
        <v>0.1106</v>
      </c>
      <c r="H13" s="3" t="n">
        <v>11.7076</v>
      </c>
      <c r="I13" s="3" t="n">
        <v>0.227</v>
      </c>
      <c r="J13" s="3" t="n">
        <v>4.1015</v>
      </c>
      <c r="K13" s="3" t="n">
        <v>8.8324</v>
      </c>
      <c r="L13" s="3" t="n">
        <v>4.9598</v>
      </c>
      <c r="M13" s="3" t="n">
        <v>3.0049</v>
      </c>
      <c r="N13" s="3" t="n">
        <v>1.1739</v>
      </c>
      <c r="O13" s="3" t="n">
        <f aca="false">SUM(D13:N13)</f>
        <v>97.2452</v>
      </c>
      <c r="P13" s="3" t="n">
        <f aca="false">D13/$O13*100</f>
        <v>46.7309440465956</v>
      </c>
      <c r="Q13" s="3" t="n">
        <f aca="false">E13/$O13*100</f>
        <v>3.94065722524094</v>
      </c>
      <c r="R13" s="3" t="n">
        <f aca="false">F13/$O13*100</f>
        <v>14.2441991995492</v>
      </c>
      <c r="S13" s="3" t="n">
        <f aca="false">G13/$O13*100</f>
        <v>0.11373311998947</v>
      </c>
      <c r="T13" s="3" t="n">
        <f aca="false">H13/$O13*100</f>
        <v>12.0392574646358</v>
      </c>
      <c r="U13" s="3" t="n">
        <f aca="false">I13/$O13*100</f>
        <v>0.233430544643849</v>
      </c>
      <c r="V13" s="3" t="n">
        <f aca="false">J13/$O13*100</f>
        <v>4.21768889364205</v>
      </c>
      <c r="W13" s="3" t="n">
        <f aca="false">K13/$O13*100</f>
        <v>9.08260767626577</v>
      </c>
      <c r="X13" s="3" t="n">
        <f aca="false">L13/$O13*100</f>
        <v>5.10030315120952</v>
      </c>
      <c r="Y13" s="3" t="n">
        <f aca="false">M13/$O13*100</f>
        <v>3.09002398061807</v>
      </c>
      <c r="Z13" s="3" t="n">
        <f aca="false">N13/$O13*100</f>
        <v>1.20715469760975</v>
      </c>
    </row>
    <row r="14" customFormat="false" ht="15" hidden="false" customHeight="false" outlineLevel="0" collapsed="false">
      <c r="A14" s="1" t="s">
        <v>93</v>
      </c>
      <c r="B14" s="1" t="s">
        <v>71</v>
      </c>
      <c r="C14" s="1" t="s">
        <v>178</v>
      </c>
      <c r="D14" s="3" t="n">
        <v>45.4843</v>
      </c>
      <c r="E14" s="3" t="n">
        <v>3.5432</v>
      </c>
      <c r="F14" s="3" t="n">
        <v>14.1762</v>
      </c>
      <c r="G14" s="3" t="n">
        <v>0</v>
      </c>
      <c r="H14" s="3" t="n">
        <v>11.6042</v>
      </c>
      <c r="I14" s="3" t="n">
        <v>0.2619</v>
      </c>
      <c r="J14" s="3" t="n">
        <v>3.9541</v>
      </c>
      <c r="K14" s="3" t="n">
        <v>8.939</v>
      </c>
      <c r="L14" s="3" t="n">
        <v>4.8002</v>
      </c>
      <c r="M14" s="3" t="n">
        <v>2.9604</v>
      </c>
      <c r="N14" s="3" t="n">
        <v>1.4397</v>
      </c>
      <c r="O14" s="3" t="n">
        <f aca="false">SUM(D14:N14)</f>
        <v>97.1632</v>
      </c>
      <c r="P14" s="3" t="n">
        <f aca="false">D14/$O14*100</f>
        <v>46.8122704892387</v>
      </c>
      <c r="Q14" s="3" t="n">
        <f aca="false">E14/$O14*100</f>
        <v>3.64664811368913</v>
      </c>
      <c r="R14" s="3" t="n">
        <f aca="false">F14/$O14*100</f>
        <v>14.5900917219688</v>
      </c>
      <c r="S14" s="3" t="n">
        <f aca="false">G14/$O14*100</f>
        <v>0</v>
      </c>
      <c r="T14" s="3" t="n">
        <f aca="false">H14/$O14*100</f>
        <v>11.9429989955045</v>
      </c>
      <c r="U14" s="3" t="n">
        <f aca="false">I14/$O14*100</f>
        <v>0.269546494969289</v>
      </c>
      <c r="V14" s="3" t="n">
        <f aca="false">J14/$O14*100</f>
        <v>4.06954484825531</v>
      </c>
      <c r="W14" s="3" t="n">
        <f aca="false">K14/$O14*100</f>
        <v>9.19998517957416</v>
      </c>
      <c r="X14" s="3" t="n">
        <f aca="false">L14/$O14*100</f>
        <v>4.94034778599305</v>
      </c>
      <c r="Y14" s="3" t="n">
        <f aca="false">M14/$O14*100</f>
        <v>3.04683254565514</v>
      </c>
      <c r="Z14" s="3" t="n">
        <f aca="false">N14/$O14*100</f>
        <v>1.48173382515191</v>
      </c>
    </row>
    <row r="15" customFormat="false" ht="15" hidden="false" customHeight="false" outlineLevel="0" collapsed="false">
      <c r="C15" s="1" t="s">
        <v>14</v>
      </c>
      <c r="D15" s="3" t="n">
        <f aca="false">AVERAGE(D3:D14)</f>
        <v>45.4917583333333</v>
      </c>
      <c r="E15" s="3" t="n">
        <f aca="false">AVERAGE(E3:E14)</f>
        <v>3.727825</v>
      </c>
      <c r="F15" s="3" t="n">
        <f aca="false">AVERAGE(F3:F14)</f>
        <v>13.9536916666667</v>
      </c>
      <c r="G15" s="3" t="n">
        <f aca="false">AVERAGE(G3:G14)</f>
        <v>0.0302916666666667</v>
      </c>
      <c r="H15" s="3" t="n">
        <f aca="false">AVERAGE(H3:H14)</f>
        <v>11.39515</v>
      </c>
      <c r="I15" s="3" t="n">
        <f aca="false">AVERAGE(I3:I14)</f>
        <v>0.213466666666667</v>
      </c>
      <c r="J15" s="3" t="n">
        <f aca="false">AVERAGE(J3:J14)</f>
        <v>3.92823333333333</v>
      </c>
      <c r="K15" s="3" t="n">
        <f aca="false">AVERAGE(K3:K14)</f>
        <v>8.9383</v>
      </c>
      <c r="L15" s="3" t="n">
        <f aca="false">AVERAGE(L3:L14)</f>
        <v>4.77910833333333</v>
      </c>
      <c r="M15" s="3" t="n">
        <f aca="false">AVERAGE(M3:M14)</f>
        <v>2.97578333333333</v>
      </c>
      <c r="N15" s="3" t="n">
        <f aca="false">AVERAGE(N3:N14)</f>
        <v>1.39611666666667</v>
      </c>
      <c r="O15" s="3" t="n">
        <f aca="false">SUM(D15:N15)</f>
        <v>96.829725</v>
      </c>
      <c r="P15" s="3" t="n">
        <f aca="false">AVERAGE(P3:P14)</f>
        <v>46.98210590558</v>
      </c>
      <c r="Q15" s="3" t="n">
        <f aca="false">AVERAGE(Q3:Q14)</f>
        <v>3.84982753961015</v>
      </c>
      <c r="R15" s="3" t="n">
        <f aca="false">AVERAGE(R3:R14)</f>
        <v>14.410418006928</v>
      </c>
      <c r="S15" s="3" t="n">
        <f aca="false">AVERAGE(S3:S14)</f>
        <v>0.0312756707315213</v>
      </c>
      <c r="T15" s="3" t="n">
        <f aca="false">AVERAGE(T3:T14)</f>
        <v>11.7678639004875</v>
      </c>
      <c r="U15" s="3" t="n">
        <f aca="false">AVERAGE(U3:U14)</f>
        <v>0.220520762960044</v>
      </c>
      <c r="V15" s="3" t="n">
        <f aca="false">AVERAGE(V3:V14)</f>
        <v>4.05678705192485</v>
      </c>
      <c r="W15" s="3" t="n">
        <f aca="false">AVERAGE(W3:W14)</f>
        <v>9.23083778085638</v>
      </c>
      <c r="X15" s="3" t="n">
        <f aca="false">AVERAGE(X3:X14)</f>
        <v>4.93537636480857</v>
      </c>
      <c r="Y15" s="3" t="n">
        <f aca="false">AVERAGE(Y3:Y14)</f>
        <v>3.0733542495446</v>
      </c>
      <c r="Z15" s="3" t="n">
        <f aca="false">AVERAGE(Z3:Z14)</f>
        <v>1.44163276656834</v>
      </c>
    </row>
    <row r="16" customFormat="false" ht="15" hidden="false" customHeight="false" outlineLevel="0" collapsed="false">
      <c r="C16" s="1" t="s">
        <v>81</v>
      </c>
      <c r="D16" s="3" t="n">
        <f aca="false">_xlfn.STDEV.P(D3:D14)</f>
        <v>0.273298598783863</v>
      </c>
      <c r="E16" s="3" t="n">
        <f aca="false">_xlfn.STDEV.P(E3:E14)</f>
        <v>0.0992920534332935</v>
      </c>
      <c r="F16" s="3" t="n">
        <f aca="false">_xlfn.STDEV.P(F3:F14)</f>
        <v>0.157296172120903</v>
      </c>
      <c r="G16" s="3" t="n">
        <f aca="false">_xlfn.STDEV.P(G3:G14)</f>
        <v>0.0332809119049076</v>
      </c>
      <c r="H16" s="3" t="n">
        <f aca="false">_xlfn.STDEV.P(H3:H14)</f>
        <v>0.206168476817707</v>
      </c>
      <c r="I16" s="3" t="n">
        <f aca="false">_xlfn.STDEV.P(I3:I14)</f>
        <v>0.0382897578414327</v>
      </c>
      <c r="J16" s="3" t="n">
        <f aca="false">_xlfn.STDEV.P(J3:J14)</f>
        <v>0.0827459398131144</v>
      </c>
      <c r="K16" s="3" t="n">
        <f aca="false">_xlfn.STDEV.P(K3:K14)</f>
        <v>0.207752340540366</v>
      </c>
      <c r="L16" s="3" t="n">
        <f aca="false">_xlfn.STDEV.P(L3:L14)</f>
        <v>0.158399465794203</v>
      </c>
      <c r="M16" s="3" t="n">
        <f aca="false">_xlfn.STDEV.P(M3:M14)</f>
        <v>0.0400190961361642</v>
      </c>
      <c r="N16" s="3" t="n">
        <f aca="false">_xlfn.STDEV.P(N3:N14)</f>
        <v>0.183849221888179</v>
      </c>
      <c r="O16" s="3"/>
      <c r="P16" s="3" t="n">
        <f aca="false">_xlfn.STDEV.P(P3:P14)</f>
        <v>0.346730865043531</v>
      </c>
      <c r="Q16" s="3" t="n">
        <f aca="false">_xlfn.STDEV.P(Q3:Q14)</f>
        <v>0.0991613332585242</v>
      </c>
      <c r="R16" s="3" t="n">
        <f aca="false">_xlfn.STDEV.P(R3:R14)</f>
        <v>0.136256274395456</v>
      </c>
      <c r="S16" s="3" t="n">
        <f aca="false">_xlfn.STDEV.P(S3:S14)</f>
        <v>0.0343225659981668</v>
      </c>
      <c r="T16" s="3" t="n">
        <f aca="false">_xlfn.STDEV.P(T3:T14)</f>
        <v>0.183952906808304</v>
      </c>
      <c r="U16" s="3" t="n">
        <f aca="false">_xlfn.STDEV.P(U3:U14)</f>
        <v>0.0399094568360571</v>
      </c>
      <c r="V16" s="3" t="n">
        <f aca="false">_xlfn.STDEV.P(V3:V14)</f>
        <v>0.0803701093606099</v>
      </c>
      <c r="W16" s="3" t="n">
        <f aca="false">_xlfn.STDEV.P(W3:W14)</f>
        <v>0.205096178778423</v>
      </c>
      <c r="X16" s="3" t="n">
        <f aca="false">_xlfn.STDEV.P(X3:X14)</f>
        <v>0.155748275684065</v>
      </c>
      <c r="Y16" s="3" t="n">
        <f aca="false">_xlfn.STDEV.P(Y3:Y14)</f>
        <v>0.0488965500818515</v>
      </c>
      <c r="Z16" s="3" t="n">
        <f aca="false">_xlfn.STDEV.P(Z3:Z14)</f>
        <v>0.187866256713471</v>
      </c>
    </row>
    <row r="17" customFormat="false" ht="15" hidden="false" customHeight="false" outlineLevel="0" collapsed="false">
      <c r="C17" s="1" t="s">
        <v>66</v>
      </c>
      <c r="D17" s="3" t="n">
        <f aca="false">D15/$O$15*100</f>
        <v>46.9811912956825</v>
      </c>
      <c r="E17" s="3" t="n">
        <f aca="false">E15/$O$15*100</f>
        <v>3.84987667784867</v>
      </c>
      <c r="F17" s="3" t="n">
        <f aca="false">F15/$O$15*100</f>
        <v>14.4105455908985</v>
      </c>
      <c r="G17" s="3" t="n">
        <f aca="false">G15/$O$15*100</f>
        <v>0.0312834376702677</v>
      </c>
      <c r="H17" s="3" t="n">
        <f aca="false">H15/$O$15*100</f>
        <v>11.7682354256402</v>
      </c>
      <c r="I17" s="3" t="n">
        <f aca="false">I15/$O$15*100</f>
        <v>0.220455719219141</v>
      </c>
      <c r="J17" s="3" t="n">
        <f aca="false">J15/$O$15*100</f>
        <v>4.05684652448753</v>
      </c>
      <c r="K17" s="3" t="n">
        <f aca="false">K15/$O$15*100</f>
        <v>9.23094638552366</v>
      </c>
      <c r="L17" s="3" t="n">
        <f aca="false">L15/$O$15*100</f>
        <v>4.9355797853741</v>
      </c>
      <c r="M17" s="3" t="n">
        <f aca="false">M15/$O$15*100</f>
        <v>3.07321262487664</v>
      </c>
      <c r="N17" s="3" t="n">
        <f aca="false">N15/$O$15*100</f>
        <v>1.44182653277872</v>
      </c>
      <c r="O17" s="3"/>
    </row>
    <row r="18" customFormat="false" ht="15" hidden="false" customHeight="false" outlineLevel="0" collapsed="false"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customFormat="false" ht="15" hidden="false" customHeight="false" outlineLevel="0" collapsed="false">
      <c r="A19" s="16" t="s">
        <v>179</v>
      </c>
      <c r="B19" s="16" t="s">
        <v>82</v>
      </c>
      <c r="C19" s="17" t="s">
        <v>180</v>
      </c>
      <c r="D19" s="18" t="n">
        <v>0.0907</v>
      </c>
      <c r="E19" s="18" t="n">
        <v>17.9038</v>
      </c>
      <c r="F19" s="18" t="n">
        <v>3.9514</v>
      </c>
      <c r="G19" s="18" t="n">
        <v>1.4125</v>
      </c>
      <c r="H19" s="18" t="n">
        <v>65.4744</v>
      </c>
      <c r="I19" s="18" t="n">
        <v>0.4544</v>
      </c>
      <c r="J19" s="18" t="n">
        <v>5.8418</v>
      </c>
      <c r="K19" s="18" t="n">
        <v>0.0169</v>
      </c>
      <c r="L19" s="18" t="n">
        <v>0.0136</v>
      </c>
      <c r="M19" s="18" t="n">
        <v>0.0121</v>
      </c>
      <c r="N19" s="3"/>
      <c r="O19" s="3" t="n">
        <f aca="false">SUM(D19:N19)</f>
        <v>95.1716</v>
      </c>
    </row>
    <row r="20" customFormat="false" ht="15" hidden="false" customHeight="false" outlineLevel="0" collapsed="false">
      <c r="A20" s="16" t="s">
        <v>181</v>
      </c>
      <c r="B20" s="16" t="s">
        <v>82</v>
      </c>
      <c r="C20" s="17" t="s">
        <v>180</v>
      </c>
      <c r="D20" s="18" t="n">
        <v>0.1006</v>
      </c>
      <c r="E20" s="18" t="n">
        <v>17.3146</v>
      </c>
      <c r="F20" s="18" t="n">
        <v>4.4208</v>
      </c>
      <c r="G20" s="18" t="n">
        <v>2.8034</v>
      </c>
      <c r="H20" s="18" t="n">
        <v>65.6184</v>
      </c>
      <c r="I20" s="18" t="n">
        <v>0.4978</v>
      </c>
      <c r="J20" s="18" t="n">
        <v>5.7047</v>
      </c>
      <c r="K20" s="18" t="n">
        <v>0.0379</v>
      </c>
      <c r="L20" s="18" t="n">
        <v>0.0243</v>
      </c>
      <c r="M20" s="18" t="n">
        <v>0</v>
      </c>
      <c r="N20" s="3"/>
      <c r="O20" s="3" t="n">
        <f aca="false">SUM(D20:N20)</f>
        <v>96.5225</v>
      </c>
    </row>
    <row r="21" customFormat="false" ht="15" hidden="false" customHeight="false" outlineLevel="0" collapsed="false">
      <c r="A21" s="16" t="s">
        <v>182</v>
      </c>
      <c r="B21" s="16" t="s">
        <v>82</v>
      </c>
      <c r="C21" s="17" t="s">
        <v>180</v>
      </c>
      <c r="D21" s="18" t="n">
        <v>0.1239</v>
      </c>
      <c r="E21" s="18" t="n">
        <v>19.6495</v>
      </c>
      <c r="F21" s="18" t="n">
        <v>3.6898</v>
      </c>
      <c r="G21" s="18" t="n">
        <v>0.2288</v>
      </c>
      <c r="H21" s="18" t="n">
        <v>66.2148</v>
      </c>
      <c r="I21" s="18" t="n">
        <v>0.5416</v>
      </c>
      <c r="J21" s="18" t="n">
        <v>5.6529</v>
      </c>
      <c r="K21" s="18" t="n">
        <v>0.0994</v>
      </c>
      <c r="L21" s="18" t="n">
        <v>0</v>
      </c>
      <c r="M21" s="18" t="n">
        <v>0.0268</v>
      </c>
      <c r="N21" s="3"/>
      <c r="O21" s="3" t="n">
        <f aca="false">SUM(D21:N21)</f>
        <v>96.2275</v>
      </c>
    </row>
    <row r="22" customFormat="false" ht="15" hidden="false" customHeight="false" outlineLevel="0" collapsed="false">
      <c r="A22" s="16" t="s">
        <v>105</v>
      </c>
      <c r="B22" s="16" t="s">
        <v>82</v>
      </c>
      <c r="C22" s="17" t="s">
        <v>180</v>
      </c>
      <c r="D22" s="18" t="n">
        <v>0.1258</v>
      </c>
      <c r="E22" s="18" t="n">
        <v>19.3465</v>
      </c>
      <c r="F22" s="18" t="n">
        <v>3.7036</v>
      </c>
      <c r="G22" s="18" t="n">
        <v>0.0511</v>
      </c>
      <c r="H22" s="18" t="n">
        <v>66.3926</v>
      </c>
      <c r="I22" s="18" t="n">
        <v>0.4552</v>
      </c>
      <c r="J22" s="18" t="n">
        <v>5.6994</v>
      </c>
      <c r="K22" s="18" t="n">
        <v>0.1303</v>
      </c>
      <c r="L22" s="18" t="n">
        <v>0</v>
      </c>
      <c r="M22" s="18" t="n">
        <v>0.0362</v>
      </c>
      <c r="N22" s="3"/>
      <c r="O22" s="3" t="n">
        <f aca="false">SUM(D22:N22)</f>
        <v>95.9407</v>
      </c>
    </row>
    <row r="23" customFormat="false" ht="15" hidden="false" customHeight="false" outlineLevel="0" collapsed="false">
      <c r="A23" s="16" t="s">
        <v>101</v>
      </c>
      <c r="B23" s="16" t="s">
        <v>82</v>
      </c>
      <c r="C23" s="17" t="s">
        <v>180</v>
      </c>
      <c r="D23" s="18" t="n">
        <v>0.1307</v>
      </c>
      <c r="E23" s="18" t="n">
        <v>18.5897</v>
      </c>
      <c r="F23" s="18" t="n">
        <v>3.7257</v>
      </c>
      <c r="G23" s="18" t="n">
        <v>0.9645</v>
      </c>
      <c r="H23" s="18" t="n">
        <v>65.5193</v>
      </c>
      <c r="I23" s="18" t="n">
        <v>0.4569</v>
      </c>
      <c r="J23" s="18" t="n">
        <v>5.7909</v>
      </c>
      <c r="K23" s="18" t="n">
        <v>0.0932</v>
      </c>
      <c r="L23" s="18" t="n">
        <v>0.03</v>
      </c>
      <c r="M23" s="18" t="n">
        <v>0.0315</v>
      </c>
      <c r="N23" s="3"/>
      <c r="O23" s="3" t="n">
        <f aca="false">SUM(D23:N23)</f>
        <v>95.3324</v>
      </c>
    </row>
    <row r="24" customFormat="false" ht="15" hidden="false" customHeight="false" outlineLevel="0" collapsed="false">
      <c r="A24" s="16" t="s">
        <v>183</v>
      </c>
      <c r="B24" s="16" t="s">
        <v>82</v>
      </c>
      <c r="C24" s="17" t="s">
        <v>180</v>
      </c>
      <c r="D24" s="18" t="n">
        <v>0.1365</v>
      </c>
      <c r="E24" s="18" t="n">
        <v>19.4934</v>
      </c>
      <c r="F24" s="18" t="n">
        <v>3.5905</v>
      </c>
      <c r="G24" s="18" t="n">
        <v>0.1005</v>
      </c>
      <c r="H24" s="18" t="n">
        <v>66.4864</v>
      </c>
      <c r="I24" s="18" t="n">
        <v>0.383</v>
      </c>
      <c r="J24" s="18" t="n">
        <v>5.7497</v>
      </c>
      <c r="K24" s="18" t="n">
        <v>0.1557</v>
      </c>
      <c r="L24" s="18" t="n">
        <v>0.0155</v>
      </c>
      <c r="M24" s="18" t="n">
        <v>0.0249</v>
      </c>
      <c r="N24" s="3"/>
      <c r="O24" s="3" t="n">
        <f aca="false">SUM(D24:N24)</f>
        <v>96.1361</v>
      </c>
    </row>
    <row r="25" customFormat="false" ht="15" hidden="false" customHeight="false" outlineLevel="0" collapsed="false">
      <c r="C25" s="1" t="s">
        <v>30</v>
      </c>
      <c r="D25" s="3" t="n">
        <f aca="false">AVERAGE(D19:D24)</f>
        <v>0.118033333333333</v>
      </c>
      <c r="E25" s="3" t="n">
        <f aca="false">AVERAGE(E19:E24)</f>
        <v>18.71625</v>
      </c>
      <c r="F25" s="3" t="n">
        <f aca="false">AVERAGE(F19:F24)</f>
        <v>3.84696666666667</v>
      </c>
      <c r="G25" s="3" t="n">
        <f aca="false">AVERAGE(G19:G24)</f>
        <v>0.9268</v>
      </c>
      <c r="H25" s="3" t="n">
        <f aca="false">AVERAGE(H19:H24)</f>
        <v>65.9509833333333</v>
      </c>
      <c r="I25" s="3" t="n">
        <f aca="false">AVERAGE(I19:I24)</f>
        <v>0.464816666666667</v>
      </c>
      <c r="J25" s="3" t="n">
        <f aca="false">AVERAGE(J19:J24)</f>
        <v>5.7399</v>
      </c>
      <c r="K25" s="3" t="n">
        <f aca="false">AVERAGE(K19:K24)</f>
        <v>0.0889</v>
      </c>
      <c r="L25" s="3" t="n">
        <f aca="false">AVERAGE(L19:L24)</f>
        <v>0.0139</v>
      </c>
      <c r="M25" s="3" t="n">
        <f aca="false">AVERAGE(M19:M24)</f>
        <v>0.0219166666666667</v>
      </c>
      <c r="N25" s="3"/>
      <c r="O25" s="3" t="n">
        <f aca="false">SUM(D25:N25)</f>
        <v>95.8884666666667</v>
      </c>
    </row>
    <row r="26" customFormat="false" ht="15" hidden="false" customHeight="false" outlineLevel="0" collapsed="false">
      <c r="C26" s="1" t="s">
        <v>81</v>
      </c>
      <c r="D26" s="3" t="n">
        <f aca="false">_xlfn.STDEV.P(D19:D24)</f>
        <v>0.0165692150957397</v>
      </c>
      <c r="E26" s="3" t="n">
        <f aca="false">_xlfn.STDEV.P(E19:E24)</f>
        <v>0.867260569744373</v>
      </c>
      <c r="F26" s="3" t="n">
        <f aca="false">_xlfn.STDEV.P(F19:F24)</f>
        <v>0.278665610045844</v>
      </c>
      <c r="G26" s="3" t="n">
        <f aca="false">_xlfn.STDEV.P(G19:G24)</f>
        <v>0.974318524234589</v>
      </c>
      <c r="H26" s="3" t="n">
        <f aca="false">_xlfn.STDEV.P(H19:H24)</f>
        <v>0.423357486515698</v>
      </c>
      <c r="I26" s="3" t="n">
        <f aca="false">_xlfn.STDEV.P(I19:I24)</f>
        <v>0.0482030571875086</v>
      </c>
      <c r="J26" s="3" t="n">
        <f aca="false">_xlfn.STDEV.P(J19:J24)</f>
        <v>0.0626218013155164</v>
      </c>
      <c r="K26" s="3" t="n">
        <f aca="false">_xlfn.STDEV.P(K19:K24)</f>
        <v>0.0484595019922134</v>
      </c>
      <c r="L26" s="3" t="n">
        <f aca="false">_xlfn.STDEV.P(L19:L24)</f>
        <v>0.0112282382114619</v>
      </c>
      <c r="M26" s="3" t="n">
        <f aca="false">_xlfn.STDEV.P(M19:M24)</f>
        <v>0.0122835142456148</v>
      </c>
      <c r="N26" s="3"/>
      <c r="O26" s="3"/>
    </row>
    <row r="27" customFormat="false" ht="15" hidden="false" customHeight="false" outlineLevel="0" collapsed="false">
      <c r="C27" s="1" t="s">
        <v>66</v>
      </c>
      <c r="D27" s="3" t="n">
        <f aca="false">D25/$O$25*100</f>
        <v>0.123094400647419</v>
      </c>
      <c r="E27" s="3" t="n">
        <f aca="false">E25/$O$25*100</f>
        <v>19.5187707663139</v>
      </c>
      <c r="F27" s="3" t="n">
        <f aca="false">F25/$O$25*100</f>
        <v>4.01191801308048</v>
      </c>
      <c r="G27" s="3" t="n">
        <f aca="false">G25/$O$25*100</f>
        <v>0.966539597740987</v>
      </c>
      <c r="H27" s="3" t="n">
        <f aca="false">H25/$O$25*100</f>
        <v>68.7788486206544</v>
      </c>
      <c r="I27" s="3" t="n">
        <f aca="false">I25/$O$25*100</f>
        <v>0.484747209779139</v>
      </c>
      <c r="J27" s="3" t="n">
        <f aca="false">J25/$O$25*100</f>
        <v>5.98601708790838</v>
      </c>
      <c r="K27" s="3" t="n">
        <f aca="false">K25/$O$25*100</f>
        <v>0.0927118798437351</v>
      </c>
      <c r="L27" s="3" t="n">
        <f aca="false">L25/$O$25*100</f>
        <v>0.0144960082095379</v>
      </c>
      <c r="M27" s="3" t="n">
        <f aca="false">M25/$O$25*100</f>
        <v>0.0228564158219932</v>
      </c>
      <c r="N27" s="3"/>
      <c r="O27" s="3"/>
    </row>
    <row r="28" customFormat="false" ht="15" hidden="false" customHeight="false" outlineLevel="0" collapsed="false"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customFormat="false" ht="15" hidden="false" customHeight="false" outlineLevel="0" collapsed="false">
      <c r="A29" s="16" t="s">
        <v>184</v>
      </c>
      <c r="B29" s="16" t="s">
        <v>82</v>
      </c>
      <c r="C29" s="16" t="s">
        <v>180</v>
      </c>
      <c r="D29" s="18" t="n">
        <v>38.0823</v>
      </c>
      <c r="E29" s="18" t="n">
        <v>0.1173</v>
      </c>
      <c r="F29" s="18" t="n">
        <v>0.0208</v>
      </c>
      <c r="G29" s="18" t="n">
        <v>0.0211</v>
      </c>
      <c r="H29" s="18" t="n">
        <v>22.9193</v>
      </c>
      <c r="I29" s="18" t="n">
        <v>0.457</v>
      </c>
      <c r="J29" s="18" t="n">
        <v>38.0025</v>
      </c>
      <c r="K29" s="18" t="n">
        <v>0.4036</v>
      </c>
      <c r="L29" s="18" t="n">
        <v>0.029</v>
      </c>
      <c r="M29" s="18" t="n">
        <v>0.0162</v>
      </c>
      <c r="N29" s="3"/>
      <c r="O29" s="3" t="n">
        <f aca="false">SUM(D29:N29)</f>
        <v>100.0691</v>
      </c>
    </row>
    <row r="30" customFormat="false" ht="15" hidden="false" customHeight="false" outlineLevel="0" collapsed="false">
      <c r="A30" s="16" t="s">
        <v>104</v>
      </c>
      <c r="B30" s="16" t="s">
        <v>82</v>
      </c>
      <c r="C30" s="16" t="s">
        <v>180</v>
      </c>
      <c r="D30" s="18" t="n">
        <v>38.1865</v>
      </c>
      <c r="E30" s="18" t="n">
        <v>0.0679</v>
      </c>
      <c r="F30" s="18" t="n">
        <v>0.0104</v>
      </c>
      <c r="G30" s="18" t="n">
        <v>0</v>
      </c>
      <c r="H30" s="18" t="n">
        <v>23.0143</v>
      </c>
      <c r="I30" s="18" t="n">
        <v>0.4076</v>
      </c>
      <c r="J30" s="18" t="n">
        <v>38.0884</v>
      </c>
      <c r="K30" s="18" t="n">
        <v>0.4224</v>
      </c>
      <c r="L30" s="18" t="n">
        <v>0.0053</v>
      </c>
      <c r="M30" s="18" t="n">
        <v>0.0009</v>
      </c>
      <c r="N30" s="3"/>
      <c r="O30" s="3" t="n">
        <f aca="false">SUM(D30:N30)</f>
        <v>100.2037</v>
      </c>
    </row>
    <row r="31" customFormat="false" ht="15" hidden="false" customHeight="false" outlineLevel="0" collapsed="false">
      <c r="A31" s="16" t="s">
        <v>185</v>
      </c>
      <c r="B31" s="16" t="s">
        <v>82</v>
      </c>
      <c r="C31" s="16" t="s">
        <v>180</v>
      </c>
      <c r="D31" s="18" t="n">
        <v>38.3867</v>
      </c>
      <c r="E31" s="18" t="n">
        <v>0.1009</v>
      </c>
      <c r="F31" s="18" t="n">
        <v>0.0176</v>
      </c>
      <c r="G31" s="18" t="n">
        <v>0</v>
      </c>
      <c r="H31" s="18" t="n">
        <v>22.4707</v>
      </c>
      <c r="I31" s="18" t="n">
        <v>0.3591</v>
      </c>
      <c r="J31" s="18" t="n">
        <v>38.1173</v>
      </c>
      <c r="K31" s="18" t="n">
        <v>0.4037</v>
      </c>
      <c r="L31" s="18" t="n">
        <v>0.0256</v>
      </c>
      <c r="M31" s="18" t="n">
        <v>0.0066</v>
      </c>
      <c r="N31" s="3"/>
      <c r="O31" s="3" t="n">
        <f aca="false">SUM(D31:N31)</f>
        <v>99.8882</v>
      </c>
    </row>
    <row r="32" customFormat="false" ht="15" hidden="false" customHeight="false" outlineLevel="0" collapsed="false">
      <c r="A32" s="16" t="s">
        <v>186</v>
      </c>
      <c r="B32" s="16" t="s">
        <v>82</v>
      </c>
      <c r="C32" s="16" t="s">
        <v>180</v>
      </c>
      <c r="D32" s="18" t="n">
        <v>38.3954</v>
      </c>
      <c r="E32" s="18" t="n">
        <v>0.0409</v>
      </c>
      <c r="F32" s="18" t="n">
        <v>0.0526</v>
      </c>
      <c r="G32" s="18" t="n">
        <v>0</v>
      </c>
      <c r="H32" s="18" t="n">
        <v>23.1058</v>
      </c>
      <c r="I32" s="18" t="n">
        <v>0.4339</v>
      </c>
      <c r="J32" s="18" t="n">
        <v>37.8133</v>
      </c>
      <c r="K32" s="18" t="n">
        <v>0.4197</v>
      </c>
      <c r="L32" s="18" t="n">
        <v>0.0177</v>
      </c>
      <c r="M32" s="18" t="n">
        <v>0.0039</v>
      </c>
      <c r="N32" s="3"/>
      <c r="O32" s="3" t="n">
        <f aca="false">SUM(D32:N32)</f>
        <v>100.2832</v>
      </c>
    </row>
    <row r="33" customFormat="false" ht="15" hidden="false" customHeight="false" outlineLevel="0" collapsed="false">
      <c r="A33" s="16" t="s">
        <v>187</v>
      </c>
      <c r="B33" s="16" t="s">
        <v>82</v>
      </c>
      <c r="C33" s="16" t="s">
        <v>180</v>
      </c>
      <c r="D33" s="18" t="n">
        <v>38.4123</v>
      </c>
      <c r="E33" s="18" t="n">
        <v>0.14</v>
      </c>
      <c r="F33" s="18" t="n">
        <v>0.0196</v>
      </c>
      <c r="G33" s="18" t="n">
        <v>0.0337</v>
      </c>
      <c r="H33" s="18" t="n">
        <v>22.8146</v>
      </c>
      <c r="I33" s="18" t="n">
        <v>0.3781</v>
      </c>
      <c r="J33" s="18" t="n">
        <v>38.2745</v>
      </c>
      <c r="K33" s="18" t="n">
        <v>0.346</v>
      </c>
      <c r="L33" s="18" t="n">
        <v>0.0368</v>
      </c>
      <c r="M33" s="18" t="n">
        <v>0.0079</v>
      </c>
      <c r="N33" s="3"/>
      <c r="O33" s="3" t="n">
        <f aca="false">SUM(D33:N33)</f>
        <v>100.4635</v>
      </c>
    </row>
    <row r="34" customFormat="false" ht="15" hidden="false" customHeight="false" outlineLevel="0" collapsed="false">
      <c r="A34" s="16" t="s">
        <v>188</v>
      </c>
      <c r="B34" s="16" t="s">
        <v>82</v>
      </c>
      <c r="C34" s="16" t="s">
        <v>180</v>
      </c>
      <c r="D34" s="18" t="n">
        <v>38.4321</v>
      </c>
      <c r="E34" s="18" t="n">
        <v>0.0988</v>
      </c>
      <c r="F34" s="18" t="n">
        <v>0.0272</v>
      </c>
      <c r="G34" s="18" t="n">
        <v>0.0569</v>
      </c>
      <c r="H34" s="18" t="n">
        <v>22.6403</v>
      </c>
      <c r="I34" s="18" t="n">
        <v>0.4882</v>
      </c>
      <c r="J34" s="18" t="n">
        <v>37.9586</v>
      </c>
      <c r="K34" s="18" t="n">
        <v>0.4338</v>
      </c>
      <c r="L34" s="18" t="n">
        <v>0.0197</v>
      </c>
      <c r="M34" s="18" t="n">
        <v>0.0026</v>
      </c>
      <c r="N34" s="3"/>
      <c r="O34" s="3" t="n">
        <f aca="false">SUM(D34:N34)</f>
        <v>100.1582</v>
      </c>
    </row>
    <row r="35" customFormat="false" ht="15" hidden="false" customHeight="false" outlineLevel="0" collapsed="false">
      <c r="A35" s="16" t="s">
        <v>189</v>
      </c>
      <c r="B35" s="16" t="s">
        <v>82</v>
      </c>
      <c r="C35" s="16" t="s">
        <v>180</v>
      </c>
      <c r="D35" s="18" t="n">
        <v>38.5331</v>
      </c>
      <c r="E35" s="18" t="n">
        <v>0.0617</v>
      </c>
      <c r="F35" s="18" t="n">
        <v>0.0404</v>
      </c>
      <c r="G35" s="18" t="n">
        <v>0.0147</v>
      </c>
      <c r="H35" s="18" t="n">
        <v>22.5109</v>
      </c>
      <c r="I35" s="18" t="n">
        <v>0.3635</v>
      </c>
      <c r="J35" s="18" t="n">
        <v>37.9565</v>
      </c>
      <c r="K35" s="18" t="n">
        <v>0.3411</v>
      </c>
      <c r="L35" s="18" t="n">
        <v>0.0302</v>
      </c>
      <c r="M35" s="18" t="n">
        <v>0.0215</v>
      </c>
      <c r="N35" s="3"/>
      <c r="O35" s="3" t="n">
        <f aca="false">SUM(D35:N35)</f>
        <v>99.8736</v>
      </c>
    </row>
    <row r="36" customFormat="false" ht="15" hidden="false" customHeight="false" outlineLevel="0" collapsed="false">
      <c r="A36" s="16" t="s">
        <v>190</v>
      </c>
      <c r="B36" s="16" t="s">
        <v>82</v>
      </c>
      <c r="C36" s="16" t="s">
        <v>180</v>
      </c>
      <c r="D36" s="18" t="n">
        <v>38.5943</v>
      </c>
      <c r="E36" s="18" t="n">
        <v>0.1106</v>
      </c>
      <c r="F36" s="18" t="n">
        <v>0.0231</v>
      </c>
      <c r="G36" s="18" t="n">
        <v>0</v>
      </c>
      <c r="H36" s="18" t="n">
        <v>22.7678</v>
      </c>
      <c r="I36" s="18" t="n">
        <v>0.4501</v>
      </c>
      <c r="J36" s="18" t="n">
        <v>38.3733</v>
      </c>
      <c r="K36" s="18" t="n">
        <v>0.3444</v>
      </c>
      <c r="L36" s="18" t="n">
        <v>0</v>
      </c>
      <c r="M36" s="18" t="n">
        <v>0</v>
      </c>
      <c r="N36" s="3"/>
      <c r="O36" s="3" t="n">
        <f aca="false">SUM(D36:N36)</f>
        <v>100.6636</v>
      </c>
    </row>
    <row r="37" customFormat="false" ht="15" hidden="false" customHeight="false" outlineLevel="0" collapsed="false">
      <c r="A37" s="16" t="s">
        <v>103</v>
      </c>
      <c r="B37" s="16" t="s">
        <v>82</v>
      </c>
      <c r="C37" s="16" t="s">
        <v>180</v>
      </c>
      <c r="D37" s="18" t="n">
        <v>38.806</v>
      </c>
      <c r="E37" s="18" t="n">
        <v>0.1322</v>
      </c>
      <c r="F37" s="18" t="n">
        <v>0.0233</v>
      </c>
      <c r="G37" s="18" t="n">
        <v>0</v>
      </c>
      <c r="H37" s="18" t="n">
        <v>22.7225</v>
      </c>
      <c r="I37" s="18" t="n">
        <v>0.3201</v>
      </c>
      <c r="J37" s="18" t="n">
        <v>38.0706</v>
      </c>
      <c r="K37" s="18" t="n">
        <v>0.2901</v>
      </c>
      <c r="L37" s="18" t="n">
        <v>0.0231</v>
      </c>
      <c r="M37" s="18" t="n">
        <v>0.0145</v>
      </c>
      <c r="N37" s="3"/>
      <c r="O37" s="3" t="n">
        <f aca="false">SUM(D37:N37)</f>
        <v>100.4024</v>
      </c>
    </row>
    <row r="38" customFormat="false" ht="15" hidden="false" customHeight="false" outlineLevel="0" collapsed="false">
      <c r="A38" s="16" t="s">
        <v>191</v>
      </c>
      <c r="B38" s="16" t="s">
        <v>82</v>
      </c>
      <c r="C38" s="16" t="s">
        <v>180</v>
      </c>
      <c r="D38" s="18" t="n">
        <v>38.894</v>
      </c>
      <c r="E38" s="18" t="n">
        <v>0.0921</v>
      </c>
      <c r="F38" s="18" t="n">
        <v>0.0175</v>
      </c>
      <c r="G38" s="18" t="n">
        <v>0.0293</v>
      </c>
      <c r="H38" s="18" t="n">
        <v>23.1241</v>
      </c>
      <c r="I38" s="18" t="n">
        <v>0.4186</v>
      </c>
      <c r="J38" s="18" t="n">
        <v>37.5331</v>
      </c>
      <c r="K38" s="18" t="n">
        <v>0.4135</v>
      </c>
      <c r="L38" s="18" t="n">
        <v>0.0092</v>
      </c>
      <c r="M38" s="18" t="n">
        <v>0.0135</v>
      </c>
      <c r="N38" s="3"/>
      <c r="O38" s="3" t="n">
        <f aca="false">SUM(D38:N38)</f>
        <v>100.5449</v>
      </c>
    </row>
    <row r="39" customFormat="false" ht="15" hidden="false" customHeight="false" outlineLevel="0" collapsed="false">
      <c r="C39" s="1" t="s">
        <v>32</v>
      </c>
      <c r="D39" s="3" t="n">
        <f aca="false">AVERAGE(D28:D38)</f>
        <v>38.47227</v>
      </c>
      <c r="E39" s="3" t="n">
        <f aca="false">AVERAGE(E28:E38)</f>
        <v>0.09624</v>
      </c>
      <c r="F39" s="3" t="n">
        <f aca="false">AVERAGE(F28:F38)</f>
        <v>0.02525</v>
      </c>
      <c r="G39" s="3" t="n">
        <f aca="false">AVERAGE(G28:G38)</f>
        <v>0.01557</v>
      </c>
      <c r="H39" s="3" t="n">
        <f aca="false">AVERAGE(H28:H38)</f>
        <v>22.80903</v>
      </c>
      <c r="I39" s="3" t="n">
        <f aca="false">AVERAGE(I28:I38)</f>
        <v>0.40762</v>
      </c>
      <c r="J39" s="3" t="n">
        <f aca="false">AVERAGE(J28:J38)</f>
        <v>38.01881</v>
      </c>
      <c r="K39" s="3" t="n">
        <f aca="false">AVERAGE(K28:K38)</f>
        <v>0.38183</v>
      </c>
      <c r="L39" s="3" t="n">
        <f aca="false">AVERAGE(L28:L38)</f>
        <v>0.01966</v>
      </c>
      <c r="M39" s="3" t="n">
        <f aca="false">AVERAGE(M28:M38)</f>
        <v>0.00876</v>
      </c>
      <c r="N39" s="3"/>
      <c r="O39" s="3" t="n">
        <f aca="false">SUM(D39:N39)</f>
        <v>100.25504</v>
      </c>
    </row>
    <row r="40" customFormat="false" ht="15" hidden="false" customHeight="false" outlineLevel="0" collapsed="false">
      <c r="C40" s="1" t="s">
        <v>81</v>
      </c>
      <c r="D40" s="3" t="n">
        <f aca="false">_xlfn.STDEV.P(D28:D38)</f>
        <v>0.236644429683016</v>
      </c>
      <c r="E40" s="3" t="n">
        <f aca="false">_xlfn.STDEV.P(E28:E38)</f>
        <v>0.0299364059299041</v>
      </c>
      <c r="F40" s="3" t="n">
        <f aca="false">_xlfn.STDEV.P(F28:F38)</f>
        <v>0.0117499148933088</v>
      </c>
      <c r="G40" s="3" t="n">
        <f aca="false">_xlfn.STDEV.P(G28:G38)</f>
        <v>0.018624824831391</v>
      </c>
      <c r="H40" s="3" t="n">
        <f aca="false">_xlfn.STDEV.P(H28:H38)</f>
        <v>0.219698352519994</v>
      </c>
      <c r="I40" s="3" t="n">
        <f aca="false">_xlfn.STDEV.P(I28:I38)</f>
        <v>0.0493753136698897</v>
      </c>
      <c r="J40" s="3" t="n">
        <f aca="false">_xlfn.STDEV.P(J28:J38)</f>
        <v>0.222303429798104</v>
      </c>
      <c r="K40" s="3" t="n">
        <f aca="false">_xlfn.STDEV.P(K28:K38)</f>
        <v>0.0452706096711763</v>
      </c>
      <c r="L40" s="3" t="n">
        <f aca="false">_xlfn.STDEV.P(L28:L38)</f>
        <v>0.0111588709106253</v>
      </c>
      <c r="M40" s="3" t="n">
        <f aca="false">_xlfn.STDEV.P(M28:M38)</f>
        <v>0.00691783203034014</v>
      </c>
      <c r="N40" s="3"/>
      <c r="O40" s="3"/>
    </row>
    <row r="41" customFormat="false" ht="15" hidden="false" customHeight="false" outlineLevel="0" collapsed="false">
      <c r="C41" s="1" t="s">
        <v>66</v>
      </c>
      <c r="D41" s="3" t="n">
        <f aca="false">D39/$O$39*100</f>
        <v>38.3743999304175</v>
      </c>
      <c r="E41" s="3" t="n">
        <f aca="false">E39/$O$39*100</f>
        <v>0.0959951739084639</v>
      </c>
      <c r="F41" s="3" t="n">
        <f aca="false">F39/$O$39*100</f>
        <v>0.0251857662218279</v>
      </c>
      <c r="G41" s="3" t="n">
        <f aca="false">G39/$O$39*100</f>
        <v>0.0155303912900538</v>
      </c>
      <c r="H41" s="3" t="n">
        <f aca="false">H39/$O$39*100</f>
        <v>22.7510058347191</v>
      </c>
      <c r="I41" s="3" t="n">
        <f aca="false">I39/$O$39*100</f>
        <v>0.406583050587781</v>
      </c>
      <c r="J41" s="3" t="n">
        <f aca="false">J39/$O$39*100</f>
        <v>37.9220934927561</v>
      </c>
      <c r="K41" s="3" t="n">
        <f aca="false">K39/$O$39*100</f>
        <v>0.380858658078437</v>
      </c>
      <c r="L41" s="3" t="n">
        <f aca="false">L39/$O$39*100</f>
        <v>0.019609986689946</v>
      </c>
      <c r="M41" s="3" t="n">
        <f aca="false">M39/$O$39*100</f>
        <v>0.00873771533082028</v>
      </c>
      <c r="N41" s="3"/>
      <c r="O41" s="3"/>
    </row>
    <row r="42" customFormat="false" ht="15" hidden="false" customHeight="false" outlineLevel="0" collapsed="false"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</row>
    <row r="43" customFormat="false" ht="15" hidden="false" customHeight="false" outlineLevel="0" collapsed="false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/>
      <c r="AL43" s="16"/>
      <c r="AM43" s="16"/>
      <c r="AN43" s="16"/>
      <c r="AO43" s="16"/>
      <c r="AP43" s="16"/>
      <c r="AQ43" s="16"/>
      <c r="AR43" s="16"/>
      <c r="AS43" s="16"/>
      <c r="AT43" s="16"/>
      <c r="AU43" s="16"/>
      <c r="AV43" s="16"/>
      <c r="AW43" s="16"/>
      <c r="AX43" s="16"/>
      <c r="AY43" s="16"/>
      <c r="AZ43" s="16"/>
      <c r="BA43" s="16"/>
      <c r="BB43" s="16"/>
      <c r="BC43" s="16"/>
      <c r="BD43" s="16"/>
      <c r="BE43" s="16"/>
      <c r="BF43" s="16"/>
      <c r="BG43" s="16"/>
      <c r="BH43" s="16"/>
      <c r="BI43" s="16"/>
      <c r="BJ43" s="16"/>
      <c r="BK43" s="16"/>
      <c r="BL43" s="16"/>
      <c r="BM43" s="16"/>
      <c r="BN43" s="16"/>
      <c r="BO43" s="16"/>
      <c r="BP43" s="16"/>
      <c r="BQ43" s="16"/>
      <c r="BR43" s="16"/>
    </row>
    <row r="44" customFormat="false" ht="15" hidden="false" customHeight="false" outlineLevel="0" collapsed="false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/>
      <c r="AL44" s="16"/>
      <c r="AM44" s="16"/>
      <c r="AN44" s="16"/>
      <c r="AO44" s="16"/>
      <c r="AP44" s="16"/>
      <c r="AQ44" s="16"/>
      <c r="AR44" s="16"/>
      <c r="AS44" s="16"/>
      <c r="AT44" s="16"/>
      <c r="AU44" s="16"/>
      <c r="AV44" s="16"/>
      <c r="AW44" s="16"/>
      <c r="AX44" s="16"/>
      <c r="AY44" s="16"/>
      <c r="AZ44" s="16"/>
      <c r="BA44" s="16"/>
      <c r="BB44" s="16"/>
      <c r="BC44" s="16"/>
      <c r="BD44" s="16"/>
      <c r="BE44" s="16"/>
      <c r="BF44" s="16"/>
      <c r="BG44" s="16"/>
      <c r="BH44" s="16"/>
      <c r="BI44" s="16"/>
      <c r="BJ44" s="16"/>
      <c r="BK44" s="16"/>
      <c r="BL44" s="16"/>
      <c r="BM44" s="16"/>
      <c r="BN44" s="16"/>
      <c r="BO44" s="16"/>
      <c r="BP44" s="16"/>
      <c r="BQ44" s="16"/>
      <c r="BR44" s="16"/>
    </row>
    <row r="45" customFormat="false" ht="15" hidden="false" customHeight="false" outlineLevel="0" collapsed="false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6"/>
      <c r="AQ45" s="16"/>
      <c r="AR45" s="16"/>
      <c r="AS45" s="16"/>
      <c r="AT45" s="16"/>
      <c r="AU45" s="16"/>
      <c r="AV45" s="16"/>
      <c r="AW45" s="16"/>
      <c r="AX45" s="16"/>
      <c r="AY45" s="16"/>
      <c r="AZ45" s="16"/>
      <c r="BA45" s="16"/>
      <c r="BB45" s="16"/>
      <c r="BC45" s="16"/>
      <c r="BD45" s="16"/>
      <c r="BE45" s="16"/>
      <c r="BF45" s="16"/>
      <c r="BG45" s="16"/>
      <c r="BH45" s="16"/>
      <c r="BI45" s="16"/>
      <c r="BJ45" s="16"/>
      <c r="BK45" s="16"/>
      <c r="BL45" s="16"/>
      <c r="BM45" s="16"/>
      <c r="BN45" s="16"/>
      <c r="BO45" s="16"/>
      <c r="BP45" s="16"/>
      <c r="BQ45" s="16"/>
      <c r="BR45" s="16"/>
    </row>
    <row r="46" customFormat="false" ht="15" hidden="false" customHeight="false" outlineLevel="0" collapsed="false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6"/>
      <c r="AL46" s="16"/>
      <c r="AM46" s="16"/>
      <c r="AN46" s="16"/>
      <c r="AO46" s="16"/>
      <c r="AP46" s="16"/>
      <c r="AQ46" s="16"/>
      <c r="AR46" s="16"/>
      <c r="AS46" s="16"/>
      <c r="AT46" s="16"/>
      <c r="AU46" s="16"/>
      <c r="AV46" s="16"/>
      <c r="AW46" s="16"/>
      <c r="AX46" s="16"/>
      <c r="AY46" s="16"/>
      <c r="AZ46" s="16"/>
      <c r="BA46" s="16"/>
      <c r="BB46" s="16"/>
      <c r="BC46" s="16"/>
      <c r="BD46" s="16"/>
      <c r="BE46" s="16"/>
      <c r="BF46" s="16"/>
      <c r="BG46" s="16"/>
      <c r="BH46" s="16"/>
      <c r="BI46" s="16"/>
      <c r="BJ46" s="16"/>
      <c r="BK46" s="16"/>
      <c r="BL46" s="16"/>
      <c r="BM46" s="16"/>
      <c r="BN46" s="16"/>
      <c r="BO46" s="16"/>
      <c r="BP46" s="16"/>
      <c r="BQ46" s="16"/>
      <c r="BR46" s="16"/>
    </row>
    <row r="47" customFormat="false" ht="15" hidden="false" customHeight="false" outlineLevel="0" collapsed="false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/>
      <c r="AL47" s="16"/>
      <c r="AM47" s="16"/>
      <c r="AN47" s="16"/>
      <c r="AO47" s="16"/>
      <c r="AP47" s="16"/>
      <c r="AQ47" s="16"/>
      <c r="AR47" s="16"/>
      <c r="AS47" s="16"/>
      <c r="AT47" s="16"/>
      <c r="AU47" s="16"/>
      <c r="AV47" s="16"/>
      <c r="AW47" s="16"/>
      <c r="AX47" s="16"/>
      <c r="AY47" s="16"/>
      <c r="AZ47" s="16"/>
      <c r="BA47" s="16"/>
      <c r="BB47" s="16"/>
      <c r="BC47" s="16"/>
      <c r="BD47" s="16"/>
      <c r="BE47" s="16"/>
      <c r="BF47" s="16"/>
      <c r="BG47" s="16"/>
      <c r="BH47" s="16"/>
      <c r="BI47" s="16"/>
      <c r="BJ47" s="16"/>
      <c r="BK47" s="16"/>
      <c r="BL47" s="16"/>
      <c r="BM47" s="16"/>
      <c r="BN47" s="16"/>
      <c r="BO47" s="16"/>
      <c r="BP47" s="16"/>
      <c r="BQ47" s="16"/>
      <c r="BR47" s="16"/>
    </row>
    <row r="48" customFormat="false" ht="15" hidden="false" customHeight="false" outlineLevel="0" collapsed="false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  <c r="AN48" s="16"/>
      <c r="AO48" s="16"/>
      <c r="AP48" s="16"/>
      <c r="AQ48" s="16"/>
      <c r="AR48" s="16"/>
      <c r="AS48" s="16"/>
      <c r="AT48" s="16"/>
      <c r="AU48" s="16"/>
      <c r="AV48" s="16"/>
      <c r="AW48" s="16"/>
      <c r="AX48" s="16"/>
      <c r="AY48" s="16"/>
      <c r="AZ48" s="16"/>
      <c r="BA48" s="16"/>
      <c r="BB48" s="16"/>
      <c r="BC48" s="16"/>
      <c r="BD48" s="16"/>
      <c r="BE48" s="16"/>
      <c r="BF48" s="16"/>
      <c r="BG48" s="16"/>
      <c r="BH48" s="16"/>
      <c r="BI48" s="16"/>
      <c r="BJ48" s="16"/>
      <c r="BK48" s="16"/>
      <c r="BL48" s="16"/>
      <c r="BM48" s="16"/>
      <c r="BN48" s="16"/>
      <c r="BO48" s="16"/>
      <c r="BP48" s="16"/>
      <c r="BQ48" s="16"/>
      <c r="BR48" s="16"/>
    </row>
    <row r="49" customFormat="false" ht="15" hidden="false" customHeight="false" outlineLevel="0" collapsed="false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/>
      <c r="AO49" s="16"/>
      <c r="AP49" s="16"/>
      <c r="AQ49" s="16"/>
      <c r="AR49" s="16"/>
      <c r="AS49" s="16"/>
      <c r="AT49" s="16"/>
      <c r="AU49" s="16"/>
      <c r="AV49" s="16"/>
      <c r="AW49" s="16"/>
      <c r="AX49" s="16"/>
      <c r="AY49" s="16"/>
      <c r="AZ49" s="16"/>
      <c r="BA49" s="16"/>
      <c r="BB49" s="16"/>
      <c r="BC49" s="16"/>
      <c r="BD49" s="16"/>
      <c r="BE49" s="16"/>
      <c r="BF49" s="16"/>
      <c r="BG49" s="16"/>
      <c r="BH49" s="16"/>
      <c r="BI49" s="16"/>
      <c r="BJ49" s="16"/>
      <c r="BK49" s="16"/>
      <c r="BL49" s="16"/>
      <c r="BM49" s="16"/>
      <c r="BN49" s="16"/>
      <c r="BO49" s="16"/>
      <c r="BP49" s="16"/>
      <c r="BQ49" s="16"/>
      <c r="BR49" s="16"/>
    </row>
    <row r="50" customFormat="false" ht="15" hidden="false" customHeight="false" outlineLevel="0" collapsed="false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/>
      <c r="AL50" s="16"/>
      <c r="AM50" s="16"/>
      <c r="AN50" s="16"/>
      <c r="AO50" s="16"/>
      <c r="AP50" s="16"/>
      <c r="AQ50" s="16"/>
      <c r="AR50" s="16"/>
      <c r="AS50" s="16"/>
      <c r="AT50" s="16"/>
      <c r="AU50" s="16"/>
      <c r="AV50" s="16"/>
      <c r="AW50" s="16"/>
      <c r="AX50" s="16"/>
      <c r="AY50" s="16"/>
      <c r="AZ50" s="16"/>
      <c r="BA50" s="16"/>
      <c r="BB50" s="16"/>
      <c r="BC50" s="16"/>
      <c r="BD50" s="16"/>
      <c r="BE50" s="16"/>
      <c r="BF50" s="16"/>
      <c r="BG50" s="16"/>
      <c r="BH50" s="16"/>
      <c r="BI50" s="16"/>
      <c r="BJ50" s="16"/>
      <c r="BK50" s="16"/>
      <c r="BL50" s="16"/>
      <c r="BM50" s="16"/>
      <c r="BN50" s="16"/>
      <c r="BO50" s="16"/>
      <c r="BP50" s="16"/>
      <c r="BQ50" s="16"/>
      <c r="BR50" s="16"/>
    </row>
    <row r="51" customFormat="false" ht="15" hidden="false" customHeight="false" outlineLevel="0" collapsed="false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/>
      <c r="AL51" s="16"/>
      <c r="AM51" s="16"/>
      <c r="AN51" s="16"/>
      <c r="AO51" s="16"/>
      <c r="AP51" s="16"/>
      <c r="AQ51" s="16"/>
      <c r="AR51" s="16"/>
      <c r="AS51" s="16"/>
      <c r="AT51" s="16"/>
      <c r="AU51" s="16"/>
      <c r="AV51" s="16"/>
      <c r="AW51" s="16"/>
      <c r="AX51" s="16"/>
      <c r="AY51" s="16"/>
      <c r="AZ51" s="16"/>
      <c r="BA51" s="16"/>
      <c r="BB51" s="16"/>
      <c r="BC51" s="16"/>
      <c r="BD51" s="16"/>
      <c r="BE51" s="16"/>
      <c r="BF51" s="16"/>
      <c r="BG51" s="16"/>
      <c r="BH51" s="16"/>
      <c r="BI51" s="16"/>
      <c r="BJ51" s="16"/>
      <c r="BK51" s="16"/>
      <c r="BL51" s="16"/>
      <c r="BM51" s="16"/>
      <c r="BN51" s="16"/>
      <c r="BO51" s="16"/>
      <c r="BP51" s="16"/>
      <c r="BQ51" s="16"/>
      <c r="BR51" s="16"/>
    </row>
    <row r="52" customFormat="false" ht="15" hidden="false" customHeight="false" outlineLevel="0" collapsed="false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6"/>
      <c r="AU52" s="16"/>
      <c r="AV52" s="16"/>
      <c r="AW52" s="16"/>
      <c r="AX52" s="16"/>
      <c r="AY52" s="16"/>
      <c r="AZ52" s="16"/>
      <c r="BA52" s="16"/>
      <c r="BB52" s="16"/>
      <c r="BC52" s="16"/>
      <c r="BD52" s="16"/>
      <c r="BE52" s="16"/>
      <c r="BF52" s="16"/>
      <c r="BG52" s="16"/>
      <c r="BH52" s="16"/>
      <c r="BI52" s="16"/>
      <c r="BJ52" s="16"/>
      <c r="BK52" s="16"/>
      <c r="BL52" s="16"/>
      <c r="BM52" s="16"/>
      <c r="BN52" s="16"/>
      <c r="BO52" s="16"/>
      <c r="BP52" s="16"/>
      <c r="BQ52" s="16"/>
      <c r="BR52" s="16"/>
    </row>
    <row r="53" customFormat="false" ht="15" hidden="false" customHeight="false" outlineLevel="0" collapsed="false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16"/>
      <c r="AF53" s="16"/>
      <c r="AG53" s="16"/>
      <c r="AH53" s="16"/>
      <c r="AI53" s="16"/>
      <c r="AJ53" s="16"/>
      <c r="AK53" s="16"/>
      <c r="AL53" s="16"/>
      <c r="AM53" s="16"/>
      <c r="AN53" s="16"/>
      <c r="AO53" s="16"/>
      <c r="AP53" s="16"/>
      <c r="AQ53" s="16"/>
      <c r="AR53" s="16"/>
      <c r="AS53" s="16"/>
      <c r="AT53" s="16"/>
      <c r="AU53" s="16"/>
      <c r="AV53" s="16"/>
      <c r="AW53" s="16"/>
      <c r="AX53" s="16"/>
      <c r="AY53" s="16"/>
      <c r="AZ53" s="16"/>
      <c r="BA53" s="16"/>
      <c r="BB53" s="16"/>
      <c r="BC53" s="16"/>
      <c r="BD53" s="16"/>
      <c r="BE53" s="16"/>
      <c r="BF53" s="16"/>
      <c r="BG53" s="16"/>
      <c r="BH53" s="16"/>
      <c r="BI53" s="16"/>
      <c r="BJ53" s="16"/>
      <c r="BK53" s="16"/>
      <c r="BL53" s="16"/>
      <c r="BM53" s="16"/>
      <c r="BN53" s="16"/>
      <c r="BO53" s="16"/>
      <c r="BP53" s="16"/>
      <c r="BQ53" s="16"/>
      <c r="BR53" s="16"/>
    </row>
    <row r="54" customFormat="false" ht="15" hidden="false" customHeight="false" outlineLevel="0" collapsed="false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6"/>
      <c r="AO54" s="16"/>
      <c r="AP54" s="16"/>
      <c r="AQ54" s="16"/>
      <c r="AR54" s="16"/>
      <c r="AS54" s="16"/>
      <c r="AT54" s="16"/>
      <c r="AU54" s="16"/>
      <c r="AV54" s="16"/>
      <c r="AW54" s="16"/>
      <c r="AX54" s="16"/>
      <c r="AY54" s="16"/>
      <c r="AZ54" s="16"/>
      <c r="BA54" s="16"/>
      <c r="BB54" s="16"/>
      <c r="BC54" s="16"/>
      <c r="BD54" s="16"/>
      <c r="BE54" s="16"/>
      <c r="BF54" s="16"/>
      <c r="BG54" s="16"/>
      <c r="BH54" s="16"/>
      <c r="BI54" s="16"/>
      <c r="BJ54" s="16"/>
      <c r="BK54" s="16"/>
      <c r="BL54" s="16"/>
      <c r="BM54" s="16"/>
      <c r="BN54" s="16"/>
      <c r="BO54" s="16"/>
      <c r="BP54" s="16"/>
      <c r="BQ54" s="16"/>
      <c r="BR54" s="16"/>
    </row>
    <row r="55" customFormat="false" ht="15" hidden="false" customHeight="false" outlineLevel="0" collapsed="false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  <c r="AE55" s="16"/>
      <c r="AF55" s="16"/>
      <c r="AG55" s="16"/>
      <c r="AH55" s="16"/>
      <c r="AI55" s="16"/>
      <c r="AJ55" s="16"/>
      <c r="AK55" s="16"/>
      <c r="AL55" s="16"/>
      <c r="AM55" s="16"/>
      <c r="AN55" s="16"/>
      <c r="AO55" s="16"/>
      <c r="AP55" s="16"/>
      <c r="AQ55" s="16"/>
      <c r="AR55" s="16"/>
      <c r="AS55" s="16"/>
      <c r="AT55" s="16"/>
      <c r="AU55" s="16"/>
      <c r="AV55" s="16"/>
      <c r="AW55" s="16"/>
      <c r="AX55" s="16"/>
      <c r="AY55" s="16"/>
      <c r="AZ55" s="16"/>
      <c r="BA55" s="16"/>
      <c r="BB55" s="16"/>
      <c r="BC55" s="16"/>
      <c r="BD55" s="16"/>
      <c r="BE55" s="16"/>
      <c r="BF55" s="16"/>
      <c r="BG55" s="16"/>
      <c r="BH55" s="16"/>
      <c r="BI55" s="16"/>
      <c r="BJ55" s="16"/>
      <c r="BK55" s="16"/>
      <c r="BL55" s="16"/>
      <c r="BM55" s="16"/>
      <c r="BN55" s="16"/>
      <c r="BO55" s="16"/>
      <c r="BP55" s="16"/>
      <c r="BQ55" s="16"/>
      <c r="BR55" s="16"/>
    </row>
    <row r="56" customFormat="false" ht="15" hidden="false" customHeight="false" outlineLevel="0" collapsed="false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16"/>
      <c r="AD56" s="16"/>
      <c r="AE56" s="16"/>
      <c r="AF56" s="16"/>
      <c r="AG56" s="16"/>
      <c r="AH56" s="16"/>
      <c r="AI56" s="16"/>
      <c r="AJ56" s="16"/>
      <c r="AK56" s="16"/>
      <c r="AL56" s="16"/>
      <c r="AM56" s="16"/>
      <c r="AN56" s="16"/>
      <c r="AO56" s="16"/>
      <c r="AP56" s="16"/>
      <c r="AQ56" s="16"/>
      <c r="AR56" s="16"/>
      <c r="AS56" s="16"/>
      <c r="AT56" s="16"/>
      <c r="AU56" s="16"/>
      <c r="AV56" s="16"/>
      <c r="AW56" s="16"/>
      <c r="AX56" s="16"/>
      <c r="AY56" s="16"/>
      <c r="AZ56" s="16"/>
      <c r="BA56" s="16"/>
      <c r="BB56" s="16"/>
      <c r="BC56" s="16"/>
      <c r="BD56" s="16"/>
      <c r="BE56" s="16"/>
      <c r="BF56" s="16"/>
      <c r="BG56" s="16"/>
      <c r="BH56" s="16"/>
      <c r="BI56" s="16"/>
      <c r="BJ56" s="16"/>
      <c r="BK56" s="16"/>
      <c r="BL56" s="16"/>
      <c r="BM56" s="16"/>
      <c r="BN56" s="16"/>
      <c r="BO56" s="16"/>
      <c r="BP56" s="16"/>
      <c r="BQ56" s="16"/>
      <c r="BR56" s="16"/>
    </row>
    <row r="57" customFormat="false" ht="15" hidden="false" customHeight="false" outlineLevel="0" collapsed="false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6"/>
      <c r="AD57" s="16"/>
      <c r="AE57" s="16"/>
      <c r="AF57" s="16"/>
      <c r="AG57" s="16"/>
      <c r="AH57" s="16"/>
      <c r="AI57" s="16"/>
      <c r="AJ57" s="16"/>
      <c r="AK57" s="16"/>
      <c r="AL57" s="16"/>
      <c r="AM57" s="16"/>
      <c r="AN57" s="16"/>
      <c r="AO57" s="16"/>
      <c r="AP57" s="16"/>
      <c r="AQ57" s="16"/>
      <c r="AR57" s="16"/>
      <c r="AS57" s="16"/>
      <c r="AT57" s="16"/>
      <c r="AU57" s="16"/>
      <c r="AV57" s="16"/>
      <c r="AW57" s="16"/>
      <c r="AX57" s="16"/>
      <c r="AY57" s="16"/>
      <c r="AZ57" s="16"/>
      <c r="BA57" s="16"/>
      <c r="BB57" s="16"/>
      <c r="BC57" s="16"/>
      <c r="BD57" s="16"/>
      <c r="BE57" s="16"/>
      <c r="BF57" s="16"/>
      <c r="BG57" s="16"/>
      <c r="BH57" s="16"/>
      <c r="BI57" s="16"/>
      <c r="BJ57" s="16"/>
      <c r="BK57" s="16"/>
      <c r="BL57" s="16"/>
      <c r="BM57" s="16"/>
      <c r="BN57" s="16"/>
      <c r="BO57" s="16"/>
      <c r="BP57" s="16"/>
      <c r="BQ57" s="16"/>
      <c r="BR57" s="16"/>
    </row>
    <row r="58" customFormat="false" ht="15" hidden="false" customHeight="false" outlineLevel="0" collapsed="false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6"/>
      <c r="AD58" s="16"/>
      <c r="AE58" s="16"/>
      <c r="AF58" s="16"/>
      <c r="AG58" s="16"/>
      <c r="AH58" s="16"/>
      <c r="AI58" s="16"/>
      <c r="AJ58" s="16"/>
      <c r="AK58" s="16"/>
      <c r="AL58" s="16"/>
      <c r="AM58" s="16"/>
      <c r="AN58" s="16"/>
      <c r="AO58" s="16"/>
      <c r="AP58" s="16"/>
      <c r="AQ58" s="16"/>
      <c r="AR58" s="16"/>
      <c r="AS58" s="16"/>
      <c r="AT58" s="16"/>
      <c r="AU58" s="16"/>
      <c r="AV58" s="16"/>
      <c r="AW58" s="16"/>
      <c r="AX58" s="16"/>
      <c r="AY58" s="16"/>
      <c r="AZ58" s="16"/>
      <c r="BA58" s="16"/>
      <c r="BB58" s="16"/>
      <c r="BC58" s="16"/>
      <c r="BD58" s="16"/>
      <c r="BE58" s="16"/>
      <c r="BF58" s="16"/>
      <c r="BG58" s="16"/>
      <c r="BH58" s="16"/>
      <c r="BI58" s="16"/>
      <c r="BJ58" s="16"/>
      <c r="BK58" s="16"/>
      <c r="BL58" s="16"/>
      <c r="BM58" s="16"/>
      <c r="BN58" s="16"/>
      <c r="BO58" s="16"/>
      <c r="BP58" s="16"/>
      <c r="BQ58" s="16"/>
      <c r="BR58" s="16"/>
    </row>
    <row r="59" customFormat="false" ht="15" hidden="false" customHeight="false" outlineLevel="0" collapsed="false">
      <c r="A59" s="16"/>
      <c r="B59" s="16"/>
      <c r="C59" s="16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6"/>
      <c r="AL59" s="16"/>
      <c r="AM59" s="16"/>
      <c r="AN59" s="16"/>
      <c r="AO59" s="16"/>
      <c r="AP59" s="16"/>
      <c r="AQ59" s="16"/>
      <c r="AR59" s="16"/>
      <c r="AS59" s="16"/>
      <c r="AT59" s="16"/>
      <c r="AU59" s="16"/>
      <c r="AV59" s="16"/>
      <c r="AW59" s="16"/>
      <c r="AX59" s="16"/>
      <c r="AY59" s="16"/>
      <c r="AZ59" s="16"/>
      <c r="BA59" s="16"/>
      <c r="BB59" s="16"/>
      <c r="BC59" s="16"/>
      <c r="BD59" s="16"/>
      <c r="BE59" s="16"/>
      <c r="BF59" s="16"/>
      <c r="BG59" s="16"/>
      <c r="BH59" s="16"/>
      <c r="BI59" s="16"/>
      <c r="BJ59" s="16"/>
      <c r="BK59" s="16"/>
      <c r="BL59" s="16"/>
      <c r="BM59" s="16"/>
      <c r="BN59" s="16"/>
      <c r="BO59" s="16"/>
      <c r="BP59" s="16"/>
      <c r="BQ59" s="16"/>
      <c r="BR59" s="16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54"/>
  <sheetViews>
    <sheetView showFormulas="false" showGridLines="true" showRowColHeaders="true" showZeros="true" rightToLeft="false" tabSelected="false" showOutlineSymbols="true" defaultGridColor="true" view="normal" topLeftCell="A29" colorId="64" zoomScale="55" zoomScaleNormal="55" zoomScalePageLayoutView="100" workbookViewId="0">
      <selection pane="topLeft" activeCell="D43" activeCellId="0" sqref="D43"/>
    </sheetView>
  </sheetViews>
  <sheetFormatPr defaultColWidth="10.6445312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15" min="4" style="1" width="6.7"/>
    <col collapsed="false" customWidth="true" hidden="false" outlineLevel="0" max="24" min="16" style="1" width="6.9"/>
    <col collapsed="false" customWidth="true" hidden="false" outlineLevel="0" max="26" min="25" style="1" width="6.5"/>
  </cols>
  <sheetData>
    <row r="1" customFormat="false" ht="15" hidden="false" customHeight="false" outlineLevel="0" collapsed="false">
      <c r="D1" s="3" t="s">
        <v>65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1" t="s">
        <v>66</v>
      </c>
    </row>
    <row r="2" customFormat="false" ht="15" hidden="false" customHeight="false" outlineLevel="0" collapsed="false">
      <c r="B2" s="1" t="s">
        <v>67</v>
      </c>
      <c r="C2" s="1" t="s">
        <v>68</v>
      </c>
      <c r="D2" s="3" t="s">
        <v>15</v>
      </c>
      <c r="E2" s="3" t="s">
        <v>16</v>
      </c>
      <c r="F2" s="3" t="s">
        <v>17</v>
      </c>
      <c r="G2" s="3" t="s">
        <v>31</v>
      </c>
      <c r="H2" s="3" t="s">
        <v>18</v>
      </c>
      <c r="I2" s="3" t="s">
        <v>19</v>
      </c>
      <c r="J2" s="3" t="s">
        <v>20</v>
      </c>
      <c r="K2" s="3" t="s">
        <v>21</v>
      </c>
      <c r="L2" s="3" t="s">
        <v>22</v>
      </c>
      <c r="M2" s="3" t="s">
        <v>23</v>
      </c>
      <c r="N2" s="3" t="s">
        <v>24</v>
      </c>
      <c r="O2" s="3" t="s">
        <v>69</v>
      </c>
      <c r="P2" s="3" t="s">
        <v>15</v>
      </c>
      <c r="Q2" s="3" t="s">
        <v>16</v>
      </c>
      <c r="R2" s="3" t="s">
        <v>17</v>
      </c>
      <c r="S2" s="3" t="s">
        <v>31</v>
      </c>
      <c r="T2" s="3" t="s">
        <v>18</v>
      </c>
      <c r="U2" s="3" t="s">
        <v>19</v>
      </c>
      <c r="V2" s="3" t="s">
        <v>20</v>
      </c>
      <c r="W2" s="3" t="s">
        <v>21</v>
      </c>
      <c r="X2" s="3" t="s">
        <v>22</v>
      </c>
      <c r="Y2" s="3" t="s">
        <v>23</v>
      </c>
      <c r="Z2" s="3" t="s">
        <v>24</v>
      </c>
    </row>
    <row r="3" customFormat="false" ht="15" hidden="false" customHeight="false" outlineLevel="0" collapsed="false">
      <c r="A3" s="1" t="s">
        <v>150</v>
      </c>
      <c r="B3" s="1" t="s">
        <v>71</v>
      </c>
      <c r="C3" s="1" t="s">
        <v>192</v>
      </c>
      <c r="D3" s="3" t="n">
        <v>46.8837</v>
      </c>
      <c r="E3" s="3" t="n">
        <v>2.6027</v>
      </c>
      <c r="F3" s="3" t="n">
        <v>14.8557</v>
      </c>
      <c r="G3" s="3" t="n">
        <v>0</v>
      </c>
      <c r="H3" s="3" t="n">
        <v>11.6549</v>
      </c>
      <c r="I3" s="3" t="n">
        <v>0.2386</v>
      </c>
      <c r="J3" s="3" t="n">
        <v>3.8246</v>
      </c>
      <c r="K3" s="3" t="n">
        <v>7.1557</v>
      </c>
      <c r="L3" s="3" t="n">
        <v>5.1425</v>
      </c>
      <c r="M3" s="3" t="n">
        <v>3.2683</v>
      </c>
      <c r="N3" s="3" t="n">
        <v>1.5326</v>
      </c>
      <c r="O3" s="3" t="n">
        <f aca="false">SUM(D3:N3)</f>
        <v>97.1593</v>
      </c>
      <c r="P3" s="3" t="n">
        <f aca="false">D3/$O3*100</f>
        <v>48.2544645751873</v>
      </c>
      <c r="Q3" s="3" t="n">
        <f aca="false">E3/$O3*100</f>
        <v>2.67879657428573</v>
      </c>
      <c r="R3" s="3" t="n">
        <f aca="false">F3/$O3*100</f>
        <v>15.2900442880918</v>
      </c>
      <c r="S3" s="3" t="n">
        <f aca="false">G3/$O3*100</f>
        <v>0</v>
      </c>
      <c r="T3" s="3" t="n">
        <f aca="false">H3/$O3*100</f>
        <v>11.9956607344845</v>
      </c>
      <c r="U3" s="3" t="n">
        <f aca="false">I3/$O3*100</f>
        <v>0.245576079695922</v>
      </c>
      <c r="V3" s="3" t="n">
        <f aca="false">J3/$O3*100</f>
        <v>3.93642193799255</v>
      </c>
      <c r="W3" s="3" t="n">
        <f aca="false">K3/$O3*100</f>
        <v>7.3649151445101</v>
      </c>
      <c r="X3" s="3" t="n">
        <f aca="false">L3/$O3*100</f>
        <v>5.29285410660637</v>
      </c>
      <c r="Y3" s="3" t="n">
        <f aca="false">M3/$O3*100</f>
        <v>3.36385708830755</v>
      </c>
      <c r="Z3" s="3" t="n">
        <f aca="false">N3/$O3*100</f>
        <v>1.5774094708381</v>
      </c>
    </row>
    <row r="4" customFormat="false" ht="15" hidden="false" customHeight="false" outlineLevel="0" collapsed="false">
      <c r="A4" s="1" t="s">
        <v>154</v>
      </c>
      <c r="B4" s="1" t="s">
        <v>71</v>
      </c>
      <c r="C4" s="1" t="s">
        <v>192</v>
      </c>
      <c r="D4" s="3" t="n">
        <v>46.5969</v>
      </c>
      <c r="E4" s="3" t="n">
        <v>2.3956</v>
      </c>
      <c r="F4" s="3" t="n">
        <v>14.8067</v>
      </c>
      <c r="G4" s="3" t="n">
        <v>0</v>
      </c>
      <c r="H4" s="3" t="n">
        <v>11.8465</v>
      </c>
      <c r="I4" s="3" t="n">
        <v>0.2586</v>
      </c>
      <c r="J4" s="3" t="n">
        <v>3.9181</v>
      </c>
      <c r="K4" s="3" t="n">
        <v>7.2027</v>
      </c>
      <c r="L4" s="3" t="n">
        <v>5.1899</v>
      </c>
      <c r="M4" s="3" t="n">
        <v>3.3531</v>
      </c>
      <c r="N4" s="3" t="n">
        <v>1.6084</v>
      </c>
      <c r="O4" s="3" t="n">
        <f aca="false">SUM(D4:N4)</f>
        <v>97.1765</v>
      </c>
      <c r="P4" s="3" t="n">
        <f aca="false">D4/$O4*100</f>
        <v>47.9507905717946</v>
      </c>
      <c r="Q4" s="3" t="n">
        <f aca="false">E4/$O4*100</f>
        <v>2.46520506501057</v>
      </c>
      <c r="R4" s="3" t="n">
        <f aca="false">F4/$O4*100</f>
        <v>15.2369142745417</v>
      </c>
      <c r="S4" s="3" t="n">
        <f aca="false">G4/$O4*100</f>
        <v>0</v>
      </c>
      <c r="T4" s="3" t="n">
        <f aca="false">H4/$O4*100</f>
        <v>12.190704542765</v>
      </c>
      <c r="U4" s="3" t="n">
        <f aca="false">I4/$O4*100</f>
        <v>0.266113720909891</v>
      </c>
      <c r="V4" s="3" t="n">
        <f aca="false">J4/$O4*100</f>
        <v>4.03194187895222</v>
      </c>
      <c r="W4" s="3" t="n">
        <f aca="false">K4/$O4*100</f>
        <v>7.4119771755517</v>
      </c>
      <c r="X4" s="3" t="n">
        <f aca="false">L4/$O4*100</f>
        <v>5.34069450947503</v>
      </c>
      <c r="Y4" s="3" t="n">
        <f aca="false">M4/$O4*100</f>
        <v>3.45052559003463</v>
      </c>
      <c r="Z4" s="3" t="n">
        <f aca="false">N4/$O4*100</f>
        <v>1.65513267096469</v>
      </c>
    </row>
    <row r="5" customFormat="false" ht="15" hidden="false" customHeight="false" outlineLevel="0" collapsed="false">
      <c r="A5" s="1" t="s">
        <v>155</v>
      </c>
      <c r="B5" s="1" t="s">
        <v>71</v>
      </c>
      <c r="C5" s="1" t="s">
        <v>192</v>
      </c>
      <c r="D5" s="3" t="n">
        <v>46.7449</v>
      </c>
      <c r="E5" s="3" t="n">
        <v>2.6753</v>
      </c>
      <c r="F5" s="3" t="n">
        <v>14.6089</v>
      </c>
      <c r="G5" s="3" t="n">
        <v>0.0089</v>
      </c>
      <c r="H5" s="3" t="n">
        <v>11.426</v>
      </c>
      <c r="I5" s="3" t="n">
        <v>0.2469</v>
      </c>
      <c r="J5" s="3" t="n">
        <v>3.6919</v>
      </c>
      <c r="K5" s="3" t="n">
        <v>7.1457</v>
      </c>
      <c r="L5" s="3" t="n">
        <v>5.1978</v>
      </c>
      <c r="M5" s="3" t="n">
        <v>3.3824</v>
      </c>
      <c r="N5" s="3" t="n">
        <v>1.4798</v>
      </c>
      <c r="O5" s="3" t="n">
        <f aca="false">SUM(D5:N5)</f>
        <v>96.6085</v>
      </c>
      <c r="P5" s="3" t="n">
        <f aca="false">D5/$O5*100</f>
        <v>48.3859080722711</v>
      </c>
      <c r="Q5" s="3" t="n">
        <f aca="false">E5/$O5*100</f>
        <v>2.76921802946946</v>
      </c>
      <c r="R5" s="3" t="n">
        <f aca="false">F5/$O5*100</f>
        <v>15.1217542969821</v>
      </c>
      <c r="S5" s="3" t="n">
        <f aca="false">G5/$O5*100</f>
        <v>0.00921243989918071</v>
      </c>
      <c r="T5" s="3" t="n">
        <f aca="false">H5/$O5*100</f>
        <v>11.8271166615774</v>
      </c>
      <c r="U5" s="3" t="n">
        <f aca="false">I5/$O5*100</f>
        <v>0.255567574281766</v>
      </c>
      <c r="V5" s="3" t="n">
        <f aca="false">J5/$O5*100</f>
        <v>3.82150638918936</v>
      </c>
      <c r="W5" s="3" t="n">
        <f aca="false">K5/$O5*100</f>
        <v>7.39655413343546</v>
      </c>
      <c r="X5" s="3" t="n">
        <f aca="false">L5/$O5*100</f>
        <v>5.38027192224287</v>
      </c>
      <c r="Y5" s="3" t="n">
        <f aca="false">M5/$O5*100</f>
        <v>3.50114120393133</v>
      </c>
      <c r="Z5" s="3" t="n">
        <f aca="false">N5/$O5*100</f>
        <v>1.53174927671996</v>
      </c>
    </row>
    <row r="6" customFormat="false" ht="15" hidden="false" customHeight="false" outlineLevel="0" collapsed="false">
      <c r="A6" s="1" t="s">
        <v>140</v>
      </c>
      <c r="B6" s="1" t="s">
        <v>71</v>
      </c>
      <c r="C6" s="1" t="s">
        <v>192</v>
      </c>
      <c r="D6" s="3" t="n">
        <v>46.7172</v>
      </c>
      <c r="E6" s="3" t="n">
        <v>2.6562</v>
      </c>
      <c r="F6" s="3" t="n">
        <v>14.8708</v>
      </c>
      <c r="G6" s="3" t="n">
        <v>0.0624</v>
      </c>
      <c r="H6" s="3" t="n">
        <v>11.7308</v>
      </c>
      <c r="I6" s="3" t="n">
        <v>0.2386</v>
      </c>
      <c r="J6" s="3" t="n">
        <v>3.9314</v>
      </c>
      <c r="K6" s="3" t="n">
        <v>7.1236</v>
      </c>
      <c r="L6" s="3" t="n">
        <v>4.7743</v>
      </c>
      <c r="M6" s="3" t="n">
        <v>3.2144</v>
      </c>
      <c r="N6" s="3" t="n">
        <v>1.4757</v>
      </c>
      <c r="O6" s="3" t="n">
        <f aca="false">SUM(D6:N6)</f>
        <v>96.7954</v>
      </c>
      <c r="P6" s="3" t="n">
        <f aca="false">D6/$O6*100</f>
        <v>48.2638637786506</v>
      </c>
      <c r="Q6" s="3" t="n">
        <f aca="false">E6/$O6*100</f>
        <v>2.74413866774661</v>
      </c>
      <c r="R6" s="3" t="n">
        <f aca="false">F6/$O6*100</f>
        <v>15.363126760156</v>
      </c>
      <c r="S6" s="3" t="n">
        <f aca="false">G6/$O6*100</f>
        <v>0.0644658733782804</v>
      </c>
      <c r="T6" s="3" t="n">
        <f aca="false">H6/$O6*100</f>
        <v>12.1191709523386</v>
      </c>
      <c r="U6" s="3" t="n">
        <f aca="false">I6/$O6*100</f>
        <v>0.246499317116309</v>
      </c>
      <c r="V6" s="3" t="n">
        <f aca="false">J6/$O6*100</f>
        <v>4.0615566442207</v>
      </c>
      <c r="W6" s="3" t="n">
        <f aca="false">K6/$O6*100</f>
        <v>7.35944063457561</v>
      </c>
      <c r="X6" s="3" t="n">
        <f aca="false">L6/$O6*100</f>
        <v>4.93236248830006</v>
      </c>
      <c r="Y6" s="3" t="n">
        <f aca="false">M6/$O6*100</f>
        <v>3.32081896453757</v>
      </c>
      <c r="Z6" s="3" t="n">
        <f aca="false">N6/$O6*100</f>
        <v>1.52455591897962</v>
      </c>
    </row>
    <row r="7" customFormat="false" ht="15" hidden="false" customHeight="false" outlineLevel="0" collapsed="false">
      <c r="A7" s="1" t="s">
        <v>141</v>
      </c>
      <c r="B7" s="1" t="s">
        <v>71</v>
      </c>
      <c r="C7" s="1" t="s">
        <v>192</v>
      </c>
      <c r="D7" s="3" t="n">
        <v>46.777</v>
      </c>
      <c r="E7" s="3" t="n">
        <v>2.3477</v>
      </c>
      <c r="F7" s="3" t="n">
        <v>14.7256</v>
      </c>
      <c r="G7" s="3" t="n">
        <v>0.0574</v>
      </c>
      <c r="H7" s="3" t="n">
        <v>11.5343</v>
      </c>
      <c r="I7" s="3" t="n">
        <v>0.2945</v>
      </c>
      <c r="J7" s="3" t="n">
        <v>3.6514</v>
      </c>
      <c r="K7" s="3" t="n">
        <v>7.1955</v>
      </c>
      <c r="L7" s="3" t="n">
        <v>5.4074</v>
      </c>
      <c r="M7" s="3" t="n">
        <v>3.3105</v>
      </c>
      <c r="N7" s="3" t="n">
        <v>1.5144</v>
      </c>
      <c r="O7" s="3" t="n">
        <f aca="false">SUM(D7:N7)</f>
        <v>96.8157</v>
      </c>
      <c r="P7" s="3" t="n">
        <f aca="false">D7/$O7*100</f>
        <v>48.3155108107466</v>
      </c>
      <c r="Q7" s="3" t="n">
        <f aca="false">E7/$O7*100</f>
        <v>2.42491661992838</v>
      </c>
      <c r="R7" s="3" t="n">
        <f aca="false">F7/$O7*100</f>
        <v>15.2099297944445</v>
      </c>
      <c r="S7" s="3" t="n">
        <f aca="false">G7/$O7*100</f>
        <v>0.0592879047509856</v>
      </c>
      <c r="T7" s="3" t="n">
        <f aca="false">H7/$O7*100</f>
        <v>11.9136668949354</v>
      </c>
      <c r="U7" s="3" t="n">
        <f aca="false">I7/$O7*100</f>
        <v>0.30418620120497</v>
      </c>
      <c r="V7" s="3" t="n">
        <f aca="false">J7/$O7*100</f>
        <v>3.77149573881096</v>
      </c>
      <c r="W7" s="3" t="n">
        <f aca="false">K7/$O7*100</f>
        <v>7.43216234556998</v>
      </c>
      <c r="X7" s="3" t="n">
        <f aca="false">L7/$O7*100</f>
        <v>5.58525115244738</v>
      </c>
      <c r="Y7" s="3" t="n">
        <f aca="false">M7/$O7*100</f>
        <v>3.4193834264484</v>
      </c>
      <c r="Z7" s="3" t="n">
        <f aca="false">N7/$O7*100</f>
        <v>1.56420911071242</v>
      </c>
    </row>
    <row r="8" customFormat="false" ht="15" hidden="false" customHeight="false" outlineLevel="0" collapsed="false">
      <c r="A8" s="1" t="s">
        <v>142</v>
      </c>
      <c r="B8" s="1" t="s">
        <v>71</v>
      </c>
      <c r="C8" s="1" t="s">
        <v>192</v>
      </c>
      <c r="D8" s="3" t="n">
        <v>46.8757</v>
      </c>
      <c r="E8" s="3" t="n">
        <v>2.7021</v>
      </c>
      <c r="F8" s="3" t="n">
        <v>14.5225</v>
      </c>
      <c r="G8" s="3" t="n">
        <v>0.0088</v>
      </c>
      <c r="H8" s="3" t="n">
        <v>11.5083</v>
      </c>
      <c r="I8" s="3" t="n">
        <v>0.3224</v>
      </c>
      <c r="J8" s="3" t="n">
        <v>3.6712</v>
      </c>
      <c r="K8" s="3" t="n">
        <v>7.1749</v>
      </c>
      <c r="L8" s="3" t="n">
        <v>5.1648</v>
      </c>
      <c r="M8" s="3" t="n">
        <v>3.2643</v>
      </c>
      <c r="N8" s="3" t="n">
        <v>1.2847</v>
      </c>
      <c r="O8" s="3" t="n">
        <f aca="false">SUM(D8:N8)</f>
        <v>96.4997</v>
      </c>
      <c r="P8" s="3" t="n">
        <f aca="false">D8/$O8*100</f>
        <v>48.5760059357698</v>
      </c>
      <c r="Q8" s="3" t="n">
        <f aca="false">E8/$O8*100</f>
        <v>2.80011233195544</v>
      </c>
      <c r="R8" s="3" t="n">
        <f aca="false">F8/$O8*100</f>
        <v>15.0492695832215</v>
      </c>
      <c r="S8" s="3" t="n">
        <f aca="false">G8/$O8*100</f>
        <v>0.00911919933429845</v>
      </c>
      <c r="T8" s="3" t="n">
        <f aca="false">H8/$O8*100</f>
        <v>11.925736556694</v>
      </c>
      <c r="U8" s="3" t="n">
        <f aca="false">I8/$O8*100</f>
        <v>0.334094302883843</v>
      </c>
      <c r="V8" s="3" t="n">
        <f aca="false">J8/$O8*100</f>
        <v>3.80436415864505</v>
      </c>
      <c r="W8" s="3" t="n">
        <f aca="false">K8/$O8*100</f>
        <v>7.43515264814295</v>
      </c>
      <c r="X8" s="3" t="n">
        <f aca="false">L8/$O8*100</f>
        <v>5.35214099111189</v>
      </c>
      <c r="Y8" s="3" t="n">
        <f aca="false">M8/$O8*100</f>
        <v>3.38270481669891</v>
      </c>
      <c r="Z8" s="3" t="n">
        <f aca="false">N8/$O8*100</f>
        <v>1.33129947554241</v>
      </c>
    </row>
    <row r="9" customFormat="false" ht="15" hidden="false" customHeight="false" outlineLevel="0" collapsed="false">
      <c r="A9" s="1" t="s">
        <v>129</v>
      </c>
      <c r="B9" s="1" t="s">
        <v>71</v>
      </c>
      <c r="C9" s="1" t="s">
        <v>192</v>
      </c>
      <c r="D9" s="3" t="n">
        <v>46.7188</v>
      </c>
      <c r="E9" s="3" t="n">
        <v>2.6461</v>
      </c>
      <c r="F9" s="3" t="n">
        <v>14.6211</v>
      </c>
      <c r="G9" s="3" t="n">
        <v>0</v>
      </c>
      <c r="H9" s="3" t="n">
        <v>11.6048</v>
      </c>
      <c r="I9" s="3" t="n">
        <v>0.2271</v>
      </c>
      <c r="J9" s="3" t="n">
        <v>3.7675</v>
      </c>
      <c r="K9" s="3" t="n">
        <v>7.2198</v>
      </c>
      <c r="L9" s="3" t="n">
        <v>4.8074</v>
      </c>
      <c r="M9" s="3" t="n">
        <v>3.2863</v>
      </c>
      <c r="N9" s="3" t="n">
        <v>1.4996</v>
      </c>
      <c r="O9" s="3" t="n">
        <f aca="false">SUM(D9:N9)</f>
        <v>96.3985</v>
      </c>
      <c r="P9" s="3" t="n">
        <f aca="false">D9/$O9*100</f>
        <v>48.4642395887903</v>
      </c>
      <c r="Q9" s="3" t="n">
        <f aca="false">E9/$O9*100</f>
        <v>2.74495972447704</v>
      </c>
      <c r="R9" s="3" t="n">
        <f aca="false">F9/$O9*100</f>
        <v>15.1673521890901</v>
      </c>
      <c r="S9" s="3" t="n">
        <f aca="false">G9/$O9*100</f>
        <v>0</v>
      </c>
      <c r="T9" s="3" t="n">
        <f aca="false">H9/$O9*100</f>
        <v>12.0383615927634</v>
      </c>
      <c r="U9" s="3" t="n">
        <f aca="false">I9/$O9*100</f>
        <v>0.235584578598215</v>
      </c>
      <c r="V9" s="3" t="n">
        <f aca="false">J9/$O9*100</f>
        <v>3.90825583385634</v>
      </c>
      <c r="W9" s="3" t="n">
        <f aca="false">K9/$O9*100</f>
        <v>7.48953562555434</v>
      </c>
      <c r="X9" s="3" t="n">
        <f aca="false">L9/$O9*100</f>
        <v>4.98700705923847</v>
      </c>
      <c r="Y9" s="3" t="n">
        <f aca="false">M9/$O9*100</f>
        <v>3.40907794208416</v>
      </c>
      <c r="Z9" s="3" t="n">
        <f aca="false">N9/$O9*100</f>
        <v>1.5556258655477</v>
      </c>
    </row>
    <row r="10" customFormat="false" ht="15" hidden="false" customHeight="false" outlineLevel="0" collapsed="false">
      <c r="A10" s="1" t="s">
        <v>131</v>
      </c>
      <c r="B10" s="1" t="s">
        <v>71</v>
      </c>
      <c r="C10" s="1" t="s">
        <v>192</v>
      </c>
      <c r="D10" s="3" t="n">
        <v>46.9246</v>
      </c>
      <c r="E10" s="3" t="n">
        <v>2.3254</v>
      </c>
      <c r="F10" s="3" t="n">
        <v>14.4919</v>
      </c>
      <c r="G10" s="3" t="n">
        <v>0.0576</v>
      </c>
      <c r="H10" s="3" t="n">
        <v>11.3549</v>
      </c>
      <c r="I10" s="3" t="n">
        <v>0.2941</v>
      </c>
      <c r="J10" s="3" t="n">
        <v>3.7786</v>
      </c>
      <c r="K10" s="3" t="n">
        <v>7.2947</v>
      </c>
      <c r="L10" s="3" t="n">
        <v>5.1871</v>
      </c>
      <c r="M10" s="3" t="n">
        <v>3.1452</v>
      </c>
      <c r="N10" s="3" t="n">
        <v>1.6696</v>
      </c>
      <c r="O10" s="3" t="n">
        <f aca="false">SUM(D10:N10)</f>
        <v>96.5237</v>
      </c>
      <c r="P10" s="3" t="n">
        <f aca="false">D10/$O10*100</f>
        <v>48.614588955873</v>
      </c>
      <c r="Q10" s="3" t="n">
        <f aca="false">E10/$O10*100</f>
        <v>2.40914925557143</v>
      </c>
      <c r="R10" s="3" t="n">
        <f aca="false">F10/$O10*100</f>
        <v>15.0138256200291</v>
      </c>
      <c r="S10" s="3" t="n">
        <f aca="false">G10/$O10*100</f>
        <v>0.059674463370136</v>
      </c>
      <c r="T10" s="3" t="n">
        <f aca="false">H10/$O10*100</f>
        <v>11.7638465993326</v>
      </c>
      <c r="U10" s="3" t="n">
        <f aca="false">I10/$O10*100</f>
        <v>0.304692008283976</v>
      </c>
      <c r="V10" s="3" t="n">
        <f aca="false">J10/$O10*100</f>
        <v>3.91468623768049</v>
      </c>
      <c r="W10" s="3" t="n">
        <f aca="false">K10/$O10*100</f>
        <v>7.55741854073145</v>
      </c>
      <c r="X10" s="3" t="n">
        <f aca="false">L10/$O10*100</f>
        <v>5.37391334977835</v>
      </c>
      <c r="Y10" s="3" t="n">
        <f aca="false">M10/$O10*100</f>
        <v>3.2584743436068</v>
      </c>
      <c r="Z10" s="3" t="n">
        <f aca="false">N10/$O10*100</f>
        <v>1.72973062574269</v>
      </c>
    </row>
    <row r="11" customFormat="false" ht="15" hidden="false" customHeight="false" outlineLevel="0" collapsed="false">
      <c r="A11" s="1" t="s">
        <v>133</v>
      </c>
      <c r="B11" s="1" t="s">
        <v>71</v>
      </c>
      <c r="C11" s="1" t="s">
        <v>192</v>
      </c>
      <c r="D11" s="3" t="n">
        <v>46.66</v>
      </c>
      <c r="E11" s="3" t="n">
        <v>2.4024</v>
      </c>
      <c r="F11" s="3" t="n">
        <v>14.5946</v>
      </c>
      <c r="G11" s="3" t="n">
        <v>0</v>
      </c>
      <c r="H11" s="3" t="n">
        <v>11.3276</v>
      </c>
      <c r="I11" s="3" t="n">
        <v>0.3115</v>
      </c>
      <c r="J11" s="3" t="n">
        <v>3.7874</v>
      </c>
      <c r="K11" s="3" t="n">
        <v>7.3249</v>
      </c>
      <c r="L11" s="3" t="n">
        <v>5.2589</v>
      </c>
      <c r="M11" s="3" t="n">
        <v>3.3121</v>
      </c>
      <c r="N11" s="3" t="n">
        <v>1.5751</v>
      </c>
      <c r="O11" s="3" t="n">
        <f aca="false">SUM(D11:N11)</f>
        <v>96.5545</v>
      </c>
      <c r="P11" s="3" t="n">
        <f aca="false">D11/$O11*100</f>
        <v>48.3250392265508</v>
      </c>
      <c r="Q11" s="3" t="n">
        <f aca="false">E11/$O11*100</f>
        <v>2.48812846630659</v>
      </c>
      <c r="R11" s="3" t="n">
        <f aca="false">F11/$O11*100</f>
        <v>15.1154011465028</v>
      </c>
      <c r="S11" s="3" t="n">
        <f aca="false">G11/$O11*100</f>
        <v>0</v>
      </c>
      <c r="T11" s="3" t="n">
        <f aca="false">H11/$O11*100</f>
        <v>11.7318198530364</v>
      </c>
      <c r="U11" s="3" t="n">
        <f aca="false">I11/$O11*100</f>
        <v>0.322615724797912</v>
      </c>
      <c r="V11" s="3" t="n">
        <f aca="false">J11/$O11*100</f>
        <v>3.92255151235831</v>
      </c>
      <c r="W11" s="3" t="n">
        <f aca="false">K11/$O11*100</f>
        <v>7.58628546572143</v>
      </c>
      <c r="X11" s="3" t="n">
        <f aca="false">L11/$O11*100</f>
        <v>5.44656126850639</v>
      </c>
      <c r="Y11" s="3" t="n">
        <f aca="false">M11/$O11*100</f>
        <v>3.43029066485767</v>
      </c>
      <c r="Z11" s="3" t="n">
        <f aca="false">N11/$O11*100</f>
        <v>1.63130667136177</v>
      </c>
    </row>
    <row r="12" customFormat="false" ht="15" hidden="false" customHeight="false" outlineLevel="0" collapsed="false">
      <c r="A12" s="1" t="s">
        <v>134</v>
      </c>
      <c r="B12" s="1" t="s">
        <v>71</v>
      </c>
      <c r="C12" s="1" t="s">
        <v>192</v>
      </c>
      <c r="D12" s="3" t="n">
        <v>46.8825</v>
      </c>
      <c r="E12" s="3" t="n">
        <v>2.5369</v>
      </c>
      <c r="F12" s="3" t="n">
        <v>14.7506</v>
      </c>
      <c r="G12" s="3" t="n">
        <v>0</v>
      </c>
      <c r="H12" s="3" t="n">
        <v>11.7979</v>
      </c>
      <c r="I12" s="3" t="n">
        <v>0.2447</v>
      </c>
      <c r="J12" s="3" t="n">
        <v>3.6923</v>
      </c>
      <c r="K12" s="3" t="n">
        <v>7.1979</v>
      </c>
      <c r="L12" s="3" t="n">
        <v>5.3958</v>
      </c>
      <c r="M12" s="3" t="n">
        <v>3.2919</v>
      </c>
      <c r="N12" s="3" t="n">
        <v>1.589</v>
      </c>
      <c r="O12" s="3" t="n">
        <f aca="false">SUM(D12:N12)</f>
        <v>97.3795</v>
      </c>
      <c r="P12" s="3" t="n">
        <f aca="false">D12/$O12*100</f>
        <v>48.1441165748438</v>
      </c>
      <c r="Q12" s="3" t="n">
        <f aca="false">E12/$O12*100</f>
        <v>2.60516843894249</v>
      </c>
      <c r="R12" s="3" t="n">
        <f aca="false">F12/$O12*100</f>
        <v>15.1475413202984</v>
      </c>
      <c r="S12" s="3" t="n">
        <f aca="false">G12/$O12*100</f>
        <v>0</v>
      </c>
      <c r="T12" s="3" t="n">
        <f aca="false">H12/$O12*100</f>
        <v>12.115383627971</v>
      </c>
      <c r="U12" s="3" t="n">
        <f aca="false">I12/$O12*100</f>
        <v>0.251284921364353</v>
      </c>
      <c r="V12" s="3" t="n">
        <f aca="false">J12/$O12*100</f>
        <v>3.79166046241765</v>
      </c>
      <c r="W12" s="3" t="n">
        <f aca="false">K12/$O12*100</f>
        <v>7.39159679398641</v>
      </c>
      <c r="X12" s="3" t="n">
        <f aca="false">L12/$O12*100</f>
        <v>5.5410019562639</v>
      </c>
      <c r="Y12" s="3" t="n">
        <f aca="false">M12/$O12*100</f>
        <v>3.38048562582474</v>
      </c>
      <c r="Z12" s="3" t="n">
        <f aca="false">N12/$O12*100</f>
        <v>1.63176027808728</v>
      </c>
    </row>
    <row r="13" customFormat="false" ht="15" hidden="false" customHeight="false" outlineLevel="0" collapsed="false">
      <c r="A13" s="1" t="s">
        <v>135</v>
      </c>
      <c r="B13" s="1" t="s">
        <v>71</v>
      </c>
      <c r="C13" s="1" t="s">
        <v>192</v>
      </c>
      <c r="D13" s="3" t="n">
        <v>46.2734</v>
      </c>
      <c r="E13" s="3" t="n">
        <v>2.5603</v>
      </c>
      <c r="F13" s="3" t="n">
        <v>14.525</v>
      </c>
      <c r="G13" s="3" t="n">
        <v>0</v>
      </c>
      <c r="H13" s="3" t="n">
        <v>11.3762</v>
      </c>
      <c r="I13" s="3" t="n">
        <v>0.3587</v>
      </c>
      <c r="J13" s="3" t="n">
        <v>3.7382</v>
      </c>
      <c r="K13" s="3" t="n">
        <v>7.2272</v>
      </c>
      <c r="L13" s="3" t="n">
        <v>5.0384</v>
      </c>
      <c r="M13" s="3" t="n">
        <v>3.3415</v>
      </c>
      <c r="N13" s="3" t="n">
        <v>1.4754</v>
      </c>
      <c r="O13" s="3" t="n">
        <f aca="false">SUM(D13:N13)</f>
        <v>95.9143</v>
      </c>
      <c r="P13" s="3" t="n">
        <f aca="false">D13/$O13*100</f>
        <v>48.2445266242886</v>
      </c>
      <c r="Q13" s="3" t="n">
        <f aca="false">E13/$O13*100</f>
        <v>2.66936212848345</v>
      </c>
      <c r="R13" s="3" t="n">
        <f aca="false">F13/$O13*100</f>
        <v>15.1437272648604</v>
      </c>
      <c r="S13" s="3" t="n">
        <f aca="false">G13/$O13*100</f>
        <v>0</v>
      </c>
      <c r="T13" s="3" t="n">
        <f aca="false">H13/$O13*100</f>
        <v>11.8607965652671</v>
      </c>
      <c r="U13" s="3" t="n">
        <f aca="false">I13/$O13*100</f>
        <v>0.373979688117413</v>
      </c>
      <c r="V13" s="3" t="n">
        <f aca="false">J13/$O13*100</f>
        <v>3.89743760836497</v>
      </c>
      <c r="W13" s="3" t="n">
        <f aca="false">K13/$O13*100</f>
        <v>7.53505994413763</v>
      </c>
      <c r="X13" s="3" t="n">
        <f aca="false">L13/$O13*100</f>
        <v>5.25302275051791</v>
      </c>
      <c r="Y13" s="3" t="n">
        <f aca="false">M13/$O13*100</f>
        <v>3.48383921896943</v>
      </c>
      <c r="Z13" s="3" t="n">
        <f aca="false">N13/$O13*100</f>
        <v>1.53824820699312</v>
      </c>
    </row>
    <row r="14" customFormat="false" ht="15" hidden="false" customHeight="false" outlineLevel="0" collapsed="false">
      <c r="C14" s="1" t="s">
        <v>14</v>
      </c>
      <c r="D14" s="3" t="n">
        <f aca="false">AVERAGE(D3:D13)</f>
        <v>46.7322454545455</v>
      </c>
      <c r="E14" s="3" t="n">
        <f aca="false">AVERAGE(E3:E13)</f>
        <v>2.53188181818182</v>
      </c>
      <c r="F14" s="3" t="n">
        <f aca="false">AVERAGE(F3:F13)</f>
        <v>14.6703090909091</v>
      </c>
      <c r="G14" s="3" t="n">
        <f aca="false">AVERAGE(G3:G13)</f>
        <v>0.0177363636363636</v>
      </c>
      <c r="H14" s="3" t="n">
        <f aca="false">AVERAGE(H3:H13)</f>
        <v>11.5602</v>
      </c>
      <c r="I14" s="3" t="n">
        <f aca="false">AVERAGE(I3:I13)</f>
        <v>0.275972727272727</v>
      </c>
      <c r="J14" s="3" t="n">
        <f aca="false">AVERAGE(J3:J13)</f>
        <v>3.76841818181818</v>
      </c>
      <c r="K14" s="3" t="n">
        <f aca="false">AVERAGE(K3:K13)</f>
        <v>7.20569090909091</v>
      </c>
      <c r="L14" s="3" t="n">
        <f aca="false">AVERAGE(L3:L13)</f>
        <v>5.14220909090909</v>
      </c>
      <c r="M14" s="3" t="n">
        <f aca="false">AVERAGE(M3:M13)</f>
        <v>3.28818181818182</v>
      </c>
      <c r="N14" s="3" t="n">
        <f aca="false">AVERAGE(N3:N13)</f>
        <v>1.51857272727273</v>
      </c>
      <c r="O14" s="3" t="n">
        <f aca="false">SUM(D14:N14)</f>
        <v>96.7114181818182</v>
      </c>
      <c r="P14" s="3" t="n">
        <f aca="false">AVERAGE(P3:P13)</f>
        <v>48.321732246797</v>
      </c>
      <c r="Q14" s="3" t="n">
        <f aca="false">AVERAGE(Q3:Q13)</f>
        <v>2.61810502747065</v>
      </c>
      <c r="R14" s="3" t="n">
        <f aca="false">AVERAGE(R3:R13)</f>
        <v>15.1689896852926</v>
      </c>
      <c r="S14" s="3" t="n">
        <f aca="false">AVERAGE(S3:S13)</f>
        <v>0.0183418073393528</v>
      </c>
      <c r="T14" s="3" t="n">
        <f aca="false">AVERAGE(T3:T13)</f>
        <v>11.9529331437423</v>
      </c>
      <c r="U14" s="3" t="n">
        <f aca="false">AVERAGE(U3:U13)</f>
        <v>0.285472192477688</v>
      </c>
      <c r="V14" s="3" t="n">
        <f aca="false">AVERAGE(V3:V13)</f>
        <v>3.89653440022624</v>
      </c>
      <c r="W14" s="3" t="n">
        <f aca="false">AVERAGE(W3:W13)</f>
        <v>7.45091804108337</v>
      </c>
      <c r="X14" s="3" t="n">
        <f aca="false">AVERAGE(X3:X13)</f>
        <v>5.3168255958626</v>
      </c>
      <c r="Y14" s="3" t="n">
        <f aca="false">AVERAGE(Y3:Y13)</f>
        <v>3.40005444411829</v>
      </c>
      <c r="Z14" s="3" t="n">
        <f aca="false">AVERAGE(Z3:Z13)</f>
        <v>1.57009341558998</v>
      </c>
    </row>
    <row r="15" customFormat="false" ht="15" hidden="false" customHeight="false" outlineLevel="0" collapsed="false">
      <c r="C15" s="1" t="s">
        <v>81</v>
      </c>
      <c r="D15" s="3" t="n">
        <f aca="false">_xlfn.STDEV.P(D3:D13)</f>
        <v>0.175742990878655</v>
      </c>
      <c r="E15" s="3" t="n">
        <f aca="false">_xlfn.STDEV.P(E3:E13)</f>
        <v>0.133412469215395</v>
      </c>
      <c r="F15" s="3" t="n">
        <f aca="false">_xlfn.STDEV.P(F3:F13)</f>
        <v>0.131214303921939</v>
      </c>
      <c r="G15" s="3" t="n">
        <f aca="false">_xlfn.STDEV.P(G3:G13)</f>
        <v>0.0255886435296197</v>
      </c>
      <c r="H15" s="3" t="n">
        <f aca="false">_xlfn.STDEV.P(H3:H13)</f>
        <v>0.173208098697911</v>
      </c>
      <c r="I15" s="3" t="n">
        <f aca="false">_xlfn.STDEV.P(I3:I13)</f>
        <v>0.0407211602555967</v>
      </c>
      <c r="J15" s="3" t="n">
        <f aca="false">_xlfn.STDEV.P(J3:J13)</f>
        <v>0.0895928753070529</v>
      </c>
      <c r="K15" s="3" t="n">
        <f aca="false">_xlfn.STDEV.P(K3:K13)</f>
        <v>0.0578034515255315</v>
      </c>
      <c r="L15" s="3" t="n">
        <f aca="false">_xlfn.STDEV.P(L3:L13)</f>
        <v>0.194088145179384</v>
      </c>
      <c r="M15" s="3" t="n">
        <f aca="false">_xlfn.STDEV.P(M3:M13)</f>
        <v>0.0631556492568785</v>
      </c>
      <c r="N15" s="3" t="n">
        <f aca="false">_xlfn.STDEV.P(N3:N13)</f>
        <v>0.0951120782972201</v>
      </c>
      <c r="O15" s="3"/>
      <c r="P15" s="3" t="n">
        <f aca="false">_xlfn.STDEV.P(P3:P13)</f>
        <v>0.180372378203542</v>
      </c>
      <c r="Q15" s="3" t="n">
        <f aca="false">_xlfn.STDEV.P(Q3:Q13)</f>
        <v>0.140023725543383</v>
      </c>
      <c r="R15" s="3" t="n">
        <f aca="false">_xlfn.STDEV.P(R3:R13)</f>
        <v>0.0968813098054067</v>
      </c>
      <c r="S15" s="3" t="n">
        <f aca="false">_xlfn.STDEV.P(S3:S13)</f>
        <v>0.0264563689580368</v>
      </c>
      <c r="T15" s="3" t="n">
        <f aca="false">_xlfn.STDEV.P(T3:T13)</f>
        <v>0.144891593163031</v>
      </c>
      <c r="U15" s="3" t="n">
        <f aca="false">_xlfn.STDEV.P(U3:U13)</f>
        <v>0.0429948292926427</v>
      </c>
      <c r="V15" s="3" t="n">
        <f aca="false">_xlfn.STDEV.P(V3:V13)</f>
        <v>0.0899802476547873</v>
      </c>
      <c r="W15" s="3" t="n">
        <f aca="false">_xlfn.STDEV.P(W3:W13)</f>
        <v>0.0754342865303527</v>
      </c>
      <c r="X15" s="3" t="n">
        <f aca="false">_xlfn.STDEV.P(X3:X13)</f>
        <v>0.192938425988629</v>
      </c>
      <c r="Y15" s="3" t="n">
        <f aca="false">_xlfn.STDEV.P(Y3:Y13)</f>
        <v>0.067063337137663</v>
      </c>
      <c r="Z15" s="3" t="n">
        <f aca="false">_xlfn.STDEV.P(Z3:Z13)</f>
        <v>0.0963627794243394</v>
      </c>
    </row>
    <row r="16" customFormat="false" ht="15" hidden="false" customHeight="false" outlineLevel="0" collapsed="false">
      <c r="C16" s="1" t="s">
        <v>66</v>
      </c>
      <c r="D16" s="3" t="n">
        <f aca="false">D14/$O$14*100</f>
        <v>48.3213319927627</v>
      </c>
      <c r="E16" s="3" t="n">
        <f aca="false">E14/$O$14*100</f>
        <v>2.61797610435395</v>
      </c>
      <c r="F16" s="3" t="n">
        <f aca="false">F14/$O$14*100</f>
        <v>15.169159305811</v>
      </c>
      <c r="G16" s="3" t="n">
        <f aca="false">G14/$O$14*100</f>
        <v>0.0183394721841625</v>
      </c>
      <c r="H16" s="3" t="n">
        <f aca="false">H14/$O$14*100</f>
        <v>11.9532938481646</v>
      </c>
      <c r="I16" s="3" t="n">
        <f aca="false">I14/$O$14*100</f>
        <v>0.285356923164849</v>
      </c>
      <c r="J16" s="3" t="n">
        <f aca="false">J14/$O$14*100</f>
        <v>3.89655973685912</v>
      </c>
      <c r="K16" s="3" t="n">
        <f aca="false">K14/$O$14*100</f>
        <v>7.45071372600923</v>
      </c>
      <c r="L16" s="3" t="n">
        <f aca="false">L14/$O$14*100</f>
        <v>5.31706512796834</v>
      </c>
      <c r="M16" s="3" t="n">
        <f aca="false">M14/$O$14*100</f>
        <v>3.39999338237395</v>
      </c>
      <c r="N16" s="3" t="n">
        <f aca="false">N14/$O$14*100</f>
        <v>1.57021038034806</v>
      </c>
      <c r="O16" s="3"/>
    </row>
    <row r="17" customFormat="false" ht="15" hidden="false" customHeight="false" outlineLevel="0" collapsed="false"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customFormat="false" ht="15" hidden="false" customHeight="false" outlineLevel="0" collapsed="false">
      <c r="A18" s="16" t="s">
        <v>142</v>
      </c>
      <c r="B18" s="16" t="s">
        <v>82</v>
      </c>
      <c r="C18" s="17" t="s">
        <v>193</v>
      </c>
      <c r="D18" s="18" t="n">
        <v>0.0808</v>
      </c>
      <c r="E18" s="18" t="n">
        <v>15.8605</v>
      </c>
      <c r="F18" s="18" t="n">
        <v>4.811</v>
      </c>
      <c r="G18" s="18" t="n">
        <v>2.4009</v>
      </c>
      <c r="H18" s="18" t="n">
        <v>66.7704</v>
      </c>
      <c r="I18" s="18" t="n">
        <v>0.4764</v>
      </c>
      <c r="J18" s="18" t="n">
        <v>4.996</v>
      </c>
      <c r="K18" s="18" t="n">
        <v>0.1235</v>
      </c>
      <c r="L18" s="18" t="n">
        <v>0.0107</v>
      </c>
      <c r="M18" s="18" t="n">
        <v>0.0179</v>
      </c>
      <c r="N18" s="3"/>
      <c r="O18" s="3" t="n">
        <f aca="false">SUM(D18:N18)</f>
        <v>95.5481</v>
      </c>
    </row>
    <row r="19" customFormat="false" ht="15" hidden="false" customHeight="false" outlineLevel="0" collapsed="false">
      <c r="A19" s="16" t="s">
        <v>93</v>
      </c>
      <c r="B19" s="16" t="s">
        <v>82</v>
      </c>
      <c r="C19" s="17" t="s">
        <v>193</v>
      </c>
      <c r="D19" s="18" t="n">
        <v>0.1101</v>
      </c>
      <c r="E19" s="18" t="n">
        <v>17.2846</v>
      </c>
      <c r="F19" s="18" t="n">
        <v>4.3473</v>
      </c>
      <c r="G19" s="18" t="n">
        <v>0.056</v>
      </c>
      <c r="H19" s="18" t="n">
        <v>67.3978</v>
      </c>
      <c r="I19" s="18" t="n">
        <v>0.4704</v>
      </c>
      <c r="J19" s="18" t="n">
        <v>4.9588</v>
      </c>
      <c r="K19" s="18" t="n">
        <v>0.1598</v>
      </c>
      <c r="L19" s="18" t="n">
        <v>0.0156</v>
      </c>
      <c r="M19" s="18" t="n">
        <v>0.0473</v>
      </c>
      <c r="N19" s="3"/>
      <c r="O19" s="3" t="n">
        <f aca="false">SUM(D19:N19)</f>
        <v>94.8477</v>
      </c>
    </row>
    <row r="20" customFormat="false" ht="15" hidden="false" customHeight="false" outlineLevel="0" collapsed="false">
      <c r="A20" s="16" t="s">
        <v>88</v>
      </c>
      <c r="B20" s="16" t="s">
        <v>82</v>
      </c>
      <c r="C20" s="17" t="s">
        <v>193</v>
      </c>
      <c r="D20" s="18" t="n">
        <v>0.1162</v>
      </c>
      <c r="E20" s="18" t="n">
        <v>15.332</v>
      </c>
      <c r="F20" s="18" t="n">
        <v>5.0995</v>
      </c>
      <c r="G20" s="18" t="n">
        <v>3.6321</v>
      </c>
      <c r="H20" s="18" t="n">
        <v>66.0005</v>
      </c>
      <c r="I20" s="18" t="n">
        <v>0.4871</v>
      </c>
      <c r="J20" s="18" t="n">
        <v>4.9351</v>
      </c>
      <c r="K20" s="18" t="n">
        <v>0.0965</v>
      </c>
      <c r="L20" s="18" t="n">
        <v>0.001</v>
      </c>
      <c r="M20" s="18" t="n">
        <v>0.0175</v>
      </c>
      <c r="N20" s="3"/>
      <c r="O20" s="3" t="n">
        <f aca="false">SUM(D20:N20)</f>
        <v>95.7175</v>
      </c>
    </row>
    <row r="21" customFormat="false" ht="15" hidden="false" customHeight="false" outlineLevel="0" collapsed="false">
      <c r="A21" s="16" t="s">
        <v>100</v>
      </c>
      <c r="B21" s="16" t="s">
        <v>82</v>
      </c>
      <c r="C21" s="17" t="s">
        <v>193</v>
      </c>
      <c r="D21" s="18" t="n">
        <v>0.1171</v>
      </c>
      <c r="E21" s="18" t="n">
        <v>17.5818</v>
      </c>
      <c r="F21" s="18" t="n">
        <v>4.526</v>
      </c>
      <c r="G21" s="18" t="n">
        <v>0.3694</v>
      </c>
      <c r="H21" s="18" t="n">
        <v>67.572</v>
      </c>
      <c r="I21" s="18" t="n">
        <v>0.4014</v>
      </c>
      <c r="J21" s="18" t="n">
        <v>5.0537</v>
      </c>
      <c r="K21" s="18" t="n">
        <v>0.1082</v>
      </c>
      <c r="L21" s="18" t="n">
        <v>0.0049</v>
      </c>
      <c r="M21" s="18" t="n">
        <v>0.0148</v>
      </c>
      <c r="N21" s="3"/>
      <c r="O21" s="3" t="n">
        <f aca="false">SUM(D21:N21)</f>
        <v>95.7493</v>
      </c>
    </row>
    <row r="22" customFormat="false" ht="15" hidden="false" customHeight="false" outlineLevel="0" collapsed="false">
      <c r="A22" s="16" t="s">
        <v>85</v>
      </c>
      <c r="B22" s="16" t="s">
        <v>82</v>
      </c>
      <c r="C22" s="17" t="s">
        <v>193</v>
      </c>
      <c r="D22" s="18" t="n">
        <v>0.1429</v>
      </c>
      <c r="E22" s="18" t="n">
        <v>17.6192</v>
      </c>
      <c r="F22" s="18" t="n">
        <v>4.6966</v>
      </c>
      <c r="G22" s="18" t="n">
        <v>0.8775</v>
      </c>
      <c r="H22" s="18" t="n">
        <v>67.7258</v>
      </c>
      <c r="I22" s="18" t="n">
        <v>0.3908</v>
      </c>
      <c r="J22" s="18" t="n">
        <v>4.837</v>
      </c>
      <c r="K22" s="18" t="n">
        <v>0.1146</v>
      </c>
      <c r="L22" s="18" t="n">
        <v>0.0254</v>
      </c>
      <c r="M22" s="18" t="n">
        <v>0.014</v>
      </c>
      <c r="N22" s="3"/>
      <c r="O22" s="3" t="n">
        <f aca="false">SUM(D22:N22)</f>
        <v>96.4438</v>
      </c>
    </row>
    <row r="23" customFormat="false" ht="15" hidden="false" customHeight="false" outlineLevel="0" collapsed="false">
      <c r="A23" s="16" t="s">
        <v>131</v>
      </c>
      <c r="B23" s="16" t="s">
        <v>82</v>
      </c>
      <c r="C23" s="17" t="s">
        <v>193</v>
      </c>
      <c r="D23" s="18" t="n">
        <v>0.1515</v>
      </c>
      <c r="E23" s="18" t="n">
        <v>14.5861</v>
      </c>
      <c r="F23" s="18" t="n">
        <v>5.07</v>
      </c>
      <c r="G23" s="18" t="n">
        <v>4.5284</v>
      </c>
      <c r="H23" s="18" t="n">
        <v>65.0862</v>
      </c>
      <c r="I23" s="18" t="n">
        <v>0.3741</v>
      </c>
      <c r="J23" s="18" t="n">
        <v>4.8795</v>
      </c>
      <c r="K23" s="18" t="n">
        <v>0.1184</v>
      </c>
      <c r="L23" s="18" t="n">
        <v>0.0301</v>
      </c>
      <c r="M23" s="18" t="n">
        <v>0.0311</v>
      </c>
      <c r="N23" s="3"/>
      <c r="O23" s="3" t="n">
        <f aca="false">SUM(D23:N23)</f>
        <v>94.8554</v>
      </c>
    </row>
    <row r="24" customFormat="false" ht="15" hidden="false" customHeight="false" outlineLevel="0" collapsed="false">
      <c r="C24" s="1" t="s">
        <v>30</v>
      </c>
      <c r="D24" s="3" t="n">
        <f aca="false">AVERAGE(D18:D23)</f>
        <v>0.119766666666667</v>
      </c>
      <c r="E24" s="3" t="n">
        <f aca="false">AVERAGE(E18:E23)</f>
        <v>16.3773666666667</v>
      </c>
      <c r="F24" s="3" t="n">
        <f aca="false">AVERAGE(F18:F23)</f>
        <v>4.7584</v>
      </c>
      <c r="G24" s="3" t="n">
        <f aca="false">AVERAGE(G18:G23)</f>
        <v>1.97738333333333</v>
      </c>
      <c r="H24" s="3" t="n">
        <f aca="false">AVERAGE(H18:H23)</f>
        <v>66.7587833333333</v>
      </c>
      <c r="I24" s="3" t="n">
        <f aca="false">AVERAGE(I18:I23)</f>
        <v>0.433366666666667</v>
      </c>
      <c r="J24" s="3" t="n">
        <f aca="false">AVERAGE(J18:J23)</f>
        <v>4.94335</v>
      </c>
      <c r="K24" s="3" t="n">
        <f aca="false">AVERAGE(K18:K23)</f>
        <v>0.120166666666667</v>
      </c>
      <c r="L24" s="3" t="n">
        <f aca="false">AVERAGE(L18:L23)</f>
        <v>0.0146166666666667</v>
      </c>
      <c r="M24" s="3" t="n">
        <f aca="false">AVERAGE(M18:M23)</f>
        <v>0.0237666666666667</v>
      </c>
      <c r="N24" s="3"/>
      <c r="O24" s="3" t="n">
        <f aca="false">SUM(D24:N24)</f>
        <v>95.5269666666667</v>
      </c>
    </row>
    <row r="25" customFormat="false" ht="15" hidden="false" customHeight="false" outlineLevel="0" collapsed="false">
      <c r="C25" s="1" t="s">
        <v>81</v>
      </c>
      <c r="D25" s="3" t="n">
        <f aca="false">_xlfn.STDEV.P(D18:D23)</f>
        <v>0.0229993961273383</v>
      </c>
      <c r="E25" s="3" t="n">
        <f aca="false">_xlfn.STDEV.P(E18:E23)</f>
        <v>1.18212103817202</v>
      </c>
      <c r="F25" s="3" t="n">
        <f aca="false">_xlfn.STDEV.P(F18:F23)</f>
        <v>0.27173600546609</v>
      </c>
      <c r="G25" s="3" t="n">
        <f aca="false">_xlfn.STDEV.P(G18:G23)</f>
        <v>1.67889881114246</v>
      </c>
      <c r="H25" s="3" t="n">
        <f aca="false">_xlfn.STDEV.P(H18:H23)</f>
        <v>0.946700273611218</v>
      </c>
      <c r="I25" s="3" t="n">
        <f aca="false">_xlfn.STDEV.P(I18:I23)</f>
        <v>0.0455648500003627</v>
      </c>
      <c r="J25" s="3" t="n">
        <f aca="false">_xlfn.STDEV.P(J18:J23)</f>
        <v>0.0714645075078066</v>
      </c>
      <c r="K25" s="3" t="n">
        <f aca="false">_xlfn.STDEV.P(K18:K23)</f>
        <v>0.0196610161374115</v>
      </c>
      <c r="L25" s="3" t="n">
        <f aca="false">_xlfn.STDEV.P(L18:L23)</f>
        <v>0.0104255162408817</v>
      </c>
      <c r="M25" s="3" t="n">
        <f aca="false">_xlfn.STDEV.P(M18:M23)</f>
        <v>0.0119518013519116</v>
      </c>
      <c r="N25" s="3"/>
      <c r="O25" s="3"/>
    </row>
    <row r="26" customFormat="false" ht="15" hidden="false" customHeight="false" outlineLevel="0" collapsed="false">
      <c r="C26" s="1" t="s">
        <v>66</v>
      </c>
      <c r="D26" s="3" t="n">
        <f aca="false">D24/$O$24*100</f>
        <v>0.125374719669036</v>
      </c>
      <c r="E26" s="3" t="n">
        <f aca="false">E24/$O$24*100</f>
        <v>17.1442339667438</v>
      </c>
      <c r="F26" s="3" t="n">
        <f aca="false">F24/$O$24*100</f>
        <v>4.98121123913003</v>
      </c>
      <c r="G26" s="3" t="n">
        <f aca="false">G24/$O$24*100</f>
        <v>2.06997395848781</v>
      </c>
      <c r="H26" s="3" t="n">
        <f aca="false">H24/$O$24*100</f>
        <v>69.8847515657882</v>
      </c>
      <c r="I26" s="3" t="n">
        <f aca="false">I24/$O$24*100</f>
        <v>0.453658984251916</v>
      </c>
      <c r="J26" s="3" t="n">
        <f aca="false">J24/$O$24*100</f>
        <v>5.17482149019701</v>
      </c>
      <c r="K26" s="3" t="n">
        <f aca="false">K24/$O$24*100</f>
        <v>0.125793449598351</v>
      </c>
      <c r="L26" s="3" t="n">
        <f aca="false">L24/$O$24*100</f>
        <v>0.0153010895003819</v>
      </c>
      <c r="M26" s="3" t="n">
        <f aca="false">M24/$O$24*100</f>
        <v>0.0248795366334602</v>
      </c>
      <c r="N26" s="3"/>
      <c r="O26" s="3"/>
    </row>
    <row r="27" customFormat="false" ht="15" hidden="false" customHeight="false" outlineLevel="0" collapsed="false"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</row>
    <row r="28" customFormat="false" ht="15" hidden="false" customHeight="false" outlineLevel="0" collapsed="false">
      <c r="A28" s="16" t="s">
        <v>129</v>
      </c>
      <c r="B28" s="16" t="s">
        <v>82</v>
      </c>
      <c r="C28" s="16" t="s">
        <v>194</v>
      </c>
      <c r="D28" s="18" t="n">
        <v>37.9314</v>
      </c>
      <c r="E28" s="18" t="n">
        <v>0.0983</v>
      </c>
      <c r="F28" s="18" t="n">
        <v>0.0367</v>
      </c>
      <c r="G28" s="18" t="n">
        <v>0</v>
      </c>
      <c r="H28" s="18" t="n">
        <v>23.6729</v>
      </c>
      <c r="I28" s="18" t="n">
        <v>0.3297</v>
      </c>
      <c r="J28" s="18" t="n">
        <v>36.8809</v>
      </c>
      <c r="K28" s="18" t="n">
        <v>0.2804</v>
      </c>
      <c r="L28" s="18" t="n">
        <v>0.0378</v>
      </c>
      <c r="M28" s="18" t="n">
        <v>0.0004</v>
      </c>
      <c r="N28" s="3"/>
      <c r="O28" s="3" t="n">
        <f aca="false">SUM(D28:N28)</f>
        <v>99.2685</v>
      </c>
    </row>
    <row r="29" customFormat="false" ht="15" hidden="false" customHeight="false" outlineLevel="0" collapsed="false">
      <c r="A29" s="16" t="s">
        <v>141</v>
      </c>
      <c r="B29" s="16" t="s">
        <v>82</v>
      </c>
      <c r="C29" s="16" t="s">
        <v>193</v>
      </c>
      <c r="D29" s="18" t="n">
        <v>38.022</v>
      </c>
      <c r="E29" s="18" t="n">
        <v>0.1128</v>
      </c>
      <c r="F29" s="18" t="n">
        <v>0.1191</v>
      </c>
      <c r="G29" s="18" t="n">
        <v>0</v>
      </c>
      <c r="H29" s="18" t="n">
        <v>23.3707</v>
      </c>
      <c r="I29" s="18" t="n">
        <v>0.424</v>
      </c>
      <c r="J29" s="18" t="n">
        <v>37.2902</v>
      </c>
      <c r="K29" s="18" t="n">
        <v>0.3695</v>
      </c>
      <c r="L29" s="18" t="n">
        <v>0.035</v>
      </c>
      <c r="M29" s="18" t="n">
        <v>0.0083</v>
      </c>
      <c r="N29" s="3"/>
      <c r="O29" s="3" t="n">
        <f aca="false">SUM(D29:N29)</f>
        <v>99.7516</v>
      </c>
    </row>
    <row r="30" customFormat="false" ht="15" hidden="false" customHeight="false" outlineLevel="0" collapsed="false">
      <c r="A30" s="16" t="s">
        <v>99</v>
      </c>
      <c r="B30" s="16" t="s">
        <v>82</v>
      </c>
      <c r="C30" s="16" t="s">
        <v>193</v>
      </c>
      <c r="D30" s="18" t="n">
        <v>38.2651</v>
      </c>
      <c r="E30" s="18" t="n">
        <v>0.0472</v>
      </c>
      <c r="F30" s="18" t="n">
        <v>0.0104</v>
      </c>
      <c r="G30" s="18" t="n">
        <v>0.0042</v>
      </c>
      <c r="H30" s="18" t="n">
        <v>23.111</v>
      </c>
      <c r="I30" s="18" t="n">
        <v>0.3626</v>
      </c>
      <c r="J30" s="18" t="n">
        <v>37.8061</v>
      </c>
      <c r="K30" s="18" t="n">
        <v>0.3174</v>
      </c>
      <c r="L30" s="18" t="n">
        <v>0.002</v>
      </c>
      <c r="M30" s="18" t="n">
        <v>0.0166</v>
      </c>
      <c r="N30" s="3"/>
      <c r="O30" s="3" t="n">
        <f aca="false">SUM(D30:N30)</f>
        <v>99.9426</v>
      </c>
    </row>
    <row r="31" customFormat="false" ht="15" hidden="false" customHeight="false" outlineLevel="0" collapsed="false">
      <c r="A31" s="16" t="s">
        <v>91</v>
      </c>
      <c r="B31" s="16" t="s">
        <v>82</v>
      </c>
      <c r="C31" s="16" t="s">
        <v>193</v>
      </c>
      <c r="D31" s="18" t="n">
        <v>38.3259</v>
      </c>
      <c r="E31" s="18" t="n">
        <v>0.0925</v>
      </c>
      <c r="F31" s="18" t="n">
        <v>0.0576</v>
      </c>
      <c r="G31" s="18" t="n">
        <v>0.0673</v>
      </c>
      <c r="H31" s="18" t="n">
        <v>23.0056</v>
      </c>
      <c r="I31" s="18" t="n">
        <v>0.3481</v>
      </c>
      <c r="J31" s="18" t="n">
        <v>37.8405</v>
      </c>
      <c r="K31" s="18" t="n">
        <v>0.4445</v>
      </c>
      <c r="L31" s="18" t="n">
        <v>0</v>
      </c>
      <c r="M31" s="18" t="n">
        <v>0.0167</v>
      </c>
      <c r="N31" s="3"/>
      <c r="O31" s="3" t="n">
        <f aca="false">SUM(D31:N31)</f>
        <v>100.1987</v>
      </c>
    </row>
    <row r="32" customFormat="false" ht="15" hidden="false" customHeight="false" outlineLevel="0" collapsed="false">
      <c r="A32" s="16" t="s">
        <v>87</v>
      </c>
      <c r="B32" s="16" t="s">
        <v>82</v>
      </c>
      <c r="C32" s="16" t="s">
        <v>193</v>
      </c>
      <c r="D32" s="18" t="n">
        <v>38.3557</v>
      </c>
      <c r="E32" s="18" t="n">
        <v>0.084</v>
      </c>
      <c r="F32" s="18" t="n">
        <v>0.0148</v>
      </c>
      <c r="G32" s="18" t="n">
        <v>0.0042</v>
      </c>
      <c r="H32" s="18" t="n">
        <v>23.8697</v>
      </c>
      <c r="I32" s="18" t="n">
        <v>0.3115</v>
      </c>
      <c r="J32" s="18" t="n">
        <v>37.3058</v>
      </c>
      <c r="K32" s="18" t="n">
        <v>0.2475</v>
      </c>
      <c r="L32" s="18" t="n">
        <v>0.0053</v>
      </c>
      <c r="M32" s="18" t="n">
        <v>0.0122</v>
      </c>
      <c r="N32" s="3"/>
      <c r="O32" s="3" t="n">
        <f aca="false">SUM(D32:N32)</f>
        <v>100.2107</v>
      </c>
    </row>
    <row r="33" customFormat="false" ht="15" hidden="false" customHeight="false" outlineLevel="0" collapsed="false">
      <c r="A33" s="16" t="s">
        <v>86</v>
      </c>
      <c r="B33" s="16" t="s">
        <v>82</v>
      </c>
      <c r="C33" s="16" t="s">
        <v>193</v>
      </c>
      <c r="D33" s="18" t="n">
        <v>38.3946</v>
      </c>
      <c r="E33" s="18" t="n">
        <v>0.0511</v>
      </c>
      <c r="F33" s="18" t="n">
        <v>0</v>
      </c>
      <c r="G33" s="18" t="n">
        <v>0</v>
      </c>
      <c r="H33" s="18" t="n">
        <v>23.4302</v>
      </c>
      <c r="I33" s="18" t="n">
        <v>0.3297</v>
      </c>
      <c r="J33" s="18" t="n">
        <v>37.2702</v>
      </c>
      <c r="K33" s="18" t="n">
        <v>0.2785</v>
      </c>
      <c r="L33" s="18" t="n">
        <v>0.0211</v>
      </c>
      <c r="M33" s="18" t="n">
        <v>0</v>
      </c>
      <c r="N33" s="3"/>
      <c r="O33" s="3" t="n">
        <f aca="false">SUM(D33:N33)</f>
        <v>99.7754</v>
      </c>
    </row>
    <row r="34" customFormat="false" ht="15" hidden="false" customHeight="false" outlineLevel="0" collapsed="false">
      <c r="A34" s="16" t="s">
        <v>132</v>
      </c>
      <c r="B34" s="16" t="s">
        <v>82</v>
      </c>
      <c r="C34" s="16" t="s">
        <v>193</v>
      </c>
      <c r="D34" s="18" t="n">
        <v>38.4438</v>
      </c>
      <c r="E34" s="18" t="n">
        <v>0.0859</v>
      </c>
      <c r="F34" s="18" t="n">
        <v>0</v>
      </c>
      <c r="G34" s="18" t="n">
        <v>0.0502</v>
      </c>
      <c r="H34" s="18" t="n">
        <v>23.7432</v>
      </c>
      <c r="I34" s="18" t="n">
        <v>0.3626</v>
      </c>
      <c r="J34" s="18" t="n">
        <v>37.1457</v>
      </c>
      <c r="K34" s="18" t="n">
        <v>0.234</v>
      </c>
      <c r="L34" s="18" t="n">
        <v>0.0198</v>
      </c>
      <c r="M34" s="18" t="n">
        <v>0.0109</v>
      </c>
      <c r="N34" s="3"/>
      <c r="O34" s="3" t="n">
        <f aca="false">SUM(D34:N34)</f>
        <v>100.0961</v>
      </c>
    </row>
    <row r="35" customFormat="false" ht="15" hidden="false" customHeight="false" outlineLevel="0" collapsed="false">
      <c r="A35" s="16" t="s">
        <v>170</v>
      </c>
      <c r="B35" s="16" t="s">
        <v>82</v>
      </c>
      <c r="C35" s="16" t="s">
        <v>194</v>
      </c>
      <c r="D35" s="18" t="n">
        <v>38.4793</v>
      </c>
      <c r="E35" s="18" t="n">
        <v>0.1674</v>
      </c>
      <c r="F35" s="18" t="n">
        <v>0</v>
      </c>
      <c r="G35" s="18" t="n">
        <v>0</v>
      </c>
      <c r="H35" s="18" t="n">
        <v>23.2997</v>
      </c>
      <c r="I35" s="18" t="n">
        <v>0.4685</v>
      </c>
      <c r="J35" s="18" t="n">
        <v>37.476</v>
      </c>
      <c r="K35" s="18" t="n">
        <v>0.3604</v>
      </c>
      <c r="L35" s="18" t="n">
        <v>0.0414</v>
      </c>
      <c r="M35" s="18" t="n">
        <v>0.0057</v>
      </c>
      <c r="N35" s="3"/>
      <c r="O35" s="3" t="n">
        <f aca="false">SUM(D35:N35)</f>
        <v>100.2984</v>
      </c>
    </row>
    <row r="36" customFormat="false" ht="15" hidden="false" customHeight="false" outlineLevel="0" collapsed="false">
      <c r="A36" s="16" t="s">
        <v>98</v>
      </c>
      <c r="B36" s="16" t="s">
        <v>82</v>
      </c>
      <c r="C36" s="16" t="s">
        <v>193</v>
      </c>
      <c r="D36" s="18" t="n">
        <v>38.5374</v>
      </c>
      <c r="E36" s="18" t="n">
        <v>0.15</v>
      </c>
      <c r="F36" s="18" t="n">
        <v>0</v>
      </c>
      <c r="G36" s="18" t="n">
        <v>0</v>
      </c>
      <c r="H36" s="18" t="n">
        <v>23.651</v>
      </c>
      <c r="I36" s="18" t="n">
        <v>0.3794</v>
      </c>
      <c r="J36" s="18" t="n">
        <v>37.19</v>
      </c>
      <c r="K36" s="18" t="n">
        <v>0.4291</v>
      </c>
      <c r="L36" s="18" t="n">
        <v>0.0232</v>
      </c>
      <c r="M36" s="18" t="n">
        <v>0.0026</v>
      </c>
      <c r="N36" s="3"/>
      <c r="O36" s="3" t="n">
        <f aca="false">SUM(D36:N36)</f>
        <v>100.3627</v>
      </c>
    </row>
    <row r="37" customFormat="false" ht="15" hidden="false" customHeight="false" outlineLevel="0" collapsed="false">
      <c r="A37" s="16" t="s">
        <v>133</v>
      </c>
      <c r="B37" s="16" t="s">
        <v>82</v>
      </c>
      <c r="C37" s="16" t="s">
        <v>193</v>
      </c>
      <c r="D37" s="18" t="n">
        <v>38.5432</v>
      </c>
      <c r="E37" s="18" t="n">
        <v>0.0879</v>
      </c>
      <c r="F37" s="18" t="n">
        <v>0.0294</v>
      </c>
      <c r="G37" s="18" t="n">
        <v>0.0607</v>
      </c>
      <c r="H37" s="18" t="n">
        <v>23.2364</v>
      </c>
      <c r="I37" s="18" t="n">
        <v>0.3343</v>
      </c>
      <c r="J37" s="18" t="n">
        <v>37.4981</v>
      </c>
      <c r="K37" s="18" t="n">
        <v>0.2783</v>
      </c>
      <c r="L37" s="18" t="n">
        <v>0.0105</v>
      </c>
      <c r="M37" s="18" t="n">
        <v>0.0044</v>
      </c>
      <c r="N37" s="3"/>
      <c r="O37" s="3" t="n">
        <f aca="false">SUM(D37:N37)</f>
        <v>100.0832</v>
      </c>
    </row>
    <row r="38" customFormat="false" ht="15" hidden="false" customHeight="false" outlineLevel="0" collapsed="false">
      <c r="A38" s="16" t="s">
        <v>94</v>
      </c>
      <c r="B38" s="16" t="s">
        <v>82</v>
      </c>
      <c r="C38" s="16" t="s">
        <v>193</v>
      </c>
      <c r="D38" s="18" t="n">
        <v>38.7204</v>
      </c>
      <c r="E38" s="18" t="n">
        <v>0.0694</v>
      </c>
      <c r="F38" s="18" t="n">
        <v>0.0115</v>
      </c>
      <c r="G38" s="18" t="n">
        <v>0</v>
      </c>
      <c r="H38" s="18" t="n">
        <v>23.9429</v>
      </c>
      <c r="I38" s="18" t="n">
        <v>0.3347</v>
      </c>
      <c r="J38" s="18" t="n">
        <v>36.8374</v>
      </c>
      <c r="K38" s="18" t="n">
        <v>0.191</v>
      </c>
      <c r="L38" s="18" t="n">
        <v>0.0251</v>
      </c>
      <c r="M38" s="18" t="n">
        <v>0</v>
      </c>
      <c r="N38" s="3"/>
      <c r="O38" s="3" t="n">
        <f aca="false">SUM(D38:N38)</f>
        <v>100.1324</v>
      </c>
    </row>
    <row r="39" customFormat="false" ht="15" hidden="false" customHeight="false" outlineLevel="0" collapsed="false">
      <c r="A39" s="16" t="s">
        <v>95</v>
      </c>
      <c r="B39" s="16" t="s">
        <v>82</v>
      </c>
      <c r="C39" s="16" t="s">
        <v>193</v>
      </c>
      <c r="D39" s="18" t="n">
        <v>38.9076</v>
      </c>
      <c r="E39" s="18" t="n">
        <v>0.0944</v>
      </c>
      <c r="F39" s="18" t="n">
        <v>0.0958</v>
      </c>
      <c r="G39" s="18" t="n">
        <v>0</v>
      </c>
      <c r="H39" s="18" t="n">
        <v>23.4698</v>
      </c>
      <c r="I39" s="18" t="n">
        <v>0.3355</v>
      </c>
      <c r="J39" s="18" t="n">
        <v>37.8872</v>
      </c>
      <c r="K39" s="18" t="n">
        <v>0.2941</v>
      </c>
      <c r="L39" s="18" t="n">
        <v>0.0158</v>
      </c>
      <c r="M39" s="18" t="n">
        <v>0.0276</v>
      </c>
      <c r="N39" s="3"/>
      <c r="O39" s="3" t="n">
        <f aca="false">SUM(D39:N39)</f>
        <v>101.1278</v>
      </c>
    </row>
    <row r="40" customFormat="false" ht="15" hidden="false" customHeight="false" outlineLevel="0" collapsed="false">
      <c r="C40" s="1" t="s">
        <v>32</v>
      </c>
      <c r="D40" s="3" t="n">
        <f aca="false">AVERAGE(D27:D39)</f>
        <v>38.4105333333333</v>
      </c>
      <c r="E40" s="3" t="n">
        <f aca="false">AVERAGE(E27:E39)</f>
        <v>0.095075</v>
      </c>
      <c r="F40" s="3" t="n">
        <f aca="false">AVERAGE(F27:F39)</f>
        <v>0.031275</v>
      </c>
      <c r="G40" s="3" t="n">
        <f aca="false">AVERAGE(G27:G39)</f>
        <v>0.01555</v>
      </c>
      <c r="H40" s="3" t="n">
        <f aca="false">AVERAGE(H27:H39)</f>
        <v>23.4835916666667</v>
      </c>
      <c r="I40" s="3" t="n">
        <f aca="false">AVERAGE(I27:I39)</f>
        <v>0.36005</v>
      </c>
      <c r="J40" s="3" t="n">
        <f aca="false">AVERAGE(J27:J39)</f>
        <v>37.3690083333333</v>
      </c>
      <c r="K40" s="3" t="n">
        <f aca="false">AVERAGE(K27:K39)</f>
        <v>0.310391666666667</v>
      </c>
      <c r="L40" s="3" t="n">
        <f aca="false">AVERAGE(L27:L39)</f>
        <v>0.01975</v>
      </c>
      <c r="M40" s="3" t="n">
        <f aca="false">AVERAGE(M27:M39)</f>
        <v>0.00878333333333333</v>
      </c>
      <c r="N40" s="3"/>
      <c r="O40" s="3" t="n">
        <f aca="false">SUM(D40:N40)</f>
        <v>100.104008333333</v>
      </c>
    </row>
    <row r="41" customFormat="false" ht="15" hidden="false" customHeight="false" outlineLevel="0" collapsed="false">
      <c r="C41" s="1" t="s">
        <v>81</v>
      </c>
      <c r="D41" s="3" t="n">
        <f aca="false">_xlfn.STDEV.P(D27:D39)</f>
        <v>0.25734621081769</v>
      </c>
      <c r="E41" s="3" t="n">
        <f aca="false">_xlfn.STDEV.P(E27:E39)</f>
        <v>0.0338164931406752</v>
      </c>
      <c r="F41" s="3" t="n">
        <f aca="false">_xlfn.STDEV.P(F27:F39)</f>
        <v>0.0383116632589433</v>
      </c>
      <c r="G41" s="3" t="n">
        <f aca="false">_xlfn.STDEV.P(G27:G39)</f>
        <v>0.0256051264398362</v>
      </c>
      <c r="H41" s="3" t="n">
        <f aca="false">_xlfn.STDEV.P(H27:H39)</f>
        <v>0.284210797526335</v>
      </c>
      <c r="I41" s="3" t="n">
        <f aca="false">_xlfn.STDEV.P(I27:I39)</f>
        <v>0.043290655265696</v>
      </c>
      <c r="J41" s="3" t="n">
        <f aca="false">_xlfn.STDEV.P(J27:J39)</f>
        <v>0.333257269133857</v>
      </c>
      <c r="K41" s="3" t="n">
        <f aca="false">_xlfn.STDEV.P(K27:K39)</f>
        <v>0.073811555761201</v>
      </c>
      <c r="L41" s="3" t="n">
        <f aca="false">_xlfn.STDEV.P(L27:L39)</f>
        <v>0.0131799405663809</v>
      </c>
      <c r="M41" s="3" t="n">
        <f aca="false">_xlfn.STDEV.P(M27:M39)</f>
        <v>0.00809195416585031</v>
      </c>
      <c r="N41" s="3"/>
      <c r="O41" s="3"/>
    </row>
    <row r="42" customFormat="false" ht="15" hidden="false" customHeight="false" outlineLevel="0" collapsed="false">
      <c r="C42" s="1" t="s">
        <v>66</v>
      </c>
      <c r="D42" s="3" t="n">
        <f aca="false">D40/$O$40*100</f>
        <v>38.3706246861077</v>
      </c>
      <c r="E42" s="3" t="n">
        <f aca="false">E40/$O$40*100</f>
        <v>0.0949762168198227</v>
      </c>
      <c r="F42" s="3" t="n">
        <f aca="false">F40/$O$40*100</f>
        <v>0.0312425051910592</v>
      </c>
      <c r="G42" s="3" t="n">
        <f aca="false">G40/$O$40*100</f>
        <v>0.0155338435082644</v>
      </c>
      <c r="H42" s="3" t="n">
        <f aca="false">H40/$O$40*100</f>
        <v>23.459192151896</v>
      </c>
      <c r="I42" s="3" t="n">
        <f aca="false">I40/$O$40*100</f>
        <v>0.359675907083641</v>
      </c>
      <c r="J42" s="3" t="n">
        <f aca="false">J40/$O$40*100</f>
        <v>37.3301818333781</v>
      </c>
      <c r="K42" s="3" t="n">
        <f aca="false">K40/$O$40*100</f>
        <v>0.310069168891922</v>
      </c>
      <c r="L42" s="3" t="n">
        <f aca="false">L40/$O$40*100</f>
        <v>0.0197294796969918</v>
      </c>
      <c r="M42" s="3" t="n">
        <f aca="false">M40/$O$40*100</f>
        <v>0.0087742074264259</v>
      </c>
      <c r="N42" s="3"/>
      <c r="O42" s="3"/>
    </row>
    <row r="43" customFormat="false" ht="15" hidden="false" customHeight="false" outlineLevel="0" collapsed="false"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</row>
    <row r="44" customFormat="false" ht="15" hidden="false" customHeight="false" outlineLevel="0" collapsed="false">
      <c r="A44" s="16" t="s">
        <v>92</v>
      </c>
      <c r="B44" s="16" t="s">
        <v>82</v>
      </c>
      <c r="C44" s="16" t="s">
        <v>193</v>
      </c>
      <c r="D44" s="18" t="n">
        <v>43.2153</v>
      </c>
      <c r="E44" s="18" t="n">
        <v>4.4379</v>
      </c>
      <c r="F44" s="18" t="n">
        <v>8.214</v>
      </c>
      <c r="G44" s="18" t="n">
        <v>0.0022</v>
      </c>
      <c r="H44" s="18" t="n">
        <v>9.4644</v>
      </c>
      <c r="I44" s="18" t="n">
        <v>0.1007</v>
      </c>
      <c r="J44" s="18" t="n">
        <v>10.8665</v>
      </c>
      <c r="K44" s="18" t="n">
        <v>22.1145</v>
      </c>
      <c r="L44" s="18" t="n">
        <v>0.5644</v>
      </c>
      <c r="M44" s="18" t="n">
        <v>0.0305</v>
      </c>
      <c r="N44" s="3"/>
      <c r="O44" s="3" t="n">
        <f aca="false">SUM(D44:N44)</f>
        <v>99.0104</v>
      </c>
    </row>
    <row r="45" customFormat="false" ht="15" hidden="false" customHeight="false" outlineLevel="0" collapsed="false">
      <c r="A45" s="16" t="s">
        <v>134</v>
      </c>
      <c r="B45" s="16" t="s">
        <v>82</v>
      </c>
      <c r="C45" s="16" t="s">
        <v>193</v>
      </c>
      <c r="D45" s="18" t="n">
        <v>43.6975</v>
      </c>
      <c r="E45" s="18" t="n">
        <v>4.1426</v>
      </c>
      <c r="F45" s="18" t="n">
        <v>8.2252</v>
      </c>
      <c r="G45" s="18" t="n">
        <v>0.0223</v>
      </c>
      <c r="H45" s="18" t="n">
        <v>9.5403</v>
      </c>
      <c r="I45" s="18" t="n">
        <v>0.1801</v>
      </c>
      <c r="J45" s="18" t="n">
        <v>10.6325</v>
      </c>
      <c r="K45" s="18" t="n">
        <v>21.9822</v>
      </c>
      <c r="L45" s="18" t="n">
        <v>0.7254</v>
      </c>
      <c r="M45" s="18" t="n">
        <v>0</v>
      </c>
      <c r="N45" s="3"/>
      <c r="O45" s="3" t="n">
        <f aca="false">SUM(D45:N45)</f>
        <v>99.1481</v>
      </c>
    </row>
    <row r="46" customFormat="false" ht="15" hidden="false" customHeight="false" outlineLevel="0" collapsed="false">
      <c r="A46" s="16" t="s">
        <v>89</v>
      </c>
      <c r="B46" s="16" t="s">
        <v>82</v>
      </c>
      <c r="C46" s="16" t="s">
        <v>193</v>
      </c>
      <c r="D46" s="18" t="n">
        <v>43.7561</v>
      </c>
      <c r="E46" s="18" t="n">
        <v>4.0064</v>
      </c>
      <c r="F46" s="18" t="n">
        <v>8.2006</v>
      </c>
      <c r="G46" s="18" t="n">
        <v>0.0492</v>
      </c>
      <c r="H46" s="18" t="n">
        <v>9.7964</v>
      </c>
      <c r="I46" s="18" t="n">
        <v>0.1251</v>
      </c>
      <c r="J46" s="18" t="n">
        <v>10.7947</v>
      </c>
      <c r="K46" s="18" t="n">
        <v>21.769</v>
      </c>
      <c r="L46" s="18" t="n">
        <v>0.6231</v>
      </c>
      <c r="M46" s="18" t="n">
        <v>0.0271</v>
      </c>
      <c r="N46" s="3"/>
      <c r="O46" s="3" t="n">
        <f aca="false">SUM(D46:N46)</f>
        <v>99.1477</v>
      </c>
    </row>
    <row r="47" customFormat="false" ht="15" hidden="false" customHeight="false" outlineLevel="0" collapsed="false">
      <c r="A47" s="16" t="s">
        <v>97</v>
      </c>
      <c r="B47" s="16" t="s">
        <v>82</v>
      </c>
      <c r="C47" s="16" t="s">
        <v>193</v>
      </c>
      <c r="D47" s="18" t="n">
        <v>45.1773</v>
      </c>
      <c r="E47" s="18" t="n">
        <v>3.5853</v>
      </c>
      <c r="F47" s="18" t="n">
        <v>7.3046</v>
      </c>
      <c r="G47" s="18" t="n">
        <v>0.0693</v>
      </c>
      <c r="H47" s="18" t="n">
        <v>9.2919</v>
      </c>
      <c r="I47" s="18" t="n">
        <v>0.1628</v>
      </c>
      <c r="J47" s="18" t="n">
        <v>11.4113</v>
      </c>
      <c r="K47" s="18" t="n">
        <v>21.8335</v>
      </c>
      <c r="L47" s="18" t="n">
        <v>0.6142</v>
      </c>
      <c r="M47" s="18" t="n">
        <v>0.0131</v>
      </c>
      <c r="N47" s="3"/>
      <c r="O47" s="3" t="n">
        <f aca="false">SUM(D47:N47)</f>
        <v>99.4633</v>
      </c>
    </row>
    <row r="48" customFormat="false" ht="15" hidden="false" customHeight="false" outlineLevel="0" collapsed="false">
      <c r="A48" s="16" t="s">
        <v>70</v>
      </c>
      <c r="B48" s="16" t="s">
        <v>82</v>
      </c>
      <c r="C48" s="16" t="s">
        <v>193</v>
      </c>
      <c r="D48" s="18" t="n">
        <v>45.6312</v>
      </c>
      <c r="E48" s="18" t="n">
        <v>3.7821</v>
      </c>
      <c r="F48" s="18" t="n">
        <v>6.8895</v>
      </c>
      <c r="G48" s="18" t="n">
        <v>0.065</v>
      </c>
      <c r="H48" s="18" t="n">
        <v>9.2722</v>
      </c>
      <c r="I48" s="18" t="n">
        <v>0.1723</v>
      </c>
      <c r="J48" s="18" t="n">
        <v>11.4946</v>
      </c>
      <c r="K48" s="18" t="n">
        <v>22.0313</v>
      </c>
      <c r="L48" s="18" t="n">
        <v>0.6169</v>
      </c>
      <c r="M48" s="18" t="n">
        <v>0.0331</v>
      </c>
      <c r="N48" s="3"/>
      <c r="O48" s="3" t="n">
        <f aca="false">SUM(D48:N48)</f>
        <v>99.9882</v>
      </c>
    </row>
    <row r="49" customFormat="false" ht="15" hidden="false" customHeight="false" outlineLevel="0" collapsed="false">
      <c r="C49" s="1" t="s">
        <v>35</v>
      </c>
      <c r="D49" s="3" t="n">
        <f aca="false">AVERAGE(D44:D48)</f>
        <v>44.29548</v>
      </c>
      <c r="E49" s="3" t="n">
        <f aca="false">AVERAGE(E43:E48)</f>
        <v>3.99086</v>
      </c>
      <c r="F49" s="3" t="n">
        <f aca="false">AVERAGE(F43:F48)</f>
        <v>7.76678</v>
      </c>
      <c r="G49" s="3" t="n">
        <f aca="false">AVERAGE(G43:G48)</f>
        <v>0.0416</v>
      </c>
      <c r="H49" s="3" t="n">
        <f aca="false">AVERAGE(H43:H48)</f>
        <v>9.47304</v>
      </c>
      <c r="I49" s="3" t="n">
        <f aca="false">AVERAGE(I43:I48)</f>
        <v>0.1482</v>
      </c>
      <c r="J49" s="3" t="n">
        <f aca="false">AVERAGE(J43:J48)</f>
        <v>11.03992</v>
      </c>
      <c r="K49" s="3" t="n">
        <f aca="false">AVERAGE(K43:K48)</f>
        <v>21.9461</v>
      </c>
      <c r="L49" s="3" t="n">
        <f aca="false">AVERAGE(L43:L48)</f>
        <v>0.6288</v>
      </c>
      <c r="M49" s="3" t="n">
        <f aca="false">AVERAGE(M43:M48)</f>
        <v>0.02076</v>
      </c>
      <c r="N49" s="3"/>
      <c r="O49" s="3" t="n">
        <f aca="false">SUM(D49:N49)</f>
        <v>99.35154</v>
      </c>
    </row>
    <row r="50" customFormat="false" ht="15" hidden="false" customHeight="false" outlineLevel="0" collapsed="false">
      <c r="C50" s="1" t="s">
        <v>81</v>
      </c>
      <c r="D50" s="3" t="n">
        <f aca="false">_xlfn.STDEV.P(D44:D48)</f>
        <v>0.93563391644382</v>
      </c>
      <c r="E50" s="3" t="n">
        <f aca="false">_xlfn.STDEV.P(E43:E48)</f>
        <v>0.293656579017055</v>
      </c>
      <c r="F50" s="3" t="n">
        <f aca="false">_xlfn.STDEV.P(F43:F48)</f>
        <v>0.562420655381717</v>
      </c>
      <c r="G50" s="3" t="n">
        <f aca="false">_xlfn.STDEV.P(G43:G48)</f>
        <v>0.0256805763175206</v>
      </c>
      <c r="H50" s="3" t="n">
        <f aca="false">_xlfn.STDEV.P(H43:H48)</f>
        <v>0.190949549357939</v>
      </c>
      <c r="I50" s="3" t="n">
        <f aca="false">_xlfn.STDEV.P(I43:I48)</f>
        <v>0.0303362489441262</v>
      </c>
      <c r="J50" s="3" t="n">
        <f aca="false">_xlfn.STDEV.P(J43:J48)</f>
        <v>0.346657008583412</v>
      </c>
      <c r="K50" s="3" t="n">
        <f aca="false">_xlfn.STDEV.P(K43:K48)</f>
        <v>0.127250917481958</v>
      </c>
      <c r="L50" s="3" t="n">
        <f aca="false">_xlfn.STDEV.P(L43:L48)</f>
        <v>0.0526615229555698</v>
      </c>
      <c r="M50" s="3" t="n">
        <f aca="false">_xlfn.STDEV.P(M43:M48)</f>
        <v>0.0124658894588393</v>
      </c>
      <c r="N50" s="3"/>
      <c r="O50" s="3"/>
    </row>
    <row r="51" customFormat="false" ht="15" hidden="false" customHeight="false" outlineLevel="0" collapsed="false">
      <c r="C51" s="1" t="s">
        <v>66</v>
      </c>
      <c r="D51" s="3" t="n">
        <f aca="false">D49/$O$49*100</f>
        <v>44.5845932534111</v>
      </c>
      <c r="E51" s="3" t="n">
        <f aca="false">E49/$O$49*100</f>
        <v>4.01690804188843</v>
      </c>
      <c r="F51" s="3" t="n">
        <f aca="false">F49/$O$49*100</f>
        <v>7.81747318662599</v>
      </c>
      <c r="G51" s="3" t="n">
        <f aca="false">G49/$O$49*100</f>
        <v>0.0418715200589744</v>
      </c>
      <c r="H51" s="3" t="n">
        <f aca="false">H49/$O$49*100</f>
        <v>9.53486981681411</v>
      </c>
      <c r="I51" s="3" t="n">
        <f aca="false">I49/$O$49*100</f>
        <v>0.149167290210096</v>
      </c>
      <c r="J51" s="3" t="n">
        <f aca="false">J49/$O$49*100</f>
        <v>11.1119767242662</v>
      </c>
      <c r="K51" s="3" t="n">
        <f aca="false">K49/$O$49*100</f>
        <v>22.0893405376504</v>
      </c>
      <c r="L51" s="3" t="n">
        <f aca="false">L49/$O$49*100</f>
        <v>0.63290413012219</v>
      </c>
      <c r="M51" s="3" t="n">
        <f aca="false">M49/$O$49*100</f>
        <v>0.0208954989525074</v>
      </c>
      <c r="N51" s="3"/>
      <c r="O51" s="3"/>
    </row>
    <row r="52" customFormat="false" ht="15" hidden="false" customHeight="false" outlineLevel="0" collapsed="false"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</row>
    <row r="53" customFormat="false" ht="15" hidden="false" customHeight="false" outlineLevel="0" collapsed="false"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</row>
    <row r="54" customFormat="false" ht="15" hidden="false" customHeight="false" outlineLevel="0" collapsed="false"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R65"/>
  <sheetViews>
    <sheetView showFormulas="false" showGridLines="true" showRowColHeaders="true" showZeros="true" rightToLeft="false" tabSelected="false" showOutlineSymbols="true" defaultGridColor="true" view="normal" topLeftCell="A23" colorId="64" zoomScale="55" zoomScaleNormal="55" zoomScalePageLayoutView="100" workbookViewId="0">
      <selection pane="topLeft" activeCell="D37" activeCellId="0" sqref="D37"/>
    </sheetView>
  </sheetViews>
  <sheetFormatPr defaultColWidth="10.6445312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15" min="4" style="1" width="6.7"/>
    <col collapsed="false" customWidth="true" hidden="false" outlineLevel="0" max="24" min="16" style="1" width="6.9"/>
    <col collapsed="false" customWidth="true" hidden="false" outlineLevel="0" max="26" min="25" style="1" width="6.5"/>
  </cols>
  <sheetData>
    <row r="1" customFormat="false" ht="15" hidden="false" customHeight="false" outlineLevel="0" collapsed="false">
      <c r="D1" s="3" t="s">
        <v>65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1" t="s">
        <v>66</v>
      </c>
    </row>
    <row r="2" customFormat="false" ht="15" hidden="false" customHeight="false" outlineLevel="0" collapsed="false">
      <c r="B2" s="1" t="s">
        <v>67</v>
      </c>
      <c r="C2" s="1" t="s">
        <v>68</v>
      </c>
      <c r="D2" s="3" t="s">
        <v>15</v>
      </c>
      <c r="E2" s="3" t="s">
        <v>16</v>
      </c>
      <c r="F2" s="3" t="s">
        <v>17</v>
      </c>
      <c r="G2" s="3" t="s">
        <v>31</v>
      </c>
      <c r="H2" s="3" t="s">
        <v>18</v>
      </c>
      <c r="I2" s="3" t="s">
        <v>19</v>
      </c>
      <c r="J2" s="3" t="s">
        <v>20</v>
      </c>
      <c r="K2" s="3" t="s">
        <v>21</v>
      </c>
      <c r="L2" s="3" t="s">
        <v>22</v>
      </c>
      <c r="M2" s="3" t="s">
        <v>23</v>
      </c>
      <c r="N2" s="3" t="s">
        <v>24</v>
      </c>
      <c r="O2" s="3" t="s">
        <v>69</v>
      </c>
      <c r="P2" s="3" t="s">
        <v>15</v>
      </c>
      <c r="Q2" s="3" t="s">
        <v>16</v>
      </c>
      <c r="R2" s="3" t="s">
        <v>17</v>
      </c>
      <c r="S2" s="3" t="s">
        <v>31</v>
      </c>
      <c r="T2" s="3" t="s">
        <v>18</v>
      </c>
      <c r="U2" s="3" t="s">
        <v>19</v>
      </c>
      <c r="V2" s="3" t="s">
        <v>20</v>
      </c>
      <c r="W2" s="3" t="s">
        <v>21</v>
      </c>
      <c r="X2" s="3" t="s">
        <v>22</v>
      </c>
      <c r="Y2" s="3" t="s">
        <v>23</v>
      </c>
      <c r="Z2" s="3" t="s">
        <v>24</v>
      </c>
    </row>
    <row r="3" customFormat="false" ht="15" hidden="false" customHeight="false" outlineLevel="0" collapsed="false">
      <c r="A3" s="1" t="s">
        <v>151</v>
      </c>
      <c r="B3" s="1" t="s">
        <v>71</v>
      </c>
      <c r="C3" s="1" t="s">
        <v>195</v>
      </c>
      <c r="D3" s="3" t="n">
        <v>43.9162</v>
      </c>
      <c r="E3" s="3" t="n">
        <v>3.3958</v>
      </c>
      <c r="F3" s="3" t="n">
        <v>15.5729</v>
      </c>
      <c r="G3" s="3" t="n">
        <v>0</v>
      </c>
      <c r="H3" s="3" t="n">
        <v>11.3778</v>
      </c>
      <c r="I3" s="3" t="n">
        <v>0.1967</v>
      </c>
      <c r="J3" s="3" t="n">
        <v>4.3852</v>
      </c>
      <c r="K3" s="3" t="n">
        <v>10.8849</v>
      </c>
      <c r="L3" s="3" t="n">
        <v>3.8044</v>
      </c>
      <c r="M3" s="3" t="n">
        <v>2.3325</v>
      </c>
      <c r="N3" s="3" t="n">
        <v>0.8876</v>
      </c>
      <c r="O3" s="3" t="n">
        <f aca="false">SUM(D3:N3)</f>
        <v>96.754</v>
      </c>
      <c r="P3" s="3" t="n">
        <f aca="false">D3/$O3*100</f>
        <v>45.3895446183104</v>
      </c>
      <c r="Q3" s="3" t="n">
        <f aca="false">E3/$O3*100</f>
        <v>3.50972569609525</v>
      </c>
      <c r="R3" s="3" t="n">
        <f aca="false">F3/$O3*100</f>
        <v>16.0953552307915</v>
      </c>
      <c r="S3" s="3" t="n">
        <f aca="false">G3/$O3*100</f>
        <v>0</v>
      </c>
      <c r="T3" s="3" t="n">
        <f aca="false">H3/$O3*100</f>
        <v>11.7595138185501</v>
      </c>
      <c r="U3" s="3" t="n">
        <f aca="false">I3/$O3*100</f>
        <v>0.203299088409781</v>
      </c>
      <c r="V3" s="3" t="n">
        <f aca="false">J3/$O3*100</f>
        <v>4.53231907724745</v>
      </c>
      <c r="W3" s="3" t="n">
        <f aca="false">K3/$O3*100</f>
        <v>11.250077516175</v>
      </c>
      <c r="X3" s="3" t="n">
        <f aca="false">L3/$O3*100</f>
        <v>3.9320338177233</v>
      </c>
      <c r="Y3" s="3" t="n">
        <f aca="false">M3/$O3*100</f>
        <v>2.41075304380181</v>
      </c>
      <c r="Z3" s="3" t="n">
        <f aca="false">N3/$O3*100</f>
        <v>0.917378092895384</v>
      </c>
    </row>
    <row r="4" customFormat="false" ht="15" hidden="false" customHeight="false" outlineLevel="0" collapsed="false">
      <c r="A4" s="1" t="s">
        <v>153</v>
      </c>
      <c r="B4" s="1" t="s">
        <v>71</v>
      </c>
      <c r="C4" s="1" t="s">
        <v>195</v>
      </c>
      <c r="D4" s="3" t="n">
        <v>43.555</v>
      </c>
      <c r="E4" s="3" t="n">
        <v>3.2754</v>
      </c>
      <c r="F4" s="3" t="n">
        <v>15.3158</v>
      </c>
      <c r="G4" s="3" t="n">
        <v>0.0182</v>
      </c>
      <c r="H4" s="3" t="n">
        <v>11.4445</v>
      </c>
      <c r="I4" s="3" t="n">
        <v>0.1576</v>
      </c>
      <c r="J4" s="3" t="n">
        <v>4.3211</v>
      </c>
      <c r="K4" s="3" t="n">
        <v>10.9311</v>
      </c>
      <c r="L4" s="3" t="n">
        <v>3.904</v>
      </c>
      <c r="M4" s="3" t="n">
        <v>2.2066</v>
      </c>
      <c r="N4" s="3" t="n">
        <v>0.7912</v>
      </c>
      <c r="O4" s="3" t="n">
        <f aca="false">SUM(D4:N4)</f>
        <v>95.9205</v>
      </c>
      <c r="P4" s="3" t="n">
        <f aca="false">D4/$O4*100</f>
        <v>45.4073946653739</v>
      </c>
      <c r="Q4" s="3" t="n">
        <f aca="false">E4/$O4*100</f>
        <v>3.41470280075688</v>
      </c>
      <c r="R4" s="3" t="n">
        <f aca="false">F4/$O4*100</f>
        <v>15.9671811552275</v>
      </c>
      <c r="S4" s="3" t="n">
        <f aca="false">G4/$O4*100</f>
        <v>0.0189740462153554</v>
      </c>
      <c r="T4" s="3" t="n">
        <f aca="false">H4/$O4*100</f>
        <v>11.9312347204195</v>
      </c>
      <c r="U4" s="3" t="n">
        <f aca="false">I4/$O4*100</f>
        <v>0.164302729864836</v>
      </c>
      <c r="V4" s="3" t="n">
        <f aca="false">J4/$O4*100</f>
        <v>4.50487643413035</v>
      </c>
      <c r="W4" s="3" t="n">
        <f aca="false">K4/$O4*100</f>
        <v>11.3959998123446</v>
      </c>
      <c r="X4" s="3" t="n">
        <f aca="false">L4/$O4*100</f>
        <v>4.07003716619492</v>
      </c>
      <c r="Y4" s="3" t="n">
        <f aca="false">M4/$O4*100</f>
        <v>2.30044672411007</v>
      </c>
      <c r="Z4" s="3" t="n">
        <f aca="false">N4/$O4*100</f>
        <v>0.824849745362045</v>
      </c>
    </row>
    <row r="5" customFormat="false" ht="15" hidden="false" customHeight="false" outlineLevel="0" collapsed="false">
      <c r="A5" s="1" t="s">
        <v>136</v>
      </c>
      <c r="B5" s="1" t="s">
        <v>71</v>
      </c>
      <c r="C5" s="1" t="s">
        <v>195</v>
      </c>
      <c r="D5" s="3" t="n">
        <v>44.1795</v>
      </c>
      <c r="E5" s="3" t="n">
        <v>3.3342</v>
      </c>
      <c r="F5" s="3" t="n">
        <v>15.7084</v>
      </c>
      <c r="G5" s="3" t="n">
        <v>0</v>
      </c>
      <c r="H5" s="3" t="n">
        <v>11.5203</v>
      </c>
      <c r="I5" s="3" t="n">
        <v>0.2299</v>
      </c>
      <c r="J5" s="3" t="n">
        <v>4.4358</v>
      </c>
      <c r="K5" s="3" t="n">
        <v>11.0589</v>
      </c>
      <c r="L5" s="3" t="n">
        <v>3.3613</v>
      </c>
      <c r="M5" s="3" t="n">
        <v>2.2297</v>
      </c>
      <c r="N5" s="3" t="n">
        <v>0.8014</v>
      </c>
      <c r="O5" s="3" t="n">
        <f aca="false">SUM(D5:N5)</f>
        <v>96.8594</v>
      </c>
      <c r="P5" s="3" t="n">
        <f aca="false">D5/$O5*100</f>
        <v>45.6119901630611</v>
      </c>
      <c r="Q5" s="3" t="n">
        <f aca="false">E5/$O5*100</f>
        <v>3.44230916152691</v>
      </c>
      <c r="R5" s="3" t="n">
        <f aca="false">F5/$O5*100</f>
        <v>16.2177341589975</v>
      </c>
      <c r="S5" s="3" t="n">
        <f aca="false">G5/$O5*100</f>
        <v>0</v>
      </c>
      <c r="T5" s="3" t="n">
        <f aca="false">H5/$O5*100</f>
        <v>11.8938378722148</v>
      </c>
      <c r="U5" s="3" t="n">
        <f aca="false">I5/$O5*100</f>
        <v>0.237354350739319</v>
      </c>
      <c r="V5" s="3" t="n">
        <f aca="false">J5/$O5*100</f>
        <v>4.57962779038483</v>
      </c>
      <c r="W5" s="3" t="n">
        <f aca="false">K5/$O5*100</f>
        <v>11.4174772918271</v>
      </c>
      <c r="X5" s="3" t="n">
        <f aca="false">L5/$O5*100</f>
        <v>3.47028786054838</v>
      </c>
      <c r="Y5" s="3" t="n">
        <f aca="false">M5/$O5*100</f>
        <v>2.30199650214641</v>
      </c>
      <c r="Z5" s="3" t="n">
        <f aca="false">N5/$O5*100</f>
        <v>0.827384848553677</v>
      </c>
    </row>
    <row r="6" customFormat="false" ht="15" hidden="false" customHeight="false" outlineLevel="0" collapsed="false">
      <c r="A6" s="1" t="s">
        <v>138</v>
      </c>
      <c r="B6" s="1" t="s">
        <v>71</v>
      </c>
      <c r="C6" s="1" t="s">
        <v>195</v>
      </c>
      <c r="D6" s="3" t="n">
        <v>44.0305</v>
      </c>
      <c r="E6" s="3" t="n">
        <v>3.2308</v>
      </c>
      <c r="F6" s="3" t="n">
        <v>15.5439</v>
      </c>
      <c r="G6" s="3" t="n">
        <v>0</v>
      </c>
      <c r="H6" s="3" t="n">
        <v>11.7261</v>
      </c>
      <c r="I6" s="3" t="n">
        <v>0.2209</v>
      </c>
      <c r="J6" s="3" t="n">
        <v>4.4529</v>
      </c>
      <c r="K6" s="3" t="n">
        <v>10.9879</v>
      </c>
      <c r="L6" s="3" t="n">
        <v>3.4832</v>
      </c>
      <c r="M6" s="3" t="n">
        <v>2.1786</v>
      </c>
      <c r="N6" s="3" t="n">
        <v>0.9247</v>
      </c>
      <c r="O6" s="3" t="n">
        <f aca="false">SUM(D6:N6)</f>
        <v>96.7795</v>
      </c>
      <c r="P6" s="3" t="n">
        <f aca="false">D6/$O6*100</f>
        <v>45.4956886530722</v>
      </c>
      <c r="Q6" s="3" t="n">
        <f aca="false">E6/$O6*100</f>
        <v>3.33831028265283</v>
      </c>
      <c r="R6" s="3" t="n">
        <f aca="false">F6/$O6*100</f>
        <v>16.061149313646</v>
      </c>
      <c r="S6" s="3" t="n">
        <f aca="false">G6/$O6*100</f>
        <v>0</v>
      </c>
      <c r="T6" s="3" t="n">
        <f aca="false">H6/$O6*100</f>
        <v>12.116305622575</v>
      </c>
      <c r="U6" s="3" t="n">
        <f aca="false">I6/$O6*100</f>
        <v>0.228250817580169</v>
      </c>
      <c r="V6" s="3" t="n">
        <f aca="false">J6/$O6*100</f>
        <v>4.60107770757237</v>
      </c>
      <c r="W6" s="3" t="n">
        <f aca="false">K6/$O6*100</f>
        <v>11.3535407808472</v>
      </c>
      <c r="X6" s="3" t="n">
        <f aca="false">L6/$O6*100</f>
        <v>3.59910931550587</v>
      </c>
      <c r="Y6" s="3" t="n">
        <f aca="false">M6/$O6*100</f>
        <v>2.25109656487169</v>
      </c>
      <c r="Z6" s="3" t="n">
        <f aca="false">N6/$O6*100</f>
        <v>0.955470941676698</v>
      </c>
    </row>
    <row r="7" customFormat="false" ht="15" hidden="false" customHeight="false" outlineLevel="0" collapsed="false">
      <c r="A7" s="1" t="s">
        <v>139</v>
      </c>
      <c r="B7" s="1" t="s">
        <v>71</v>
      </c>
      <c r="C7" s="1" t="s">
        <v>195</v>
      </c>
      <c r="D7" s="3" t="n">
        <v>44.3206</v>
      </c>
      <c r="E7" s="3" t="n">
        <v>3.3093</v>
      </c>
      <c r="F7" s="3" t="n">
        <v>15.3343</v>
      </c>
      <c r="G7" s="3" t="n">
        <v>0</v>
      </c>
      <c r="H7" s="3" t="n">
        <v>11.4604</v>
      </c>
      <c r="I7" s="3" t="n">
        <v>0.1055</v>
      </c>
      <c r="J7" s="3" t="n">
        <v>4.4423</v>
      </c>
      <c r="K7" s="3" t="n">
        <v>11.0235</v>
      </c>
      <c r="L7" s="3" t="n">
        <v>3.5354</v>
      </c>
      <c r="M7" s="3" t="n">
        <v>2.3313</v>
      </c>
      <c r="N7" s="3" t="n">
        <v>0.9846</v>
      </c>
      <c r="O7" s="3" t="n">
        <f aca="false">SUM(D7:N7)</f>
        <v>96.8472</v>
      </c>
      <c r="P7" s="3" t="n">
        <f aca="false">D7/$O7*100</f>
        <v>45.7634294021923</v>
      </c>
      <c r="Q7" s="3" t="n">
        <f aca="false">E7/$O7*100</f>
        <v>3.41703219091517</v>
      </c>
      <c r="R7" s="3" t="n">
        <f aca="false">F7/$O7*100</f>
        <v>15.8334985420332</v>
      </c>
      <c r="S7" s="3" t="n">
        <f aca="false">G7/$O7*100</f>
        <v>0</v>
      </c>
      <c r="T7" s="3" t="n">
        <f aca="false">H7/$O7*100</f>
        <v>11.8334861513807</v>
      </c>
      <c r="U7" s="3" t="n">
        <f aca="false">I7/$O7*100</f>
        <v>0.108934486490059</v>
      </c>
      <c r="V7" s="3" t="n">
        <f aca="false">J7/$O7*100</f>
        <v>4.5869162970122</v>
      </c>
      <c r="W7" s="3" t="n">
        <f aca="false">K7/$O7*100</f>
        <v>11.3823631452432</v>
      </c>
      <c r="X7" s="3" t="n">
        <f aca="false">L7/$O7*100</f>
        <v>3.65049273494742</v>
      </c>
      <c r="Y7" s="3" t="n">
        <f aca="false">M7/$O7*100</f>
        <v>2.40719401283672</v>
      </c>
      <c r="Z7" s="3" t="n">
        <f aca="false">N7/$O7*100</f>
        <v>1.01665303694893</v>
      </c>
    </row>
    <row r="8" customFormat="false" ht="15" hidden="false" customHeight="false" outlineLevel="0" collapsed="false">
      <c r="A8" s="1" t="s">
        <v>143</v>
      </c>
      <c r="B8" s="1" t="s">
        <v>71</v>
      </c>
      <c r="C8" s="1" t="s">
        <v>195</v>
      </c>
      <c r="D8" s="3" t="n">
        <v>43.5503</v>
      </c>
      <c r="E8" s="3" t="n">
        <v>3.4041</v>
      </c>
      <c r="F8" s="3" t="n">
        <v>15.1621</v>
      </c>
      <c r="G8" s="3" t="n">
        <v>0</v>
      </c>
      <c r="H8" s="3" t="n">
        <v>11.9451</v>
      </c>
      <c r="I8" s="3" t="n">
        <v>0.161</v>
      </c>
      <c r="J8" s="3" t="n">
        <v>4.3813</v>
      </c>
      <c r="K8" s="3" t="n">
        <v>10.9584</v>
      </c>
      <c r="L8" s="3" t="n">
        <v>4.1853</v>
      </c>
      <c r="M8" s="3" t="n">
        <v>2.2714</v>
      </c>
      <c r="N8" s="3" t="n">
        <v>1.1345</v>
      </c>
      <c r="O8" s="3" t="n">
        <f aca="false">SUM(D8:N8)</f>
        <v>97.1535</v>
      </c>
      <c r="P8" s="3" t="n">
        <f aca="false">D8/$O8*100</f>
        <v>44.8262800619638</v>
      </c>
      <c r="Q8" s="3" t="n">
        <f aca="false">E8/$O8*100</f>
        <v>3.50383671200729</v>
      </c>
      <c r="R8" s="3" t="n">
        <f aca="false">F8/$O8*100</f>
        <v>15.6063343060209</v>
      </c>
      <c r="S8" s="3" t="n">
        <f aca="false">G8/$O8*100</f>
        <v>0</v>
      </c>
      <c r="T8" s="3" t="n">
        <f aca="false">H8/$O8*100</f>
        <v>12.29507943615</v>
      </c>
      <c r="U8" s="3" t="n">
        <f aca="false">I8/$O8*100</f>
        <v>0.165717138342932</v>
      </c>
      <c r="V8" s="3" t="n">
        <f aca="false">J8/$O8*100</f>
        <v>4.50966769081917</v>
      </c>
      <c r="W8" s="3" t="n">
        <f aca="false">K8/$O8*100</f>
        <v>11.2794701168769</v>
      </c>
      <c r="X8" s="3" t="n">
        <f aca="false">L8/$O8*100</f>
        <v>4.30792508761908</v>
      </c>
      <c r="Y8" s="3" t="n">
        <f aca="false">M8/$O8*100</f>
        <v>2.33794973933003</v>
      </c>
      <c r="Z8" s="3" t="n">
        <f aca="false">N8/$O8*100</f>
        <v>1.16773971086991</v>
      </c>
    </row>
    <row r="9" customFormat="false" ht="15" hidden="false" customHeight="false" outlineLevel="0" collapsed="false">
      <c r="A9" s="1" t="s">
        <v>145</v>
      </c>
      <c r="B9" s="1" t="s">
        <v>71</v>
      </c>
      <c r="C9" s="1" t="s">
        <v>195</v>
      </c>
      <c r="D9" s="3" t="n">
        <v>44.1132</v>
      </c>
      <c r="E9" s="3" t="n">
        <v>3.2025</v>
      </c>
      <c r="F9" s="3" t="n">
        <v>15.2202</v>
      </c>
      <c r="G9" s="3" t="n">
        <v>0.1032</v>
      </c>
      <c r="H9" s="3" t="n">
        <v>11.3086</v>
      </c>
      <c r="I9" s="3" t="n">
        <v>0.2259</v>
      </c>
      <c r="J9" s="3" t="n">
        <v>4.41</v>
      </c>
      <c r="K9" s="3" t="n">
        <v>11.0661</v>
      </c>
      <c r="L9" s="3" t="n">
        <v>3.657</v>
      </c>
      <c r="M9" s="3" t="n">
        <v>2.2281</v>
      </c>
      <c r="N9" s="3" t="n">
        <v>0.8921</v>
      </c>
      <c r="O9" s="3" t="n">
        <f aca="false">SUM(D9:N9)</f>
        <v>96.4269</v>
      </c>
      <c r="P9" s="3" t="n">
        <f aca="false">D9/$O9*100</f>
        <v>45.7478151843521</v>
      </c>
      <c r="Q9" s="3" t="n">
        <f aca="false">E9/$O9*100</f>
        <v>3.32116867803486</v>
      </c>
      <c r="R9" s="3" t="n">
        <f aca="false">F9/$O9*100</f>
        <v>15.784184703646</v>
      </c>
      <c r="S9" s="3" t="n">
        <f aca="false">G9/$O9*100</f>
        <v>0.107024077306229</v>
      </c>
      <c r="T9" s="3" t="n">
        <f aca="false">H9/$O9*100</f>
        <v>11.7276403161359</v>
      </c>
      <c r="U9" s="3" t="n">
        <f aca="false">I9/$O9*100</f>
        <v>0.234270727359274</v>
      </c>
      <c r="V9" s="3" t="n">
        <f aca="false">J9/$O9*100</f>
        <v>4.5734126058185</v>
      </c>
      <c r="W9" s="3" t="n">
        <f aca="false">K9/$O9*100</f>
        <v>11.4761544755665</v>
      </c>
      <c r="X9" s="3" t="n">
        <f aca="false">L9/$O9*100</f>
        <v>3.79251018128759</v>
      </c>
      <c r="Y9" s="3" t="n">
        <f aca="false">M9/$O9*100</f>
        <v>2.31066227370163</v>
      </c>
      <c r="Z9" s="3" t="n">
        <f aca="false">N9/$O9*100</f>
        <v>0.925156776791538</v>
      </c>
    </row>
    <row r="10" customFormat="false" ht="15" hidden="false" customHeight="false" outlineLevel="0" collapsed="false">
      <c r="A10" s="1" t="s">
        <v>124</v>
      </c>
      <c r="B10" s="1" t="s">
        <v>71</v>
      </c>
      <c r="C10" s="1" t="s">
        <v>195</v>
      </c>
      <c r="D10" s="3" t="n">
        <v>43.3761</v>
      </c>
      <c r="E10" s="3" t="n">
        <v>3.3135</v>
      </c>
      <c r="F10" s="3" t="n">
        <v>15.3955</v>
      </c>
      <c r="G10" s="3" t="n">
        <v>0</v>
      </c>
      <c r="H10" s="3" t="n">
        <v>11.7507</v>
      </c>
      <c r="I10" s="3" t="n">
        <v>0.2332</v>
      </c>
      <c r="J10" s="3" t="n">
        <v>4.2873</v>
      </c>
      <c r="K10" s="3" t="n">
        <v>10.9999</v>
      </c>
      <c r="L10" s="3" t="n">
        <v>4.0702</v>
      </c>
      <c r="M10" s="3" t="n">
        <v>2.3127</v>
      </c>
      <c r="N10" s="3" t="n">
        <v>0.9284</v>
      </c>
      <c r="O10" s="3" t="n">
        <f aca="false">SUM(D10:N10)</f>
        <v>96.6675</v>
      </c>
      <c r="P10" s="3" t="n">
        <f aca="false">D10/$O10*100</f>
        <v>44.8714407634417</v>
      </c>
      <c r="Q10" s="3" t="n">
        <f aca="false">E10/$O10*100</f>
        <v>3.42772907130111</v>
      </c>
      <c r="R10" s="3" t="n">
        <f aca="false">F10/$O10*100</f>
        <v>15.926242015155</v>
      </c>
      <c r="S10" s="3" t="n">
        <f aca="false">G10/$O10*100</f>
        <v>0</v>
      </c>
      <c r="T10" s="3" t="n">
        <f aca="false">H10/$O10*100</f>
        <v>12.1557917604159</v>
      </c>
      <c r="U10" s="3" t="n">
        <f aca="false">I10/$O10*100</f>
        <v>0.24123929966121</v>
      </c>
      <c r="V10" s="3" t="n">
        <f aca="false">J10/$O10*100</f>
        <v>4.4350996974164</v>
      </c>
      <c r="W10" s="3" t="n">
        <f aca="false">K10/$O10*100</f>
        <v>11.3791088007862</v>
      </c>
      <c r="X10" s="3" t="n">
        <f aca="false">L10/$O10*100</f>
        <v>4.21051542659115</v>
      </c>
      <c r="Y10" s="3" t="n">
        <f aca="false">M10/$O10*100</f>
        <v>2.39242765148576</v>
      </c>
      <c r="Z10" s="3" t="n">
        <f aca="false">N10/$O10*100</f>
        <v>0.960405513745571</v>
      </c>
    </row>
    <row r="11" customFormat="false" ht="15" hidden="false" customHeight="false" outlineLevel="0" collapsed="false">
      <c r="A11" s="1" t="s">
        <v>146</v>
      </c>
      <c r="B11" s="1" t="s">
        <v>71</v>
      </c>
      <c r="C11" s="1" t="s">
        <v>195</v>
      </c>
      <c r="D11" s="3" t="n">
        <v>43.7422</v>
      </c>
      <c r="E11" s="3" t="n">
        <v>3.2919</v>
      </c>
      <c r="F11" s="3" t="n">
        <v>15.4399</v>
      </c>
      <c r="G11" s="3" t="n">
        <v>0</v>
      </c>
      <c r="H11" s="3" t="n">
        <v>11.5374</v>
      </c>
      <c r="I11" s="3" t="n">
        <v>0.1875</v>
      </c>
      <c r="J11" s="3" t="n">
        <v>4.3693</v>
      </c>
      <c r="K11" s="3" t="n">
        <v>10.9243</v>
      </c>
      <c r="L11" s="3" t="n">
        <v>4.0254</v>
      </c>
      <c r="M11" s="3" t="n">
        <v>2.3858</v>
      </c>
      <c r="N11" s="3" t="n">
        <v>0.9897</v>
      </c>
      <c r="O11" s="3" t="n">
        <f aca="false">SUM(D11:N11)</f>
        <v>96.8934</v>
      </c>
      <c r="P11" s="3" t="n">
        <f aca="false">D11/$O11*100</f>
        <v>45.1446641360506</v>
      </c>
      <c r="Q11" s="3" t="n">
        <f aca="false">E11/$O11*100</f>
        <v>3.39744502721548</v>
      </c>
      <c r="R11" s="3" t="n">
        <f aca="false">F11/$O11*100</f>
        <v>15.9349346807935</v>
      </c>
      <c r="S11" s="3" t="n">
        <f aca="false">G11/$O11*100</f>
        <v>0</v>
      </c>
      <c r="T11" s="3" t="n">
        <f aca="false">H11/$O11*100</f>
        <v>11.9073125723734</v>
      </c>
      <c r="U11" s="3" t="n">
        <f aca="false">I11/$O11*100</f>
        <v>0.193511632371245</v>
      </c>
      <c r="V11" s="3" t="n">
        <f aca="false">J11/$O11*100</f>
        <v>4.50938866837163</v>
      </c>
      <c r="W11" s="3" t="n">
        <f aca="false">K11/$O11*100</f>
        <v>11.2745553360704</v>
      </c>
      <c r="X11" s="3" t="n">
        <f aca="false">L11/$O11*100</f>
        <v>4.15446253305179</v>
      </c>
      <c r="Y11" s="3" t="n">
        <f aca="false">M11/$O11*100</f>
        <v>2.46229361339369</v>
      </c>
      <c r="Z11" s="3" t="n">
        <f aca="false">N11/$O11*100</f>
        <v>1.02143180030838</v>
      </c>
    </row>
    <row r="12" customFormat="false" ht="15" hidden="false" customHeight="false" outlineLevel="0" collapsed="false">
      <c r="A12" s="1" t="s">
        <v>147</v>
      </c>
      <c r="B12" s="1" t="s">
        <v>71</v>
      </c>
      <c r="C12" s="1" t="s">
        <v>195</v>
      </c>
      <c r="D12" s="3" t="n">
        <v>44.2846</v>
      </c>
      <c r="E12" s="3" t="n">
        <v>3.2121</v>
      </c>
      <c r="F12" s="3" t="n">
        <v>15.2938</v>
      </c>
      <c r="G12" s="3" t="n">
        <v>0</v>
      </c>
      <c r="H12" s="3" t="n">
        <v>11.2884</v>
      </c>
      <c r="I12" s="3" t="n">
        <v>0.2708</v>
      </c>
      <c r="J12" s="3" t="n">
        <v>4.2932</v>
      </c>
      <c r="K12" s="3" t="n">
        <v>11.0377</v>
      </c>
      <c r="L12" s="3" t="n">
        <v>4.0389</v>
      </c>
      <c r="M12" s="3" t="n">
        <v>2.3203</v>
      </c>
      <c r="N12" s="3" t="n">
        <v>0.979</v>
      </c>
      <c r="O12" s="3" t="n">
        <f aca="false">SUM(D12:N12)</f>
        <v>97.0188</v>
      </c>
      <c r="P12" s="3" t="n">
        <f aca="false">D12/$O12*100</f>
        <v>45.6453800706667</v>
      </c>
      <c r="Q12" s="3" t="n">
        <f aca="false">E12/$O12*100</f>
        <v>3.31080161783077</v>
      </c>
      <c r="R12" s="3" t="n">
        <f aca="false">F12/$O12*100</f>
        <v>15.76374888166</v>
      </c>
      <c r="S12" s="3" t="n">
        <f aca="false">G12/$O12*100</f>
        <v>0</v>
      </c>
      <c r="T12" s="3" t="n">
        <f aca="false">H12/$O12*100</f>
        <v>11.6352706898045</v>
      </c>
      <c r="U12" s="3" t="n">
        <f aca="false">I12/$O12*100</f>
        <v>0.279121160022593</v>
      </c>
      <c r="V12" s="3" t="n">
        <f aca="false">J12/$O12*100</f>
        <v>4.42512172898449</v>
      </c>
      <c r="W12" s="3" t="n">
        <f aca="false">K12/$O12*100</f>
        <v>11.3768671638899</v>
      </c>
      <c r="X12" s="3" t="n">
        <f aca="false">L12/$O12*100</f>
        <v>4.16300758203565</v>
      </c>
      <c r="Y12" s="3" t="n">
        <f aca="false">M12/$O12*100</f>
        <v>2.39159832939595</v>
      </c>
      <c r="Z12" s="3" t="n">
        <f aca="false">N12/$O12*100</f>
        <v>1.00908277570945</v>
      </c>
    </row>
    <row r="13" customFormat="false" ht="15" hidden="false" customHeight="false" outlineLevel="0" collapsed="false">
      <c r="C13" s="1" t="s">
        <v>14</v>
      </c>
      <c r="D13" s="3" t="n">
        <f aca="false">AVERAGE(D3:D12)</f>
        <v>43.90682</v>
      </c>
      <c r="E13" s="3" t="n">
        <f aca="false">AVERAGE(E3:E12)</f>
        <v>3.29696</v>
      </c>
      <c r="F13" s="3" t="n">
        <f aca="false">AVERAGE(F3:F12)</f>
        <v>15.39868</v>
      </c>
      <c r="G13" s="3" t="n">
        <f aca="false">AVERAGE(G3:G12)</f>
        <v>0.01214</v>
      </c>
      <c r="H13" s="3" t="n">
        <f aca="false">AVERAGE(H3:H12)</f>
        <v>11.53593</v>
      </c>
      <c r="I13" s="3" t="n">
        <f aca="false">AVERAGE(I3:I12)</f>
        <v>0.1989</v>
      </c>
      <c r="J13" s="3" t="n">
        <f aca="false">AVERAGE(J3:J12)</f>
        <v>4.37784</v>
      </c>
      <c r="K13" s="3" t="n">
        <f aca="false">AVERAGE(K3:K12)</f>
        <v>10.98727</v>
      </c>
      <c r="L13" s="3" t="n">
        <f aca="false">AVERAGE(L3:L12)</f>
        <v>3.80651</v>
      </c>
      <c r="M13" s="3" t="n">
        <f aca="false">AVERAGE(M3:M12)</f>
        <v>2.2797</v>
      </c>
      <c r="N13" s="3" t="n">
        <f aca="false">AVERAGE(N3:N12)</f>
        <v>0.93132</v>
      </c>
      <c r="O13" s="3" t="n">
        <f aca="false">SUM(D13:N13)</f>
        <v>96.73207</v>
      </c>
      <c r="P13" s="3" t="n">
        <f aca="false">AVERAGE(P3:P12)</f>
        <v>45.3903627718485</v>
      </c>
      <c r="Q13" s="3" t="n">
        <f aca="false">AVERAGE(Q3:Q12)</f>
        <v>3.40830612383366</v>
      </c>
      <c r="R13" s="3" t="n">
        <f aca="false">AVERAGE(R3:R12)</f>
        <v>15.9190362987971</v>
      </c>
      <c r="S13" s="3" t="n">
        <f aca="false">AVERAGE(S3:S12)</f>
        <v>0.0125998123521584</v>
      </c>
      <c r="T13" s="3" t="n">
        <f aca="false">AVERAGE(T3:T12)</f>
        <v>11.925547296002</v>
      </c>
      <c r="U13" s="3" t="n">
        <f aca="false">AVERAGE(U3:U12)</f>
        <v>0.205600143084142</v>
      </c>
      <c r="V13" s="3" t="n">
        <f aca="false">AVERAGE(V3:V12)</f>
        <v>4.52575076977574</v>
      </c>
      <c r="W13" s="3" t="n">
        <f aca="false">AVERAGE(W3:W12)</f>
        <v>11.3585614439627</v>
      </c>
      <c r="X13" s="3" t="n">
        <f aca="false">AVERAGE(X3:X12)</f>
        <v>3.93503817055051</v>
      </c>
      <c r="Y13" s="3" t="n">
        <f aca="false">AVERAGE(Y3:Y12)</f>
        <v>2.35664184550738</v>
      </c>
      <c r="Z13" s="3" t="n">
        <f aca="false">AVERAGE(Z3:Z12)</f>
        <v>0.962555324286158</v>
      </c>
    </row>
    <row r="14" customFormat="false" ht="15" hidden="false" customHeight="false" outlineLevel="0" collapsed="false">
      <c r="C14" s="1" t="s">
        <v>81</v>
      </c>
      <c r="D14" s="3" t="n">
        <f aca="false">_xlfn.STDEV.P(D3:D12)</f>
        <v>0.317160955352325</v>
      </c>
      <c r="E14" s="3" t="n">
        <f aca="false">_xlfn.STDEV.P(E3:E12)</f>
        <v>0.0663720453203003</v>
      </c>
      <c r="F14" s="3" t="n">
        <f aca="false">_xlfn.STDEV.P(F3:F12)</f>
        <v>0.160908680934249</v>
      </c>
      <c r="G14" s="3" t="n">
        <f aca="false">_xlfn.STDEV.P(G3:G12)</f>
        <v>0.0308345325892902</v>
      </c>
      <c r="H14" s="3" t="n">
        <f aca="false">_xlfn.STDEV.P(H3:H12)</f>
        <v>0.200493561243248</v>
      </c>
      <c r="I14" s="3" t="n">
        <f aca="false">_xlfn.STDEV.P(I3:I12)</f>
        <v>0.0452996247225074</v>
      </c>
      <c r="J14" s="3" t="n">
        <f aca="false">_xlfn.STDEV.P(J3:J12)</f>
        <v>0.0573608263538803</v>
      </c>
      <c r="K14" s="3" t="n">
        <f aca="false">_xlfn.STDEV.P(K3:K12)</f>
        <v>0.0581327111014099</v>
      </c>
      <c r="L14" s="3" t="n">
        <f aca="false">_xlfn.STDEV.P(L3:L12)</f>
        <v>0.268893315089833</v>
      </c>
      <c r="M14" s="3" t="n">
        <f aca="false">_xlfn.STDEV.P(M3:M12)</f>
        <v>0.0634359834794103</v>
      </c>
      <c r="N14" s="3" t="n">
        <f aca="false">_xlfn.STDEV.P(N3:N12)</f>
        <v>0.0947719874224446</v>
      </c>
      <c r="O14" s="3"/>
      <c r="P14" s="3" t="n">
        <f aca="false">_xlfn.STDEV.P(P3:P12)</f>
        <v>0.322540684437416</v>
      </c>
      <c r="Q14" s="3" t="n">
        <f aca="false">_xlfn.STDEV.P(Q3:Q12)</f>
        <v>0.0657114803144422</v>
      </c>
      <c r="R14" s="3" t="n">
        <f aca="false">_xlfn.STDEV.P(R3:R12)</f>
        <v>0.170448195446802</v>
      </c>
      <c r="S14" s="3" t="n">
        <f aca="false">_xlfn.STDEV.P(S3:S12)</f>
        <v>0.0319790788484222</v>
      </c>
      <c r="T14" s="3" t="n">
        <f aca="false">_xlfn.STDEV.P(T3:T12)</f>
        <v>0.196671209235317</v>
      </c>
      <c r="U14" s="3" t="n">
        <f aca="false">_xlfn.STDEV.P(U3:U12)</f>
        <v>0.0467019069088494</v>
      </c>
      <c r="V14" s="3" t="n">
        <f aca="false">_xlfn.STDEV.P(V3:V12)</f>
        <v>0.0582570496659737</v>
      </c>
      <c r="W14" s="3" t="n">
        <f aca="false">_xlfn.STDEV.P(W3:W12)</f>
        <v>0.0671796678367409</v>
      </c>
      <c r="X14" s="3" t="n">
        <f aca="false">_xlfn.STDEV.P(X3:X12)</f>
        <v>0.276297775751819</v>
      </c>
      <c r="Y14" s="3" t="n">
        <f aca="false">_xlfn.STDEV.P(Y3:Y12)</f>
        <v>0.0623664545060697</v>
      </c>
      <c r="Z14" s="3" t="n">
        <f aca="false">_xlfn.STDEV.P(Z3:Z12)</f>
        <v>0.0955964256170532</v>
      </c>
    </row>
    <row r="15" customFormat="false" ht="15" hidden="false" customHeight="false" outlineLevel="0" collapsed="false">
      <c r="C15" s="1" t="s">
        <v>66</v>
      </c>
      <c r="D15" s="3" t="n">
        <f aca="false">D13/$O$13*100</f>
        <v>45.3901379346064</v>
      </c>
      <c r="E15" s="3" t="n">
        <f aca="false">E13/$O$13*100</f>
        <v>3.40834223851511</v>
      </c>
      <c r="F15" s="3" t="n">
        <f aca="false">F13/$O$13*100</f>
        <v>15.9188984583913</v>
      </c>
      <c r="G15" s="3" t="n">
        <f aca="false">G13/$O$13*100</f>
        <v>0.0125501294451778</v>
      </c>
      <c r="H15" s="3" t="n">
        <f aca="false">H13/$O$13*100</f>
        <v>11.9256519580321</v>
      </c>
      <c r="I15" s="3" t="n">
        <f aca="false">I13/$O$13*100</f>
        <v>0.205619501371158</v>
      </c>
      <c r="J15" s="3" t="n">
        <f aca="false">J13/$O$13*100</f>
        <v>4.52573794812827</v>
      </c>
      <c r="K15" s="3" t="n">
        <f aca="false">K13/$O$13*100</f>
        <v>11.3584564043755</v>
      </c>
      <c r="L15" s="3" t="n">
        <f aca="false">L13/$O$13*100</f>
        <v>3.9351065267186</v>
      </c>
      <c r="M15" s="3" t="n">
        <f aca="false">M13/$O$13*100</f>
        <v>2.35671582340789</v>
      </c>
      <c r="N15" s="3" t="n">
        <f aca="false">N13/$O$13*100</f>
        <v>0.962783077008483</v>
      </c>
      <c r="O15" s="3"/>
    </row>
    <row r="16" customFormat="false" ht="15" hidden="false" customHeight="false" outlineLevel="0" collapsed="false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customFormat="false" ht="15" hidden="false" customHeight="false" outlineLevel="0" collapsed="false">
      <c r="A17" s="16" t="s">
        <v>121</v>
      </c>
      <c r="B17" s="16" t="s">
        <v>82</v>
      </c>
      <c r="C17" s="17" t="s">
        <v>196</v>
      </c>
      <c r="D17" s="18" t="n">
        <v>0.0953</v>
      </c>
      <c r="E17" s="18" t="n">
        <v>15.0448</v>
      </c>
      <c r="F17" s="18" t="n">
        <v>6.7019</v>
      </c>
      <c r="G17" s="18" t="n">
        <v>0.6366</v>
      </c>
      <c r="H17" s="18" t="n">
        <v>64.9785</v>
      </c>
      <c r="I17" s="18" t="n">
        <v>0.4253</v>
      </c>
      <c r="J17" s="18" t="n">
        <v>6.3584</v>
      </c>
      <c r="K17" s="18" t="n">
        <v>0.2159</v>
      </c>
      <c r="L17" s="18" t="n">
        <v>0.0278</v>
      </c>
      <c r="M17" s="18" t="n">
        <v>0.0325</v>
      </c>
      <c r="N17" s="3"/>
      <c r="O17" s="3" t="n">
        <f aca="false">SUM(D17:N17)</f>
        <v>94.517</v>
      </c>
    </row>
    <row r="18" customFormat="false" ht="15" hidden="false" customHeight="false" outlineLevel="0" collapsed="false">
      <c r="A18" s="16" t="s">
        <v>109</v>
      </c>
      <c r="B18" s="16" t="s">
        <v>82</v>
      </c>
      <c r="C18" s="17" t="s">
        <v>196</v>
      </c>
      <c r="D18" s="18" t="n">
        <v>0.0976</v>
      </c>
      <c r="E18" s="18" t="n">
        <v>15.3005</v>
      </c>
      <c r="F18" s="18" t="n">
        <v>6.7014</v>
      </c>
      <c r="G18" s="18" t="n">
        <v>0.5178</v>
      </c>
      <c r="H18" s="18" t="n">
        <v>66.2997</v>
      </c>
      <c r="I18" s="18" t="n">
        <v>0.3696</v>
      </c>
      <c r="J18" s="18" t="n">
        <v>6.4893</v>
      </c>
      <c r="K18" s="18" t="n">
        <v>0.2103</v>
      </c>
      <c r="L18" s="18" t="n">
        <v>0.0029</v>
      </c>
      <c r="M18" s="18" t="n">
        <v>0.0216</v>
      </c>
      <c r="N18" s="3"/>
      <c r="O18" s="3" t="n">
        <f aca="false">SUM(D18:N18)</f>
        <v>96.0107</v>
      </c>
    </row>
    <row r="19" customFormat="false" ht="15" hidden="false" customHeight="false" outlineLevel="0" collapsed="false">
      <c r="A19" s="16" t="s">
        <v>120</v>
      </c>
      <c r="B19" s="16" t="s">
        <v>82</v>
      </c>
      <c r="C19" s="17" t="s">
        <v>196</v>
      </c>
      <c r="D19" s="18" t="n">
        <v>0.1254</v>
      </c>
      <c r="E19" s="18" t="n">
        <v>15.1632</v>
      </c>
      <c r="F19" s="18" t="n">
        <v>6.7485</v>
      </c>
      <c r="G19" s="18" t="n">
        <v>0.3216</v>
      </c>
      <c r="H19" s="18" t="n">
        <v>65.2207</v>
      </c>
      <c r="I19" s="18" t="n">
        <v>0.4194</v>
      </c>
      <c r="J19" s="18" t="n">
        <v>6.4243</v>
      </c>
      <c r="K19" s="18" t="n">
        <v>0.2629</v>
      </c>
      <c r="L19" s="18" t="n">
        <v>0.0182</v>
      </c>
      <c r="M19" s="18" t="n">
        <v>0.0294</v>
      </c>
      <c r="N19" s="3"/>
      <c r="O19" s="3" t="n">
        <f aca="false">SUM(D19:N19)</f>
        <v>94.7336</v>
      </c>
    </row>
    <row r="20" customFormat="false" ht="15" hidden="false" customHeight="false" outlineLevel="0" collapsed="false">
      <c r="A20" s="16" t="s">
        <v>119</v>
      </c>
      <c r="B20" s="16" t="s">
        <v>82</v>
      </c>
      <c r="C20" s="17" t="s">
        <v>196</v>
      </c>
      <c r="D20" s="18" t="n">
        <v>0.1511</v>
      </c>
      <c r="E20" s="18" t="n">
        <v>15.0549</v>
      </c>
      <c r="F20" s="18" t="n">
        <v>6.4542</v>
      </c>
      <c r="G20" s="18" t="n">
        <v>0.3405</v>
      </c>
      <c r="H20" s="18" t="n">
        <v>65.6084</v>
      </c>
      <c r="I20" s="18" t="n">
        <v>0.3971</v>
      </c>
      <c r="J20" s="18" t="n">
        <v>6.5189</v>
      </c>
      <c r="K20" s="18" t="n">
        <v>0.154</v>
      </c>
      <c r="L20" s="18" t="n">
        <v>0.0201</v>
      </c>
      <c r="M20" s="18" t="n">
        <v>0.0192</v>
      </c>
      <c r="N20" s="3"/>
      <c r="O20" s="3" t="n">
        <f aca="false">SUM(D20:N20)</f>
        <v>94.7184</v>
      </c>
    </row>
    <row r="21" customFormat="false" ht="15" hidden="false" customHeight="false" outlineLevel="0" collapsed="false">
      <c r="C21" s="1" t="s">
        <v>30</v>
      </c>
      <c r="D21" s="3" t="n">
        <f aca="false">AVERAGE(D17:D20)</f>
        <v>0.11735</v>
      </c>
      <c r="E21" s="3" t="n">
        <f aca="false">AVERAGE(E17:E20)</f>
        <v>15.14085</v>
      </c>
      <c r="F21" s="3" t="n">
        <f aca="false">AVERAGE(F17:F20)</f>
        <v>6.6515</v>
      </c>
      <c r="G21" s="3" t="n">
        <f aca="false">AVERAGE(G17:G20)</f>
        <v>0.454125</v>
      </c>
      <c r="H21" s="3" t="n">
        <f aca="false">AVERAGE(H17:H20)</f>
        <v>65.526825</v>
      </c>
      <c r="I21" s="3" t="n">
        <f aca="false">AVERAGE(I17:I20)</f>
        <v>0.40285</v>
      </c>
      <c r="J21" s="3" t="n">
        <f aca="false">AVERAGE(J17:J20)</f>
        <v>6.447725</v>
      </c>
      <c r="K21" s="3" t="n">
        <f aca="false">AVERAGE(K17:K20)</f>
        <v>0.210775</v>
      </c>
      <c r="L21" s="3" t="n">
        <f aca="false">AVERAGE(L17:L20)</f>
        <v>0.01725</v>
      </c>
      <c r="M21" s="3" t="n">
        <f aca="false">AVERAGE(M17:M20)</f>
        <v>0.025675</v>
      </c>
      <c r="N21" s="3"/>
      <c r="O21" s="3" t="n">
        <f aca="false">SUM(D21:N21)</f>
        <v>94.994925</v>
      </c>
    </row>
    <row r="22" customFormat="false" ht="15" hidden="false" customHeight="false" outlineLevel="0" collapsed="false">
      <c r="C22" s="1" t="s">
        <v>81</v>
      </c>
      <c r="D22" s="3" t="n">
        <f aca="false">_xlfn.STDEV.P(D17:D20)</f>
        <v>0.0228042211004893</v>
      </c>
      <c r="E22" s="3" t="n">
        <f aca="false">_xlfn.STDEV.P(E17:E20)</f>
        <v>0.103199624514821</v>
      </c>
      <c r="F22" s="3" t="n">
        <f aca="false">_xlfn.STDEV.P(F17:F20)</f>
        <v>0.115505908939759</v>
      </c>
      <c r="G22" s="3" t="n">
        <f aca="false">_xlfn.STDEV.P(G17:G20)</f>
        <v>0.130216308022459</v>
      </c>
      <c r="H22" s="3" t="n">
        <f aca="false">_xlfn.STDEV.P(H17:H20)</f>
        <v>0.499590599266042</v>
      </c>
      <c r="I22" s="3" t="n">
        <f aca="false">_xlfn.STDEV.P(I17:I20)</f>
        <v>0.0218890954586982</v>
      </c>
      <c r="J22" s="3" t="n">
        <f aca="false">_xlfn.STDEV.P(J17:J20)</f>
        <v>0.0618911292108977</v>
      </c>
      <c r="K22" s="3" t="n">
        <f aca="false">_xlfn.STDEV.P(K17:K20)</f>
        <v>0.0386228802007308</v>
      </c>
      <c r="L22" s="3" t="n">
        <f aca="false">_xlfn.STDEV.P(L17:L20)</f>
        <v>0.00903119593409422</v>
      </c>
      <c r="M22" s="3" t="n">
        <f aca="false">_xlfn.STDEV.P(M17:M20)</f>
        <v>0.00545406958151434</v>
      </c>
      <c r="N22" s="3"/>
      <c r="O22" s="3"/>
    </row>
    <row r="23" customFormat="false" ht="15" hidden="false" customHeight="false" outlineLevel="0" collapsed="false">
      <c r="C23" s="1" t="s">
        <v>66</v>
      </c>
      <c r="D23" s="3" t="n">
        <f aca="false">D21/$O$21*100</f>
        <v>0.12353291504783</v>
      </c>
      <c r="E23" s="3" t="n">
        <f aca="false">E21/$O$21*100</f>
        <v>15.9385882982696</v>
      </c>
      <c r="F23" s="3" t="n">
        <f aca="false">F21/$O$21*100</f>
        <v>7.00195299906811</v>
      </c>
      <c r="G23" s="3" t="n">
        <f aca="false">G21/$O$21*100</f>
        <v>0.478051853822717</v>
      </c>
      <c r="H23" s="3" t="n">
        <f aca="false">H21/$O$21*100</f>
        <v>68.9792902094507</v>
      </c>
      <c r="I23" s="3" t="n">
        <f aca="false">I21/$O$21*100</f>
        <v>0.424075286127127</v>
      </c>
      <c r="J23" s="3" t="n">
        <f aca="false">J21/$O$21*100</f>
        <v>6.78744153964014</v>
      </c>
      <c r="K23" s="3" t="n">
        <f aca="false">K21/$O$21*100</f>
        <v>0.221880274130434</v>
      </c>
      <c r="L23" s="3" t="n">
        <f aca="false">L21/$O$21*100</f>
        <v>0.0181588648025145</v>
      </c>
      <c r="M23" s="3" t="n">
        <f aca="false">M21/$O$21*100</f>
        <v>0.027027759640844</v>
      </c>
      <c r="N23" s="3"/>
      <c r="O23" s="3"/>
    </row>
    <row r="24" customFormat="false" ht="15" hidden="false" customHeight="false" outlineLevel="0" collapsed="false"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customFormat="false" ht="15" hidden="false" customHeight="false" outlineLevel="0" collapsed="false">
      <c r="A25" s="16" t="s">
        <v>111</v>
      </c>
      <c r="B25" s="16" t="s">
        <v>82</v>
      </c>
      <c r="C25" s="16" t="s">
        <v>196</v>
      </c>
      <c r="D25" s="18" t="n">
        <v>38.4937</v>
      </c>
      <c r="E25" s="18" t="n">
        <v>0.1491</v>
      </c>
      <c r="F25" s="18" t="n">
        <v>0.0493</v>
      </c>
      <c r="G25" s="18" t="n">
        <v>0</v>
      </c>
      <c r="H25" s="18" t="n">
        <v>19.5722</v>
      </c>
      <c r="I25" s="18" t="n">
        <v>0.3981</v>
      </c>
      <c r="J25" s="18" t="n">
        <v>39.9441</v>
      </c>
      <c r="K25" s="18" t="n">
        <v>0.5622</v>
      </c>
      <c r="L25" s="18" t="n">
        <v>0.0064</v>
      </c>
      <c r="M25" s="18" t="n">
        <v>0.0114</v>
      </c>
      <c r="N25" s="3"/>
      <c r="O25" s="3" t="n">
        <f aca="false">SUM(D25:N25)</f>
        <v>99.1865</v>
      </c>
    </row>
    <row r="26" customFormat="false" ht="15" hidden="false" customHeight="false" outlineLevel="0" collapsed="false">
      <c r="A26" s="16" t="s">
        <v>197</v>
      </c>
      <c r="B26" s="16" t="s">
        <v>82</v>
      </c>
      <c r="C26" s="16" t="s">
        <v>196</v>
      </c>
      <c r="D26" s="18" t="n">
        <v>38.8482</v>
      </c>
      <c r="E26" s="18" t="n">
        <v>0.029</v>
      </c>
      <c r="F26" s="18" t="n">
        <v>0.0192</v>
      </c>
      <c r="G26" s="18" t="n">
        <v>0</v>
      </c>
      <c r="H26" s="18" t="n">
        <v>18.228</v>
      </c>
      <c r="I26" s="18" t="n">
        <v>0.2631</v>
      </c>
      <c r="J26" s="18" t="n">
        <v>41.187</v>
      </c>
      <c r="K26" s="18" t="n">
        <v>0.4399</v>
      </c>
      <c r="L26" s="18" t="n">
        <v>0.0207</v>
      </c>
      <c r="M26" s="18" t="n">
        <v>0.0044</v>
      </c>
      <c r="N26" s="3"/>
      <c r="O26" s="3" t="n">
        <f aca="false">SUM(D26:N26)</f>
        <v>99.0395</v>
      </c>
    </row>
    <row r="27" customFormat="false" ht="15" hidden="false" customHeight="false" outlineLevel="0" collapsed="false">
      <c r="A27" s="16" t="s">
        <v>113</v>
      </c>
      <c r="B27" s="16" t="s">
        <v>82</v>
      </c>
      <c r="C27" s="16" t="s">
        <v>196</v>
      </c>
      <c r="D27" s="18" t="n">
        <v>38.9117</v>
      </c>
      <c r="E27" s="18" t="n">
        <v>0.1613</v>
      </c>
      <c r="F27" s="18" t="n">
        <v>0.0176</v>
      </c>
      <c r="G27" s="18" t="n">
        <v>0.0447</v>
      </c>
      <c r="H27" s="18" t="n">
        <v>19.6384</v>
      </c>
      <c r="I27" s="18" t="n">
        <v>0.3339</v>
      </c>
      <c r="J27" s="18" t="n">
        <v>40.3085</v>
      </c>
      <c r="K27" s="18" t="n">
        <v>0.5356</v>
      </c>
      <c r="L27" s="18" t="n">
        <v>0</v>
      </c>
      <c r="M27" s="18" t="n">
        <v>0.007</v>
      </c>
      <c r="N27" s="3"/>
      <c r="O27" s="3" t="n">
        <f aca="false">SUM(D27:N27)</f>
        <v>99.9587</v>
      </c>
    </row>
    <row r="28" customFormat="false" ht="15" hidden="false" customHeight="false" outlineLevel="0" collapsed="false">
      <c r="A28" s="16" t="s">
        <v>123</v>
      </c>
      <c r="B28" s="16" t="s">
        <v>82</v>
      </c>
      <c r="C28" s="16" t="s">
        <v>196</v>
      </c>
      <c r="D28" s="18" t="n">
        <v>39.1377</v>
      </c>
      <c r="E28" s="18" t="n">
        <v>0.0083</v>
      </c>
      <c r="F28" s="18" t="n">
        <v>0.0136</v>
      </c>
      <c r="G28" s="18" t="n">
        <v>0.0107</v>
      </c>
      <c r="H28" s="18" t="n">
        <v>18.6438</v>
      </c>
      <c r="I28" s="18" t="n">
        <v>0.3179</v>
      </c>
      <c r="J28" s="18" t="n">
        <v>41.3355</v>
      </c>
      <c r="K28" s="18" t="n">
        <v>0.4266</v>
      </c>
      <c r="L28" s="18" t="n">
        <v>0.0013</v>
      </c>
      <c r="M28" s="18" t="n">
        <v>0.0097</v>
      </c>
      <c r="N28" s="3"/>
      <c r="O28" s="3" t="n">
        <f aca="false">SUM(D28:N28)</f>
        <v>99.9051</v>
      </c>
    </row>
    <row r="29" customFormat="false" ht="15" hidden="false" customHeight="false" outlineLevel="0" collapsed="false">
      <c r="A29" s="16" t="s">
        <v>122</v>
      </c>
      <c r="B29" s="16" t="s">
        <v>82</v>
      </c>
      <c r="C29" s="16" t="s">
        <v>196</v>
      </c>
      <c r="D29" s="18" t="n">
        <v>39.1455</v>
      </c>
      <c r="E29" s="18" t="n">
        <v>0.054</v>
      </c>
      <c r="F29" s="18" t="n">
        <v>0.0205</v>
      </c>
      <c r="G29" s="18" t="n">
        <v>0</v>
      </c>
      <c r="H29" s="18" t="n">
        <v>18.6402</v>
      </c>
      <c r="I29" s="18" t="n">
        <v>0.2905</v>
      </c>
      <c r="J29" s="18" t="n">
        <v>41.5528</v>
      </c>
      <c r="K29" s="18" t="n">
        <v>0.4538</v>
      </c>
      <c r="L29" s="18" t="n">
        <v>0.0139</v>
      </c>
      <c r="M29" s="18" t="n">
        <v>0.0075</v>
      </c>
      <c r="N29" s="3"/>
      <c r="O29" s="3" t="n">
        <f aca="false">SUM(D29:N29)</f>
        <v>100.1787</v>
      </c>
    </row>
    <row r="30" customFormat="false" ht="15" hidden="false" customHeight="false" outlineLevel="0" collapsed="false">
      <c r="A30" s="16" t="s">
        <v>108</v>
      </c>
      <c r="B30" s="16" t="s">
        <v>82</v>
      </c>
      <c r="C30" s="16" t="s">
        <v>196</v>
      </c>
      <c r="D30" s="18" t="n">
        <v>39.2423</v>
      </c>
      <c r="E30" s="18" t="n">
        <v>0.0977</v>
      </c>
      <c r="F30" s="18" t="n">
        <v>0.0152</v>
      </c>
      <c r="G30" s="18" t="n">
        <v>0.0214</v>
      </c>
      <c r="H30" s="18" t="n">
        <v>18.188</v>
      </c>
      <c r="I30" s="18" t="n">
        <v>0.2929</v>
      </c>
      <c r="J30" s="18" t="n">
        <v>41.4717</v>
      </c>
      <c r="K30" s="18" t="n">
        <v>0.4508</v>
      </c>
      <c r="L30" s="18" t="n">
        <v>0.0202</v>
      </c>
      <c r="M30" s="18" t="n">
        <v>0.0053</v>
      </c>
      <c r="N30" s="3"/>
      <c r="O30" s="3" t="n">
        <f aca="false">SUM(D30:N30)</f>
        <v>99.8055</v>
      </c>
    </row>
    <row r="31" customFormat="false" ht="15" hidden="false" customHeight="false" outlineLevel="0" collapsed="false">
      <c r="A31" s="16" t="s">
        <v>198</v>
      </c>
      <c r="B31" s="16" t="s">
        <v>82</v>
      </c>
      <c r="C31" s="16" t="s">
        <v>196</v>
      </c>
      <c r="D31" s="18" t="n">
        <v>39.3046</v>
      </c>
      <c r="E31" s="18" t="n">
        <v>0.0436</v>
      </c>
      <c r="F31" s="18" t="n">
        <v>0.0132</v>
      </c>
      <c r="G31" s="18" t="n">
        <v>0.0021</v>
      </c>
      <c r="H31" s="18" t="n">
        <v>18.4852</v>
      </c>
      <c r="I31" s="18" t="n">
        <v>0.3565</v>
      </c>
      <c r="J31" s="18" t="n">
        <v>41.2315</v>
      </c>
      <c r="K31" s="18" t="n">
        <v>0.4722</v>
      </c>
      <c r="L31" s="18" t="n">
        <v>0.0271</v>
      </c>
      <c r="M31" s="18" t="n">
        <v>0</v>
      </c>
      <c r="N31" s="3"/>
      <c r="O31" s="3" t="n">
        <f aca="false">SUM(D31:N31)</f>
        <v>99.936</v>
      </c>
    </row>
    <row r="32" customFormat="false" ht="15" hidden="false" customHeight="false" outlineLevel="0" collapsed="false">
      <c r="A32" s="16" t="s">
        <v>199</v>
      </c>
      <c r="B32" s="16" t="s">
        <v>82</v>
      </c>
      <c r="C32" s="16" t="s">
        <v>196</v>
      </c>
      <c r="D32" s="18" t="n">
        <v>39.3732</v>
      </c>
      <c r="E32" s="18" t="n">
        <v>0.031</v>
      </c>
      <c r="F32" s="18" t="n">
        <v>0.0431</v>
      </c>
      <c r="G32" s="18" t="n">
        <v>0.049</v>
      </c>
      <c r="H32" s="18" t="n">
        <v>18.465</v>
      </c>
      <c r="I32" s="18" t="n">
        <v>0.3485</v>
      </c>
      <c r="J32" s="18" t="n">
        <v>41.3706</v>
      </c>
      <c r="K32" s="18" t="n">
        <v>0.4465</v>
      </c>
      <c r="L32" s="18" t="n">
        <v>0.0069</v>
      </c>
      <c r="M32" s="18" t="n">
        <v>0.0083</v>
      </c>
      <c r="N32" s="3"/>
      <c r="O32" s="3" t="n">
        <f aca="false">SUM(D32:N32)</f>
        <v>100.1421</v>
      </c>
    </row>
    <row r="33" customFormat="false" ht="15" hidden="false" customHeight="false" outlineLevel="0" collapsed="false">
      <c r="A33" s="16" t="s">
        <v>200</v>
      </c>
      <c r="B33" s="16" t="s">
        <v>82</v>
      </c>
      <c r="C33" s="16" t="s">
        <v>196</v>
      </c>
      <c r="D33" s="18" t="n">
        <v>39.3951</v>
      </c>
      <c r="E33" s="18" t="n">
        <v>0.0207</v>
      </c>
      <c r="F33" s="18" t="n">
        <v>0.0464</v>
      </c>
      <c r="G33" s="18" t="n">
        <v>0.0534</v>
      </c>
      <c r="H33" s="18" t="n">
        <v>18.0215</v>
      </c>
      <c r="I33" s="18" t="n">
        <v>0.2968</v>
      </c>
      <c r="J33" s="18" t="n">
        <v>41.7303</v>
      </c>
      <c r="K33" s="18" t="n">
        <v>0.4257</v>
      </c>
      <c r="L33" s="18" t="n">
        <v>0.0063</v>
      </c>
      <c r="M33" s="18" t="n">
        <v>0.0172</v>
      </c>
      <c r="N33" s="3"/>
      <c r="O33" s="3" t="n">
        <f aca="false">SUM(D33:N33)</f>
        <v>100.0134</v>
      </c>
    </row>
    <row r="34" customFormat="false" ht="15" hidden="false" customHeight="false" outlineLevel="0" collapsed="false">
      <c r="A34" s="16" t="s">
        <v>114</v>
      </c>
      <c r="B34" s="16" t="s">
        <v>82</v>
      </c>
      <c r="C34" s="16" t="s">
        <v>196</v>
      </c>
      <c r="D34" s="18" t="n">
        <v>39.5905</v>
      </c>
      <c r="E34" s="18" t="n">
        <v>0.0187</v>
      </c>
      <c r="F34" s="18" t="n">
        <v>0.032</v>
      </c>
      <c r="G34" s="18" t="n">
        <v>0</v>
      </c>
      <c r="H34" s="18" t="n">
        <v>18.0196</v>
      </c>
      <c r="I34" s="18" t="n">
        <v>0.2821</v>
      </c>
      <c r="J34" s="18" t="n">
        <v>41.8998</v>
      </c>
      <c r="K34" s="18" t="n">
        <v>0.4196</v>
      </c>
      <c r="L34" s="18" t="n">
        <v>0.0238</v>
      </c>
      <c r="M34" s="18" t="n">
        <v>0.0212</v>
      </c>
      <c r="N34" s="3"/>
      <c r="O34" s="3" t="n">
        <f aca="false">SUM(D34:N34)</f>
        <v>100.3073</v>
      </c>
    </row>
    <row r="35" customFormat="false" ht="15" hidden="false" customHeight="false" outlineLevel="0" collapsed="false">
      <c r="C35" s="1" t="s">
        <v>32</v>
      </c>
      <c r="D35" s="3" t="n">
        <f aca="false">AVERAGE(D24:D34)</f>
        <v>39.14425</v>
      </c>
      <c r="E35" s="3" t="n">
        <f aca="false">AVERAGE(E24:E34)</f>
        <v>0.06134</v>
      </c>
      <c r="F35" s="3" t="n">
        <f aca="false">AVERAGE(F24:F34)</f>
        <v>0.02701</v>
      </c>
      <c r="G35" s="3" t="n">
        <f aca="false">AVERAGE(G24:G34)</f>
        <v>0.01813</v>
      </c>
      <c r="H35" s="3" t="n">
        <f aca="false">AVERAGE(H24:H34)</f>
        <v>18.59019</v>
      </c>
      <c r="I35" s="3" t="n">
        <f aca="false">AVERAGE(I24:I34)</f>
        <v>0.31803</v>
      </c>
      <c r="J35" s="3" t="n">
        <f aca="false">AVERAGE(J24:J34)</f>
        <v>41.20318</v>
      </c>
      <c r="K35" s="3" t="n">
        <f aca="false">AVERAGE(K24:K34)</f>
        <v>0.46329</v>
      </c>
      <c r="L35" s="3" t="n">
        <f aca="false">AVERAGE(L24:L34)</f>
        <v>0.01266</v>
      </c>
      <c r="M35" s="3" t="n">
        <f aca="false">AVERAGE(M24:M34)</f>
        <v>0.0092</v>
      </c>
      <c r="N35" s="3"/>
      <c r="O35" s="3" t="n">
        <f aca="false">SUM(D35:N35)</f>
        <v>99.84728</v>
      </c>
    </row>
    <row r="36" customFormat="false" ht="15" hidden="false" customHeight="false" outlineLevel="0" collapsed="false">
      <c r="C36" s="1" t="s">
        <v>81</v>
      </c>
      <c r="D36" s="3" t="n">
        <f aca="false">_xlfn.STDEV.P(D24:D34)</f>
        <v>0.302455564504937</v>
      </c>
      <c r="E36" s="3" t="n">
        <f aca="false">_xlfn.STDEV.P(E24:E34)</f>
        <v>0.052567921777449</v>
      </c>
      <c r="F36" s="3" t="n">
        <f aca="false">_xlfn.STDEV.P(F24:F34)</f>
        <v>0.0136328610350139</v>
      </c>
      <c r="G36" s="3" t="n">
        <f aca="false">_xlfn.STDEV.P(G24:G34)</f>
        <v>0.0213085452342482</v>
      </c>
      <c r="H36" s="3" t="n">
        <f aca="false">_xlfn.STDEV.P(H24:H34)</f>
        <v>0.551096903366368</v>
      </c>
      <c r="I36" s="3" t="n">
        <f aca="false">_xlfn.STDEV.P(I24:I34)</f>
        <v>0.0390126146265538</v>
      </c>
      <c r="J36" s="3" t="n">
        <f aca="false">_xlfn.STDEV.P(J24:J34)</f>
        <v>0.582220633093675</v>
      </c>
      <c r="K36" s="3" t="n">
        <f aca="false">_xlfn.STDEV.P(K24:K34)</f>
        <v>0.0456446590522922</v>
      </c>
      <c r="L36" s="3" t="n">
        <f aca="false">_xlfn.STDEV.P(L24:L34)</f>
        <v>0.00926166291764065</v>
      </c>
      <c r="M36" s="3" t="n">
        <f aca="false">_xlfn.STDEV.P(M24:M34)</f>
        <v>0.00586958260866989</v>
      </c>
      <c r="N36" s="3"/>
      <c r="O36" s="3"/>
    </row>
    <row r="37" customFormat="false" ht="15" hidden="false" customHeight="false" outlineLevel="0" collapsed="false">
      <c r="C37" s="1" t="s">
        <v>66</v>
      </c>
      <c r="D37" s="3" t="n">
        <f aca="false">D35/$O$35*100</f>
        <v>39.2041225359369</v>
      </c>
      <c r="E37" s="3" t="n">
        <f aca="false">E35/$O$35*100</f>
        <v>0.06143382173255</v>
      </c>
      <c r="F37" s="3" t="n">
        <f aca="false">F35/$O$35*100</f>
        <v>0.0270513127648545</v>
      </c>
      <c r="G37" s="3" t="n">
        <f aca="false">G35/$O$35*100</f>
        <v>0.0181577304859982</v>
      </c>
      <c r="H37" s="3" t="n">
        <f aca="false">H35/$O$35*100</f>
        <v>18.6186243631274</v>
      </c>
      <c r="I37" s="3" t="n">
        <f aca="false">I35/$O$35*100</f>
        <v>0.318516438304579</v>
      </c>
      <c r="J37" s="3" t="n">
        <f aca="false">J35/$O$35*100</f>
        <v>41.2662017433024</v>
      </c>
      <c r="K37" s="3" t="n">
        <f aca="false">K35/$O$35*100</f>
        <v>0.463998618690464</v>
      </c>
      <c r="L37" s="3" t="n">
        <f aca="false">L35/$O$35*100</f>
        <v>0.0126793639245856</v>
      </c>
      <c r="M37" s="3" t="n">
        <f aca="false">M35/$O$35*100</f>
        <v>0.00921407173034658</v>
      </c>
      <c r="N37" s="3"/>
      <c r="O37" s="3"/>
    </row>
    <row r="38" customFormat="false" ht="15" hidden="false" customHeight="false" outlineLevel="0" collapsed="false"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customFormat="false" ht="15" hidden="false" customHeight="false" outlineLevel="0" collapsed="false">
      <c r="A39" s="16" t="s">
        <v>117</v>
      </c>
      <c r="B39" s="16" t="s">
        <v>82</v>
      </c>
      <c r="C39" s="16" t="s">
        <v>196</v>
      </c>
      <c r="D39" s="18" t="n">
        <v>41.8124</v>
      </c>
      <c r="E39" s="18" t="n">
        <v>4.6303</v>
      </c>
      <c r="F39" s="18" t="n">
        <v>10.3128</v>
      </c>
      <c r="G39" s="18" t="n">
        <v>0</v>
      </c>
      <c r="H39" s="18" t="n">
        <v>8.5539</v>
      </c>
      <c r="I39" s="18" t="n">
        <v>0.05</v>
      </c>
      <c r="J39" s="18" t="n">
        <v>10.2627</v>
      </c>
      <c r="K39" s="18" t="n">
        <v>22.7531</v>
      </c>
      <c r="L39" s="18" t="n">
        <v>0.4985</v>
      </c>
      <c r="M39" s="18" t="n">
        <v>0.0385</v>
      </c>
      <c r="N39" s="3"/>
      <c r="O39" s="3" t="n">
        <f aca="false">SUM(D39:N39)</f>
        <v>98.9122</v>
      </c>
    </row>
    <row r="40" customFormat="false" ht="15" hidden="false" customHeight="false" outlineLevel="0" collapsed="false">
      <c r="A40" s="16" t="s">
        <v>201</v>
      </c>
      <c r="B40" s="16" t="s">
        <v>82</v>
      </c>
      <c r="C40" s="16" t="s">
        <v>196</v>
      </c>
      <c r="D40" s="18" t="n">
        <v>42.1598</v>
      </c>
      <c r="E40" s="18" t="n">
        <v>4.3642</v>
      </c>
      <c r="F40" s="18" t="n">
        <v>9.6066</v>
      </c>
      <c r="G40" s="18" t="n">
        <v>0.1433</v>
      </c>
      <c r="H40" s="18" t="n">
        <v>8.7112</v>
      </c>
      <c r="I40" s="18" t="n">
        <v>0.0925</v>
      </c>
      <c r="J40" s="18" t="n">
        <v>10.8042</v>
      </c>
      <c r="K40" s="18" t="n">
        <v>22.8485</v>
      </c>
      <c r="L40" s="18" t="n">
        <v>0.4427</v>
      </c>
      <c r="M40" s="18" t="n">
        <v>0.0076</v>
      </c>
      <c r="N40" s="3"/>
      <c r="O40" s="3" t="n">
        <f aca="false">SUM(D40:N40)</f>
        <v>99.1806</v>
      </c>
    </row>
    <row r="41" customFormat="false" ht="15" hidden="false" customHeight="false" outlineLevel="0" collapsed="false">
      <c r="A41" s="16" t="s">
        <v>202</v>
      </c>
      <c r="B41" s="16" t="s">
        <v>82</v>
      </c>
      <c r="C41" s="16" t="s">
        <v>196</v>
      </c>
      <c r="D41" s="18" t="n">
        <v>42.1849</v>
      </c>
      <c r="E41" s="18" t="n">
        <v>4.5486</v>
      </c>
      <c r="F41" s="18" t="n">
        <v>9.8439</v>
      </c>
      <c r="G41" s="18" t="n">
        <v>0.0403</v>
      </c>
      <c r="H41" s="18" t="n">
        <v>8.373</v>
      </c>
      <c r="I41" s="18" t="n">
        <v>0.0983</v>
      </c>
      <c r="J41" s="18" t="n">
        <v>10.8658</v>
      </c>
      <c r="K41" s="18" t="n">
        <v>22.7635</v>
      </c>
      <c r="L41" s="18" t="n">
        <v>0.4519</v>
      </c>
      <c r="M41" s="18" t="n">
        <v>0.0295</v>
      </c>
      <c r="N41" s="3"/>
      <c r="O41" s="3" t="n">
        <f aca="false">SUM(D41:N41)</f>
        <v>99.1997</v>
      </c>
    </row>
    <row r="42" customFormat="false" ht="15" hidden="false" customHeight="false" outlineLevel="0" collapsed="false">
      <c r="A42" s="16" t="s">
        <v>110</v>
      </c>
      <c r="B42" s="16" t="s">
        <v>82</v>
      </c>
      <c r="C42" s="16" t="s">
        <v>196</v>
      </c>
      <c r="D42" s="18" t="n">
        <v>42.4759</v>
      </c>
      <c r="E42" s="18" t="n">
        <v>4.5977</v>
      </c>
      <c r="F42" s="18" t="n">
        <v>9.6952</v>
      </c>
      <c r="G42" s="18" t="n">
        <v>0.0402</v>
      </c>
      <c r="H42" s="18" t="n">
        <v>8.8004</v>
      </c>
      <c r="I42" s="18" t="n">
        <v>0.1327</v>
      </c>
      <c r="J42" s="18" t="n">
        <v>10.6557</v>
      </c>
      <c r="K42" s="18" t="n">
        <v>22.7362</v>
      </c>
      <c r="L42" s="18" t="n">
        <v>0.5473</v>
      </c>
      <c r="M42" s="18" t="n">
        <v>0.0783</v>
      </c>
      <c r="N42" s="3"/>
      <c r="O42" s="3" t="n">
        <f aca="false">SUM(D42:N42)</f>
        <v>99.7596</v>
      </c>
    </row>
    <row r="43" customFormat="false" ht="15" hidden="false" customHeight="false" outlineLevel="0" collapsed="false">
      <c r="A43" s="16" t="s">
        <v>203</v>
      </c>
      <c r="B43" s="16" t="s">
        <v>82</v>
      </c>
      <c r="C43" s="16" t="s">
        <v>196</v>
      </c>
      <c r="D43" s="18" t="n">
        <v>43.1393</v>
      </c>
      <c r="E43" s="18" t="n">
        <v>4.0848</v>
      </c>
      <c r="F43" s="18" t="n">
        <v>8.9818</v>
      </c>
      <c r="G43" s="18" t="n">
        <v>0.0179</v>
      </c>
      <c r="H43" s="18" t="n">
        <v>8.2394</v>
      </c>
      <c r="I43" s="18" t="n">
        <v>0.1216</v>
      </c>
      <c r="J43" s="18" t="n">
        <v>11.221</v>
      </c>
      <c r="K43" s="18" t="n">
        <v>22.8368</v>
      </c>
      <c r="L43" s="18" t="n">
        <v>0.4006</v>
      </c>
      <c r="M43" s="18" t="n">
        <v>0.0131</v>
      </c>
      <c r="N43" s="3"/>
      <c r="O43" s="3" t="n">
        <f aca="false">SUM(D43:N43)</f>
        <v>99.0563</v>
      </c>
    </row>
    <row r="44" customFormat="false" ht="15" hidden="false" customHeight="false" outlineLevel="0" collapsed="false">
      <c r="A44" s="16" t="s">
        <v>106</v>
      </c>
      <c r="B44" s="16" t="s">
        <v>82</v>
      </c>
      <c r="C44" s="16" t="s">
        <v>196</v>
      </c>
      <c r="D44" s="18" t="n">
        <v>43.354</v>
      </c>
      <c r="E44" s="18" t="n">
        <v>4.1023</v>
      </c>
      <c r="F44" s="18" t="n">
        <v>8.7337</v>
      </c>
      <c r="G44" s="18" t="n">
        <v>0</v>
      </c>
      <c r="H44" s="18" t="n">
        <v>8.084</v>
      </c>
      <c r="I44" s="18" t="n">
        <v>0.1037</v>
      </c>
      <c r="J44" s="18" t="n">
        <v>11.3571</v>
      </c>
      <c r="K44" s="18" t="n">
        <v>22.8828</v>
      </c>
      <c r="L44" s="18" t="n">
        <v>0.4011</v>
      </c>
      <c r="M44" s="18" t="n">
        <v>0.0271</v>
      </c>
      <c r="N44" s="3"/>
      <c r="O44" s="3" t="n">
        <f aca="false">SUM(D44:N44)</f>
        <v>99.0458</v>
      </c>
    </row>
    <row r="45" customFormat="false" ht="15" hidden="false" customHeight="false" outlineLevel="0" collapsed="false">
      <c r="A45" s="16" t="s">
        <v>116</v>
      </c>
      <c r="B45" s="16" t="s">
        <v>82</v>
      </c>
      <c r="C45" s="16" t="s">
        <v>196</v>
      </c>
      <c r="D45" s="18" t="n">
        <v>43.3801</v>
      </c>
      <c r="E45" s="18" t="n">
        <v>4.1791</v>
      </c>
      <c r="F45" s="18" t="n">
        <v>9.3643</v>
      </c>
      <c r="G45" s="18" t="n">
        <v>0.0493</v>
      </c>
      <c r="H45" s="18" t="n">
        <v>8.383</v>
      </c>
      <c r="I45" s="18" t="n">
        <v>0.1373</v>
      </c>
      <c r="J45" s="18" t="n">
        <v>11.0992</v>
      </c>
      <c r="K45" s="18" t="n">
        <v>22.864</v>
      </c>
      <c r="L45" s="18" t="n">
        <v>0.4085</v>
      </c>
      <c r="M45" s="18" t="n">
        <v>0.0025</v>
      </c>
      <c r="N45" s="3"/>
      <c r="O45" s="3" t="n">
        <f aca="false">SUM(D45:N45)</f>
        <v>99.8673</v>
      </c>
    </row>
    <row r="46" customFormat="false" ht="15" hidden="false" customHeight="false" outlineLevel="0" collapsed="false">
      <c r="A46" s="16" t="s">
        <v>115</v>
      </c>
      <c r="B46" s="16" t="s">
        <v>82</v>
      </c>
      <c r="C46" s="16" t="s">
        <v>196</v>
      </c>
      <c r="D46" s="18" t="n">
        <v>44.2659</v>
      </c>
      <c r="E46" s="18" t="n">
        <v>3.5551</v>
      </c>
      <c r="F46" s="18" t="n">
        <v>8.4033</v>
      </c>
      <c r="G46" s="18" t="n">
        <v>0.1392</v>
      </c>
      <c r="H46" s="18" t="n">
        <v>7.8023</v>
      </c>
      <c r="I46" s="18" t="n">
        <v>0.0845</v>
      </c>
      <c r="J46" s="18" t="n">
        <v>11.5662</v>
      </c>
      <c r="K46" s="18" t="n">
        <v>22.8673</v>
      </c>
      <c r="L46" s="18" t="n">
        <v>0.4214</v>
      </c>
      <c r="M46" s="18" t="n">
        <v>0.0127</v>
      </c>
      <c r="N46" s="3"/>
      <c r="O46" s="3" t="n">
        <f aca="false">SUM(D46:N46)</f>
        <v>99.1179</v>
      </c>
    </row>
    <row r="47" customFormat="false" ht="15" hidden="false" customHeight="false" outlineLevel="0" collapsed="false">
      <c r="A47" s="16" t="s">
        <v>204</v>
      </c>
      <c r="B47" s="16" t="s">
        <v>82</v>
      </c>
      <c r="C47" s="16" t="s">
        <v>196</v>
      </c>
      <c r="D47" s="18" t="n">
        <v>44.6334</v>
      </c>
      <c r="E47" s="18" t="n">
        <v>3.6416</v>
      </c>
      <c r="F47" s="18" t="n">
        <v>8.2026</v>
      </c>
      <c r="G47" s="18" t="n">
        <v>0</v>
      </c>
      <c r="H47" s="18" t="n">
        <v>8.0526</v>
      </c>
      <c r="I47" s="18" t="n">
        <v>0.1245</v>
      </c>
      <c r="J47" s="18" t="n">
        <v>11.6572</v>
      </c>
      <c r="K47" s="18" t="n">
        <v>22.8174</v>
      </c>
      <c r="L47" s="18" t="n">
        <v>0.4047</v>
      </c>
      <c r="M47" s="18" t="n">
        <v>0.0199</v>
      </c>
      <c r="N47" s="3"/>
      <c r="O47" s="3" t="n">
        <f aca="false">SUM(D47:N47)</f>
        <v>99.5539</v>
      </c>
    </row>
    <row r="48" customFormat="false" ht="15" hidden="false" customHeight="false" outlineLevel="0" collapsed="false">
      <c r="A48" s="16" t="s">
        <v>107</v>
      </c>
      <c r="B48" s="16" t="s">
        <v>82</v>
      </c>
      <c r="C48" s="16" t="s">
        <v>196</v>
      </c>
      <c r="D48" s="18" t="n">
        <v>45.4415</v>
      </c>
      <c r="E48" s="18" t="n">
        <v>2.8925</v>
      </c>
      <c r="F48" s="18" t="n">
        <v>7.5983</v>
      </c>
      <c r="G48" s="18" t="n">
        <v>0.027</v>
      </c>
      <c r="H48" s="18" t="n">
        <v>8.1621</v>
      </c>
      <c r="I48" s="18" t="n">
        <v>0.1189</v>
      </c>
      <c r="J48" s="18" t="n">
        <v>12.1475</v>
      </c>
      <c r="K48" s="18" t="n">
        <v>23.0515</v>
      </c>
      <c r="L48" s="18" t="n">
        <v>0.4059</v>
      </c>
      <c r="M48" s="18" t="n">
        <v>0.0102</v>
      </c>
      <c r="N48" s="3"/>
      <c r="O48" s="3" t="n">
        <f aca="false">SUM(D48:N48)</f>
        <v>99.8554</v>
      </c>
    </row>
    <row r="49" customFormat="false" ht="15" hidden="false" customHeight="false" outlineLevel="0" collapsed="false">
      <c r="A49" s="16" t="s">
        <v>118</v>
      </c>
      <c r="B49" s="16" t="s">
        <v>82</v>
      </c>
      <c r="C49" s="16" t="s">
        <v>196</v>
      </c>
      <c r="D49" s="18" t="n">
        <v>46.5594</v>
      </c>
      <c r="E49" s="18" t="n">
        <v>2.4606</v>
      </c>
      <c r="F49" s="18" t="n">
        <v>5.8666</v>
      </c>
      <c r="G49" s="18" t="n">
        <v>0.0719</v>
      </c>
      <c r="H49" s="18" t="n">
        <v>8.1251</v>
      </c>
      <c r="I49" s="18" t="n">
        <v>0.1414</v>
      </c>
      <c r="J49" s="18" t="n">
        <v>12.7688</v>
      </c>
      <c r="K49" s="18" t="n">
        <v>22.3112</v>
      </c>
      <c r="L49" s="18" t="n">
        <v>0.3627</v>
      </c>
      <c r="M49" s="18" t="n">
        <v>0.0238</v>
      </c>
      <c r="N49" s="3"/>
      <c r="O49" s="3" t="n">
        <f aca="false">SUM(D49:N49)</f>
        <v>98.6915</v>
      </c>
    </row>
    <row r="50" customFormat="false" ht="15" hidden="false" customHeight="false" outlineLevel="0" collapsed="false">
      <c r="C50" s="1" t="s">
        <v>35</v>
      </c>
      <c r="D50" s="3" t="n">
        <f aca="false">AVERAGE(D39:D49)</f>
        <v>43.5824181818182</v>
      </c>
      <c r="E50" s="3" t="n">
        <f aca="false">AVERAGE(E38:E49)</f>
        <v>3.91425454545455</v>
      </c>
      <c r="F50" s="3" t="n">
        <f aca="false">AVERAGE(F38:F49)</f>
        <v>8.78264545454545</v>
      </c>
      <c r="G50" s="3" t="n">
        <f aca="false">AVERAGE(G38:G49)</f>
        <v>0.0481</v>
      </c>
      <c r="H50" s="3" t="n">
        <f aca="false">AVERAGE(H38:H49)</f>
        <v>8.29881818181818</v>
      </c>
      <c r="I50" s="3" t="n">
        <f aca="false">AVERAGE(I38:I49)</f>
        <v>0.109581818181818</v>
      </c>
      <c r="J50" s="3" t="n">
        <f aca="false">AVERAGE(J38:J49)</f>
        <v>11.3095818181818</v>
      </c>
      <c r="K50" s="3" t="n">
        <f aca="false">AVERAGE(K38:K49)</f>
        <v>22.7938454545455</v>
      </c>
      <c r="L50" s="3" t="n">
        <f aca="false">AVERAGE(L38:L49)</f>
        <v>0.431390909090909</v>
      </c>
      <c r="M50" s="3" t="n">
        <f aca="false">AVERAGE(M38:M49)</f>
        <v>0.0239272727272727</v>
      </c>
      <c r="N50" s="3"/>
      <c r="O50" s="3" t="n">
        <f aca="false">SUM(D50:N50)</f>
        <v>99.2945636363636</v>
      </c>
    </row>
    <row r="51" customFormat="false" ht="15" hidden="false" customHeight="false" outlineLevel="0" collapsed="false">
      <c r="C51" s="1" t="s">
        <v>81</v>
      </c>
      <c r="D51" s="3" t="n">
        <f aca="false">_xlfn.STDEV.P(D39:D49)</f>
        <v>1.43063951931116</v>
      </c>
      <c r="E51" s="3" t="n">
        <f aca="false">_xlfn.STDEV.P(E38:E49)</f>
        <v>0.679550666200751</v>
      </c>
      <c r="F51" s="3" t="n">
        <f aca="false">_xlfn.STDEV.P(F38:F49)</f>
        <v>1.19643493867378</v>
      </c>
      <c r="G51" s="3" t="n">
        <f aca="false">_xlfn.STDEV.P(G38:G49)</f>
        <v>0.0489447369257132</v>
      </c>
      <c r="H51" s="3" t="n">
        <f aca="false">_xlfn.STDEV.P(H38:H49)</f>
        <v>0.286832272237094</v>
      </c>
      <c r="I51" s="3" t="n">
        <f aca="false">_xlfn.STDEV.P(I38:I49)</f>
        <v>0.0259399943289339</v>
      </c>
      <c r="J51" s="3" t="n">
        <f aca="false">_xlfn.STDEV.P(J38:J49)</f>
        <v>0.67745225637636</v>
      </c>
      <c r="K51" s="3" t="n">
        <f aca="false">_xlfn.STDEV.P(K38:K49)</f>
        <v>0.17290399524085</v>
      </c>
      <c r="L51" s="3" t="n">
        <f aca="false">_xlfn.STDEV.P(L38:L49)</f>
        <v>0.049595755950126</v>
      </c>
      <c r="M51" s="3" t="n">
        <f aca="false">_xlfn.STDEV.P(M38:M49)</f>
        <v>0.0199625599974776</v>
      </c>
      <c r="N51" s="3"/>
      <c r="O51" s="3"/>
    </row>
    <row r="52" customFormat="false" ht="15" hidden="false" customHeight="false" outlineLevel="0" collapsed="false">
      <c r="C52" s="1" t="s">
        <v>66</v>
      </c>
      <c r="D52" s="3" t="n">
        <f aca="false">D50/$O$50*100</f>
        <v>43.8920486537668</v>
      </c>
      <c r="E52" s="3" t="n">
        <f aca="false">E50/$O$50*100</f>
        <v>3.94206329340378</v>
      </c>
      <c r="F52" s="3" t="n">
        <f aca="false">F50/$O$50*100</f>
        <v>8.84504159433062</v>
      </c>
      <c r="G52" s="3" t="n">
        <f aca="false">G50/$O$50*100</f>
        <v>0.0484417255471828</v>
      </c>
      <c r="H52" s="3" t="n">
        <f aca="false">H50/$O$50*100</f>
        <v>8.3577769798255</v>
      </c>
      <c r="I52" s="3" t="n">
        <f aca="false">I50/$O$50*100</f>
        <v>0.110360340152285</v>
      </c>
      <c r="J52" s="3" t="n">
        <f aca="false">J50/$O$50*100</f>
        <v>11.3899305299329</v>
      </c>
      <c r="K52" s="3" t="n">
        <f aca="false">K50/$O$50*100</f>
        <v>22.9557839017462</v>
      </c>
      <c r="L52" s="3" t="n">
        <f aca="false">L50/$O$50*100</f>
        <v>0.434455717707515</v>
      </c>
      <c r="M52" s="3" t="n">
        <f aca="false">M50/$O$50*100</f>
        <v>0.0240972635872586</v>
      </c>
      <c r="N52" s="3"/>
      <c r="O52" s="3"/>
    </row>
    <row r="53" customFormat="false" ht="15" hidden="false" customHeight="false" outlineLevel="0" collapsed="false"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</row>
    <row r="54" customFormat="false" ht="15" hidden="false" customHeight="false" outlineLevel="0" collapsed="false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6"/>
      <c r="AO54" s="16"/>
      <c r="AP54" s="16"/>
      <c r="AQ54" s="16"/>
      <c r="AR54" s="16"/>
      <c r="AS54" s="16"/>
      <c r="AT54" s="16"/>
      <c r="AU54" s="16"/>
      <c r="AV54" s="16"/>
      <c r="AW54" s="16"/>
      <c r="AX54" s="16"/>
      <c r="AY54" s="16"/>
      <c r="AZ54" s="16"/>
      <c r="BA54" s="16"/>
      <c r="BB54" s="16"/>
      <c r="BC54" s="16"/>
      <c r="BD54" s="16"/>
      <c r="BE54" s="16"/>
      <c r="BF54" s="16"/>
      <c r="BG54" s="16"/>
      <c r="BH54" s="16"/>
      <c r="BI54" s="16"/>
      <c r="BJ54" s="16"/>
      <c r="BK54" s="16"/>
      <c r="BL54" s="16"/>
      <c r="BM54" s="16"/>
      <c r="BN54" s="16"/>
      <c r="BO54" s="16"/>
      <c r="BP54" s="16"/>
      <c r="BQ54" s="16"/>
      <c r="BR54" s="16"/>
    </row>
    <row r="55" customFormat="false" ht="15" hidden="false" customHeight="false" outlineLevel="0" collapsed="false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  <c r="AE55" s="16"/>
      <c r="AF55" s="16"/>
      <c r="AG55" s="16"/>
      <c r="AH55" s="16"/>
      <c r="AI55" s="16"/>
      <c r="AJ55" s="16"/>
      <c r="AK55" s="16"/>
      <c r="AL55" s="16"/>
      <c r="AM55" s="16"/>
      <c r="AN55" s="16"/>
      <c r="AO55" s="16"/>
      <c r="AP55" s="16"/>
      <c r="AQ55" s="16"/>
      <c r="AR55" s="16"/>
      <c r="AS55" s="16"/>
      <c r="AT55" s="16"/>
      <c r="AU55" s="16"/>
      <c r="AV55" s="16"/>
      <c r="AW55" s="16"/>
      <c r="AX55" s="16"/>
      <c r="AY55" s="16"/>
      <c r="AZ55" s="16"/>
      <c r="BA55" s="16"/>
      <c r="BB55" s="16"/>
      <c r="BC55" s="16"/>
      <c r="BD55" s="16"/>
      <c r="BE55" s="16"/>
      <c r="BF55" s="16"/>
      <c r="BG55" s="16"/>
      <c r="BH55" s="16"/>
      <c r="BI55" s="16"/>
      <c r="BJ55" s="16"/>
      <c r="BK55" s="16"/>
      <c r="BL55" s="16"/>
      <c r="BM55" s="16"/>
      <c r="BN55" s="16"/>
      <c r="BO55" s="16"/>
      <c r="BP55" s="16"/>
      <c r="BQ55" s="16"/>
      <c r="BR55" s="16"/>
    </row>
    <row r="56" customFormat="false" ht="15" hidden="false" customHeight="false" outlineLevel="0" collapsed="false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16"/>
      <c r="AD56" s="16"/>
      <c r="AE56" s="16"/>
      <c r="AF56" s="16"/>
      <c r="AG56" s="16"/>
      <c r="AH56" s="16"/>
      <c r="AI56" s="16"/>
      <c r="AJ56" s="16"/>
      <c r="AK56" s="16"/>
      <c r="AL56" s="16"/>
      <c r="AM56" s="16"/>
      <c r="AN56" s="16"/>
      <c r="AO56" s="16"/>
      <c r="AP56" s="16"/>
      <c r="AQ56" s="16"/>
      <c r="AR56" s="16"/>
      <c r="AS56" s="16"/>
      <c r="AT56" s="16"/>
      <c r="AU56" s="16"/>
      <c r="AV56" s="16"/>
      <c r="AW56" s="16"/>
      <c r="AX56" s="16"/>
      <c r="AY56" s="16"/>
      <c r="AZ56" s="16"/>
      <c r="BA56" s="16"/>
      <c r="BB56" s="16"/>
      <c r="BC56" s="16"/>
      <c r="BD56" s="16"/>
      <c r="BE56" s="16"/>
      <c r="BF56" s="16"/>
      <c r="BG56" s="16"/>
      <c r="BH56" s="16"/>
      <c r="BI56" s="16"/>
      <c r="BJ56" s="16"/>
      <c r="BK56" s="16"/>
      <c r="BL56" s="16"/>
      <c r="BM56" s="16"/>
      <c r="BN56" s="16"/>
      <c r="BO56" s="16"/>
      <c r="BP56" s="16"/>
      <c r="BQ56" s="16"/>
      <c r="BR56" s="16"/>
    </row>
    <row r="57" customFormat="false" ht="15" hidden="false" customHeight="false" outlineLevel="0" collapsed="false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6"/>
      <c r="AD57" s="16"/>
      <c r="AE57" s="16"/>
      <c r="AF57" s="16"/>
      <c r="AG57" s="16"/>
      <c r="AH57" s="16"/>
      <c r="AI57" s="16"/>
      <c r="AJ57" s="16"/>
      <c r="AK57" s="16"/>
      <c r="AL57" s="16"/>
      <c r="AM57" s="16"/>
      <c r="AN57" s="16"/>
      <c r="AO57" s="16"/>
      <c r="AP57" s="16"/>
      <c r="AQ57" s="16"/>
      <c r="AR57" s="16"/>
      <c r="AS57" s="16"/>
      <c r="AT57" s="16"/>
      <c r="AU57" s="16"/>
      <c r="AV57" s="16"/>
      <c r="AW57" s="16"/>
      <c r="AX57" s="16"/>
      <c r="AY57" s="16"/>
      <c r="AZ57" s="16"/>
      <c r="BA57" s="16"/>
      <c r="BB57" s="16"/>
      <c r="BC57" s="16"/>
      <c r="BD57" s="16"/>
      <c r="BE57" s="16"/>
      <c r="BF57" s="16"/>
      <c r="BG57" s="16"/>
      <c r="BH57" s="16"/>
      <c r="BI57" s="16"/>
      <c r="BJ57" s="16"/>
      <c r="BK57" s="16"/>
      <c r="BL57" s="16"/>
      <c r="BM57" s="16"/>
      <c r="BN57" s="16"/>
      <c r="BO57" s="16"/>
      <c r="BP57" s="16"/>
      <c r="BQ57" s="16"/>
      <c r="BR57" s="16"/>
    </row>
    <row r="58" customFormat="false" ht="15" hidden="false" customHeight="false" outlineLevel="0" collapsed="false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6"/>
      <c r="AD58" s="16"/>
      <c r="AE58" s="16"/>
      <c r="AF58" s="16"/>
      <c r="AG58" s="16"/>
      <c r="AH58" s="16"/>
      <c r="AI58" s="16"/>
      <c r="AJ58" s="16"/>
      <c r="AK58" s="16"/>
      <c r="AL58" s="16"/>
      <c r="AM58" s="16"/>
      <c r="AN58" s="16"/>
      <c r="AO58" s="16"/>
      <c r="AP58" s="16"/>
      <c r="AQ58" s="16"/>
      <c r="AR58" s="16"/>
      <c r="AS58" s="16"/>
      <c r="AT58" s="16"/>
      <c r="AU58" s="16"/>
      <c r="AV58" s="16"/>
      <c r="AW58" s="16"/>
      <c r="AX58" s="16"/>
      <c r="AY58" s="16"/>
      <c r="AZ58" s="16"/>
      <c r="BA58" s="16"/>
      <c r="BB58" s="16"/>
      <c r="BC58" s="16"/>
      <c r="BD58" s="16"/>
      <c r="BE58" s="16"/>
      <c r="BF58" s="16"/>
      <c r="BG58" s="16"/>
      <c r="BH58" s="16"/>
      <c r="BI58" s="16"/>
      <c r="BJ58" s="16"/>
      <c r="BK58" s="16"/>
      <c r="BL58" s="16"/>
      <c r="BM58" s="16"/>
      <c r="BN58" s="16"/>
      <c r="BO58" s="16"/>
      <c r="BP58" s="16"/>
      <c r="BQ58" s="16"/>
      <c r="BR58" s="16"/>
    </row>
    <row r="59" customFormat="false" ht="15" hidden="false" customHeight="false" outlineLevel="0" collapsed="false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6"/>
      <c r="AL59" s="16"/>
      <c r="AM59" s="16"/>
      <c r="AN59" s="16"/>
      <c r="AO59" s="16"/>
      <c r="AP59" s="16"/>
      <c r="AQ59" s="16"/>
      <c r="AR59" s="16"/>
      <c r="AS59" s="16"/>
      <c r="AT59" s="16"/>
      <c r="AU59" s="16"/>
      <c r="AV59" s="16"/>
      <c r="AW59" s="16"/>
      <c r="AX59" s="16"/>
      <c r="AY59" s="16"/>
      <c r="AZ59" s="16"/>
      <c r="BA59" s="16"/>
      <c r="BB59" s="16"/>
      <c r="BC59" s="16"/>
      <c r="BD59" s="16"/>
      <c r="BE59" s="16"/>
      <c r="BF59" s="16"/>
      <c r="BG59" s="16"/>
      <c r="BH59" s="16"/>
      <c r="BI59" s="16"/>
      <c r="BJ59" s="16"/>
      <c r="BK59" s="16"/>
      <c r="BL59" s="16"/>
      <c r="BM59" s="16"/>
      <c r="BN59" s="16"/>
      <c r="BO59" s="16"/>
      <c r="BP59" s="16"/>
      <c r="BQ59" s="16"/>
      <c r="BR59" s="16"/>
    </row>
    <row r="60" customFormat="false" ht="15" hidden="false" customHeight="false" outlineLevel="0" collapsed="false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6"/>
      <c r="AD60" s="16"/>
      <c r="AE60" s="16"/>
      <c r="AF60" s="16"/>
      <c r="AG60" s="16"/>
      <c r="AH60" s="16"/>
      <c r="AI60" s="16"/>
      <c r="AJ60" s="16"/>
      <c r="AK60" s="16"/>
      <c r="AL60" s="16"/>
      <c r="AM60" s="16"/>
      <c r="AN60" s="16"/>
      <c r="AO60" s="16"/>
      <c r="AP60" s="16"/>
      <c r="AQ60" s="16"/>
      <c r="AR60" s="16"/>
      <c r="AS60" s="16"/>
      <c r="AT60" s="16"/>
      <c r="AU60" s="16"/>
      <c r="AV60" s="16"/>
      <c r="AW60" s="16"/>
      <c r="AX60" s="16"/>
      <c r="AY60" s="16"/>
      <c r="AZ60" s="16"/>
      <c r="BA60" s="16"/>
      <c r="BB60" s="16"/>
      <c r="BC60" s="16"/>
      <c r="BD60" s="16"/>
      <c r="BE60" s="16"/>
      <c r="BF60" s="16"/>
      <c r="BG60" s="16"/>
      <c r="BH60" s="16"/>
      <c r="BI60" s="16"/>
      <c r="BJ60" s="16"/>
      <c r="BK60" s="16"/>
      <c r="BL60" s="16"/>
      <c r="BM60" s="16"/>
      <c r="BN60" s="16"/>
      <c r="BO60" s="16"/>
      <c r="BP60" s="16"/>
      <c r="BQ60" s="16"/>
      <c r="BR60" s="16"/>
    </row>
    <row r="61" customFormat="false" ht="15" hidden="false" customHeight="false" outlineLevel="0" collapsed="false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16"/>
      <c r="AE61" s="16"/>
      <c r="AF61" s="16"/>
      <c r="AG61" s="16"/>
      <c r="AH61" s="16"/>
      <c r="AI61" s="16"/>
      <c r="AJ61" s="16"/>
      <c r="AK61" s="16"/>
      <c r="AL61" s="16"/>
      <c r="AM61" s="16"/>
      <c r="AN61" s="16"/>
      <c r="AO61" s="16"/>
      <c r="AP61" s="16"/>
      <c r="AQ61" s="16"/>
      <c r="AR61" s="16"/>
      <c r="AS61" s="16"/>
      <c r="AT61" s="16"/>
      <c r="AU61" s="16"/>
      <c r="AV61" s="16"/>
      <c r="AW61" s="16"/>
      <c r="AX61" s="16"/>
      <c r="AY61" s="16"/>
      <c r="AZ61" s="16"/>
      <c r="BA61" s="16"/>
      <c r="BB61" s="16"/>
      <c r="BC61" s="16"/>
      <c r="BD61" s="16"/>
      <c r="BE61" s="16"/>
      <c r="BF61" s="16"/>
      <c r="BG61" s="16"/>
      <c r="BH61" s="16"/>
      <c r="BI61" s="16"/>
      <c r="BJ61" s="16"/>
      <c r="BK61" s="16"/>
      <c r="BL61" s="16"/>
      <c r="BM61" s="16"/>
      <c r="BN61" s="16"/>
      <c r="BO61" s="16"/>
      <c r="BP61" s="16"/>
      <c r="BQ61" s="16"/>
      <c r="BR61" s="16"/>
    </row>
    <row r="62" customFormat="false" ht="15" hidden="false" customHeight="false" outlineLevel="0" collapsed="false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6"/>
      <c r="AD62" s="16"/>
      <c r="AE62" s="16"/>
      <c r="AF62" s="16"/>
      <c r="AG62" s="16"/>
      <c r="AH62" s="16"/>
      <c r="AI62" s="16"/>
      <c r="AJ62" s="16"/>
      <c r="AK62" s="16"/>
      <c r="AL62" s="16"/>
      <c r="AM62" s="16"/>
      <c r="AN62" s="16"/>
      <c r="AO62" s="16"/>
      <c r="AP62" s="16"/>
      <c r="AQ62" s="16"/>
      <c r="AR62" s="16"/>
      <c r="AS62" s="16"/>
      <c r="AT62" s="16"/>
      <c r="AU62" s="16"/>
      <c r="AV62" s="16"/>
      <c r="AW62" s="16"/>
      <c r="AX62" s="16"/>
      <c r="AY62" s="16"/>
      <c r="AZ62" s="16"/>
      <c r="BA62" s="16"/>
      <c r="BB62" s="16"/>
      <c r="BC62" s="16"/>
      <c r="BD62" s="16"/>
      <c r="BE62" s="16"/>
      <c r="BF62" s="16"/>
      <c r="BG62" s="16"/>
      <c r="BH62" s="16"/>
      <c r="BI62" s="16"/>
      <c r="BJ62" s="16"/>
      <c r="BK62" s="16"/>
      <c r="BL62" s="16"/>
      <c r="BM62" s="16"/>
      <c r="BN62" s="16"/>
      <c r="BO62" s="16"/>
      <c r="BP62" s="16"/>
      <c r="BQ62" s="16"/>
      <c r="BR62" s="16"/>
    </row>
    <row r="63" customFormat="false" ht="15" hidden="false" customHeight="false" outlineLevel="0" collapsed="false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  <c r="AC63" s="16"/>
      <c r="AD63" s="16"/>
      <c r="AE63" s="16"/>
      <c r="AF63" s="16"/>
      <c r="AG63" s="16"/>
      <c r="AH63" s="16"/>
      <c r="AI63" s="16"/>
      <c r="AJ63" s="16"/>
      <c r="AK63" s="16"/>
      <c r="AL63" s="16"/>
      <c r="AM63" s="16"/>
      <c r="AN63" s="16"/>
      <c r="AO63" s="16"/>
      <c r="AP63" s="16"/>
      <c r="AQ63" s="16"/>
      <c r="AR63" s="16"/>
      <c r="AS63" s="16"/>
      <c r="AT63" s="16"/>
      <c r="AU63" s="16"/>
      <c r="AV63" s="16"/>
      <c r="AW63" s="16"/>
      <c r="AX63" s="16"/>
      <c r="AY63" s="16"/>
      <c r="AZ63" s="16"/>
      <c r="BA63" s="16"/>
      <c r="BB63" s="16"/>
      <c r="BC63" s="16"/>
      <c r="BD63" s="16"/>
      <c r="BE63" s="16"/>
      <c r="BF63" s="16"/>
      <c r="BG63" s="16"/>
      <c r="BH63" s="16"/>
      <c r="BI63" s="16"/>
      <c r="BJ63" s="16"/>
      <c r="BK63" s="16"/>
      <c r="BL63" s="16"/>
      <c r="BM63" s="16"/>
      <c r="BN63" s="16"/>
      <c r="BO63" s="16"/>
      <c r="BP63" s="16"/>
      <c r="BQ63" s="16"/>
      <c r="BR63" s="16"/>
    </row>
    <row r="64" customFormat="false" ht="15" hidden="false" customHeight="false" outlineLevel="0" collapsed="false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  <c r="AC64" s="16"/>
      <c r="AD64" s="16"/>
      <c r="AE64" s="16"/>
      <c r="AF64" s="16"/>
      <c r="AG64" s="16"/>
      <c r="AH64" s="16"/>
      <c r="AI64" s="16"/>
      <c r="AJ64" s="16"/>
      <c r="AK64" s="16"/>
      <c r="AL64" s="16"/>
      <c r="AM64" s="16"/>
      <c r="AN64" s="16"/>
      <c r="AO64" s="16"/>
      <c r="AP64" s="16"/>
      <c r="AQ64" s="16"/>
      <c r="AR64" s="16"/>
      <c r="AS64" s="16"/>
      <c r="AT64" s="16"/>
      <c r="AU64" s="16"/>
      <c r="AV64" s="16"/>
      <c r="AW64" s="16"/>
      <c r="AX64" s="16"/>
      <c r="AY64" s="16"/>
      <c r="AZ64" s="16"/>
      <c r="BA64" s="16"/>
      <c r="BB64" s="16"/>
      <c r="BC64" s="16"/>
      <c r="BD64" s="16"/>
      <c r="BE64" s="16"/>
      <c r="BF64" s="16"/>
      <c r="BG64" s="16"/>
      <c r="BH64" s="16"/>
      <c r="BI64" s="16"/>
      <c r="BJ64" s="16"/>
      <c r="BK64" s="16"/>
      <c r="BL64" s="16"/>
      <c r="BM64" s="16"/>
      <c r="BN64" s="16"/>
      <c r="BO64" s="16"/>
      <c r="BP64" s="16"/>
      <c r="BQ64" s="16"/>
      <c r="BR64" s="16"/>
    </row>
    <row r="65" customFormat="false" ht="15" hidden="false" customHeight="false" outlineLevel="0" collapsed="false"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44"/>
  <sheetViews>
    <sheetView showFormulas="false" showGridLines="true" showRowColHeaders="true" showZeros="true" rightToLeft="false" tabSelected="false" showOutlineSymbols="true" defaultGridColor="true" view="normal" topLeftCell="A1" colorId="64" zoomScale="55" zoomScaleNormal="55" zoomScalePageLayoutView="100" workbookViewId="0">
      <selection pane="topLeft" activeCell="D43" activeCellId="0" sqref="D43"/>
    </sheetView>
  </sheetViews>
  <sheetFormatPr defaultColWidth="10.6445312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15" min="4" style="1" width="6.7"/>
    <col collapsed="false" customWidth="true" hidden="false" outlineLevel="0" max="24" min="16" style="1" width="6.9"/>
    <col collapsed="false" customWidth="true" hidden="false" outlineLevel="0" max="26" min="25" style="1" width="6.5"/>
  </cols>
  <sheetData>
    <row r="1" customFormat="false" ht="15" hidden="false" customHeight="false" outlineLevel="0" collapsed="false">
      <c r="A1" s="19"/>
      <c r="D1" s="3" t="s">
        <v>65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1" t="s">
        <v>66</v>
      </c>
    </row>
    <row r="2" customFormat="false" ht="15" hidden="false" customHeight="false" outlineLevel="0" collapsed="false">
      <c r="B2" s="1" t="s">
        <v>67</v>
      </c>
      <c r="C2" s="1" t="s">
        <v>68</v>
      </c>
      <c r="D2" s="3" t="s">
        <v>15</v>
      </c>
      <c r="E2" s="3" t="s">
        <v>16</v>
      </c>
      <c r="F2" s="3" t="s">
        <v>17</v>
      </c>
      <c r="G2" s="3" t="s">
        <v>31</v>
      </c>
      <c r="H2" s="3" t="s">
        <v>18</v>
      </c>
      <c r="I2" s="3" t="s">
        <v>19</v>
      </c>
      <c r="J2" s="3" t="s">
        <v>20</v>
      </c>
      <c r="K2" s="3" t="s">
        <v>21</v>
      </c>
      <c r="L2" s="3" t="s">
        <v>22</v>
      </c>
      <c r="M2" s="3" t="s">
        <v>23</v>
      </c>
      <c r="N2" s="3" t="s">
        <v>24</v>
      </c>
      <c r="O2" s="3" t="s">
        <v>69</v>
      </c>
      <c r="P2" s="3" t="s">
        <v>15</v>
      </c>
      <c r="Q2" s="3" t="s">
        <v>16</v>
      </c>
      <c r="R2" s="3" t="s">
        <v>17</v>
      </c>
      <c r="S2" s="3" t="s">
        <v>31</v>
      </c>
      <c r="T2" s="3" t="s">
        <v>18</v>
      </c>
      <c r="U2" s="3" t="s">
        <v>19</v>
      </c>
      <c r="V2" s="3" t="s">
        <v>20</v>
      </c>
      <c r="W2" s="3" t="s">
        <v>21</v>
      </c>
      <c r="X2" s="3" t="s">
        <v>22</v>
      </c>
      <c r="Y2" s="3" t="s">
        <v>23</v>
      </c>
      <c r="Z2" s="3" t="s">
        <v>24</v>
      </c>
    </row>
    <row r="3" customFormat="false" ht="15" hidden="false" customHeight="false" outlineLevel="0" collapsed="false">
      <c r="A3" s="1" t="s">
        <v>134</v>
      </c>
      <c r="B3" s="1" t="s">
        <v>71</v>
      </c>
      <c r="C3" s="1" t="s">
        <v>9</v>
      </c>
      <c r="D3" s="3" t="n">
        <v>43.0641</v>
      </c>
      <c r="E3" s="3" t="n">
        <v>3.7837</v>
      </c>
      <c r="F3" s="3" t="n">
        <v>13.204</v>
      </c>
      <c r="G3" s="3" t="n">
        <v>0.01</v>
      </c>
      <c r="H3" s="3" t="n">
        <v>12.1986</v>
      </c>
      <c r="I3" s="3" t="n">
        <v>0.194</v>
      </c>
      <c r="J3" s="3" t="n">
        <v>4.5312</v>
      </c>
      <c r="K3" s="3" t="n">
        <v>9.8342</v>
      </c>
      <c r="L3" s="3" t="n">
        <v>4.5628</v>
      </c>
      <c r="M3" s="3" t="n">
        <v>2.5222</v>
      </c>
      <c r="N3" s="3" t="n">
        <v>2.1311</v>
      </c>
      <c r="O3" s="3" t="n">
        <f aca="false">SUM(D3:N3)</f>
        <v>96.0359</v>
      </c>
      <c r="P3" s="3" t="n">
        <f aca="false">D3/$O3*100</f>
        <v>44.8416685843523</v>
      </c>
      <c r="Q3" s="3" t="n">
        <f aca="false">E3/$O3*100</f>
        <v>3.93988081540341</v>
      </c>
      <c r="R3" s="3" t="n">
        <f aca="false">F3/$O3*100</f>
        <v>13.7490251041538</v>
      </c>
      <c r="S3" s="3" t="n">
        <f aca="false">G3/$O3*100</f>
        <v>0.0104127727235336</v>
      </c>
      <c r="T3" s="3" t="n">
        <f aca="false">H3/$O3*100</f>
        <v>12.7021249345297</v>
      </c>
      <c r="U3" s="3" t="n">
        <f aca="false">I3/$O3*100</f>
        <v>0.202007790836552</v>
      </c>
      <c r="V3" s="3" t="n">
        <f aca="false">J3/$O3*100</f>
        <v>4.71823557648754</v>
      </c>
      <c r="W3" s="3" t="n">
        <f aca="false">K3/$O3*100</f>
        <v>10.2401289517774</v>
      </c>
      <c r="X3" s="3" t="n">
        <f aca="false">L3/$O3*100</f>
        <v>4.75113993829391</v>
      </c>
      <c r="Y3" s="3" t="n">
        <f aca="false">M3/$O3*100</f>
        <v>2.62630953632964</v>
      </c>
      <c r="Z3" s="3" t="n">
        <f aca="false">N3/$O3*100</f>
        <v>2.21906599511224</v>
      </c>
    </row>
    <row r="4" customFormat="false" ht="15" hidden="false" customHeight="false" outlineLevel="0" collapsed="false">
      <c r="A4" s="1" t="s">
        <v>205</v>
      </c>
      <c r="B4" s="1" t="s">
        <v>71</v>
      </c>
      <c r="C4" s="1" t="s">
        <v>9</v>
      </c>
      <c r="D4" s="3" t="n">
        <v>43.5791</v>
      </c>
      <c r="E4" s="3" t="n">
        <v>3.7661</v>
      </c>
      <c r="F4" s="3" t="n">
        <v>13.8513</v>
      </c>
      <c r="G4" s="3" t="n">
        <v>0.07</v>
      </c>
      <c r="H4" s="3" t="n">
        <v>12.9958</v>
      </c>
      <c r="I4" s="3" t="n">
        <v>0.2208</v>
      </c>
      <c r="J4" s="3" t="n">
        <v>4.5032</v>
      </c>
      <c r="K4" s="3" t="n">
        <v>9.6136</v>
      </c>
      <c r="L4" s="3" t="n">
        <v>4.7401</v>
      </c>
      <c r="M4" s="3" t="n">
        <v>2.5654</v>
      </c>
      <c r="N4" s="3" t="n">
        <v>2.0396</v>
      </c>
      <c r="O4" s="3" t="n">
        <f aca="false">SUM(D4:N4)</f>
        <v>97.945</v>
      </c>
      <c r="P4" s="3" t="n">
        <f aca="false">D4/$O4*100</f>
        <v>44.4934401960284</v>
      </c>
      <c r="Q4" s="3" t="n">
        <f aca="false">E4/$O4*100</f>
        <v>3.84511715758844</v>
      </c>
      <c r="R4" s="3" t="n">
        <f aca="false">F4/$O4*100</f>
        <v>14.1419163816428</v>
      </c>
      <c r="S4" s="3" t="n">
        <f aca="false">G4/$O4*100</f>
        <v>0.0714686814028281</v>
      </c>
      <c r="T4" s="3" t="n">
        <f aca="false">H4/$O4*100</f>
        <v>13.2684669967839</v>
      </c>
      <c r="U4" s="3" t="n">
        <f aca="false">I4/$O4*100</f>
        <v>0.225432640767778</v>
      </c>
      <c r="V4" s="3" t="n">
        <f aca="false">J4/$O4*100</f>
        <v>4.59768237276022</v>
      </c>
      <c r="W4" s="3" t="n">
        <f aca="false">K4/$O4*100</f>
        <v>9.81530450763183</v>
      </c>
      <c r="X4" s="3" t="n">
        <f aca="false">L4/$O4*100</f>
        <v>4.83955281025065</v>
      </c>
      <c r="Y4" s="3" t="n">
        <f aca="false">M4/$O4*100</f>
        <v>2.61922507529736</v>
      </c>
      <c r="Z4" s="3" t="n">
        <f aca="false">N4/$O4*100</f>
        <v>2.08239317984583</v>
      </c>
    </row>
    <row r="5" customFormat="false" ht="15" hidden="false" customHeight="false" outlineLevel="0" collapsed="false">
      <c r="A5" s="1" t="s">
        <v>206</v>
      </c>
      <c r="B5" s="1" t="s">
        <v>71</v>
      </c>
      <c r="C5" s="1" t="s">
        <v>9</v>
      </c>
      <c r="D5" s="3" t="n">
        <v>42.6952</v>
      </c>
      <c r="E5" s="3" t="n">
        <v>3.6075</v>
      </c>
      <c r="F5" s="3" t="n">
        <v>13.7117</v>
      </c>
      <c r="G5" s="3" t="n">
        <v>0</v>
      </c>
      <c r="H5" s="3" t="n">
        <v>12.8209</v>
      </c>
      <c r="I5" s="3" t="n">
        <v>0.2711</v>
      </c>
      <c r="J5" s="3" t="n">
        <v>4.549</v>
      </c>
      <c r="K5" s="3" t="n">
        <v>9.8003</v>
      </c>
      <c r="L5" s="3" t="n">
        <v>4.6162</v>
      </c>
      <c r="M5" s="3" t="n">
        <v>2.5418</v>
      </c>
      <c r="N5" s="3" t="n">
        <v>1.7718</v>
      </c>
      <c r="O5" s="3" t="n">
        <f aca="false">SUM(D5:N5)</f>
        <v>96.3855</v>
      </c>
      <c r="P5" s="3" t="n">
        <f aca="false">D5/$O5*100</f>
        <v>44.2962893796266</v>
      </c>
      <c r="Q5" s="3" t="n">
        <f aca="false">E5/$O5*100</f>
        <v>3.74278288746751</v>
      </c>
      <c r="R5" s="3" t="n">
        <f aca="false">F5/$O5*100</f>
        <v>14.2258949738291</v>
      </c>
      <c r="S5" s="3" t="n">
        <f aca="false">G5/$O5*100</f>
        <v>0</v>
      </c>
      <c r="T5" s="3" t="n">
        <f aca="false">H5/$O5*100</f>
        <v>13.3016895694892</v>
      </c>
      <c r="U5" s="3" t="n">
        <f aca="false">I5/$O5*100</f>
        <v>0.281266373054038</v>
      </c>
      <c r="V5" s="3" t="n">
        <f aca="false">J5/$O5*100</f>
        <v>4.71958956482044</v>
      </c>
      <c r="W5" s="3" t="n">
        <f aca="false">K5/$O5*100</f>
        <v>10.1678156984194</v>
      </c>
      <c r="X5" s="3" t="n">
        <f aca="false">L5/$O5*100</f>
        <v>4.78930959532295</v>
      </c>
      <c r="Y5" s="3" t="n">
        <f aca="false">M5/$O5*100</f>
        <v>2.63711865373941</v>
      </c>
      <c r="Z5" s="3" t="n">
        <f aca="false">N5/$O5*100</f>
        <v>1.83824330423145</v>
      </c>
    </row>
    <row r="6" customFormat="false" ht="15" hidden="false" customHeight="false" outlineLevel="0" collapsed="false">
      <c r="A6" s="1" t="s">
        <v>207</v>
      </c>
      <c r="B6" s="1" t="s">
        <v>71</v>
      </c>
      <c r="C6" s="1" t="s">
        <v>9</v>
      </c>
      <c r="D6" s="3" t="n">
        <v>43.4092</v>
      </c>
      <c r="E6" s="3" t="n">
        <v>3.8122</v>
      </c>
      <c r="F6" s="3" t="n">
        <v>13.5904</v>
      </c>
      <c r="G6" s="3" t="n">
        <v>0</v>
      </c>
      <c r="H6" s="3" t="n">
        <v>12.5</v>
      </c>
      <c r="I6" s="3" t="n">
        <v>0.307</v>
      </c>
      <c r="J6" s="3" t="n">
        <v>4.5512</v>
      </c>
      <c r="K6" s="3" t="n">
        <v>9.894</v>
      </c>
      <c r="L6" s="3" t="n">
        <v>4.5738</v>
      </c>
      <c r="M6" s="3" t="n">
        <v>2.6019</v>
      </c>
      <c r="N6" s="3" t="n">
        <v>1.6808</v>
      </c>
      <c r="O6" s="3" t="n">
        <f aca="false">SUM(D6:N6)</f>
        <v>96.9205</v>
      </c>
      <c r="P6" s="3" t="n">
        <f aca="false">D6/$O6*100</f>
        <v>44.7884606455806</v>
      </c>
      <c r="Q6" s="3" t="n">
        <f aca="false">E6/$O6*100</f>
        <v>3.93332679876806</v>
      </c>
      <c r="R6" s="3" t="n">
        <f aca="false">F6/$O6*100</f>
        <v>14.022214082676</v>
      </c>
      <c r="S6" s="3" t="n">
        <f aca="false">G6/$O6*100</f>
        <v>0</v>
      </c>
      <c r="T6" s="3" t="n">
        <f aca="false">H6/$O6*100</f>
        <v>12.8971682977286</v>
      </c>
      <c r="U6" s="3" t="n">
        <f aca="false">I6/$O6*100</f>
        <v>0.316754453392213</v>
      </c>
      <c r="V6" s="3" t="n">
        <f aca="false">J6/$O6*100</f>
        <v>4.69580738852977</v>
      </c>
      <c r="W6" s="3" t="n">
        <f aca="false">K6/$O6*100</f>
        <v>10.2083666510181</v>
      </c>
      <c r="X6" s="3" t="n">
        <f aca="false">L6/$O6*100</f>
        <v>4.71912546881207</v>
      </c>
      <c r="Y6" s="3" t="n">
        <f aca="false">M6/$O6*100</f>
        <v>2.68457137550879</v>
      </c>
      <c r="Z6" s="3" t="n">
        <f aca="false">N6/$O6*100</f>
        <v>1.73420483798577</v>
      </c>
    </row>
    <row r="7" customFormat="false" ht="15" hidden="false" customHeight="false" outlineLevel="0" collapsed="false">
      <c r="A7" s="1" t="s">
        <v>208</v>
      </c>
      <c r="B7" s="1" t="s">
        <v>71</v>
      </c>
      <c r="C7" s="1" t="s">
        <v>9</v>
      </c>
      <c r="D7" s="3" t="n">
        <v>43.1259</v>
      </c>
      <c r="E7" s="3" t="n">
        <v>3.4344</v>
      </c>
      <c r="F7" s="3" t="n">
        <v>13.5398</v>
      </c>
      <c r="G7" s="3" t="n">
        <v>0</v>
      </c>
      <c r="H7" s="3" t="n">
        <v>12.2267</v>
      </c>
      <c r="I7" s="3" t="n">
        <v>0.2288</v>
      </c>
      <c r="J7" s="3" t="n">
        <v>4.4682</v>
      </c>
      <c r="K7" s="3" t="n">
        <v>9.8133</v>
      </c>
      <c r="L7" s="3" t="n">
        <v>4.6495</v>
      </c>
      <c r="M7" s="3" t="n">
        <v>2.5395</v>
      </c>
      <c r="N7" s="3" t="n">
        <v>1.9799</v>
      </c>
      <c r="O7" s="3" t="n">
        <f aca="false">SUM(D7:N7)</f>
        <v>96.006</v>
      </c>
      <c r="P7" s="3" t="n">
        <f aca="false">D7/$O7*100</f>
        <v>44.9200049996875</v>
      </c>
      <c r="Q7" s="3" t="n">
        <f aca="false">E7/$O7*100</f>
        <v>3.57727642022374</v>
      </c>
      <c r="R7" s="3" t="n">
        <f aca="false">F7/$O7*100</f>
        <v>14.1030768910276</v>
      </c>
      <c r="S7" s="3" t="n">
        <f aca="false">G7/$O7*100</f>
        <v>0</v>
      </c>
      <c r="T7" s="3" t="n">
        <f aca="false">H7/$O7*100</f>
        <v>12.7353498739662</v>
      </c>
      <c r="U7" s="3" t="n">
        <f aca="false">I7/$O7*100</f>
        <v>0.238318438430931</v>
      </c>
      <c r="V7" s="3" t="n">
        <f aca="false">J7/$O7*100</f>
        <v>4.65408411974252</v>
      </c>
      <c r="W7" s="3" t="n">
        <f aca="false">K7/$O7*100</f>
        <v>10.2215486532092</v>
      </c>
      <c r="X7" s="3" t="n">
        <f aca="false">L7/$O7*100</f>
        <v>4.84292648376143</v>
      </c>
      <c r="Y7" s="3" t="n">
        <f aca="false">M7/$O7*100</f>
        <v>2.64514717830136</v>
      </c>
      <c r="Z7" s="3" t="n">
        <f aca="false">N7/$O7*100</f>
        <v>2.06226694164948</v>
      </c>
    </row>
    <row r="8" customFormat="false" ht="15" hidden="false" customHeight="false" outlineLevel="0" collapsed="false">
      <c r="A8" s="1" t="s">
        <v>154</v>
      </c>
      <c r="B8" s="1" t="s">
        <v>71</v>
      </c>
      <c r="C8" s="1" t="s">
        <v>209</v>
      </c>
      <c r="D8" s="3" t="n">
        <v>43.4817</v>
      </c>
      <c r="E8" s="3" t="n">
        <v>3.8389</v>
      </c>
      <c r="F8" s="3" t="n">
        <v>13.6394</v>
      </c>
      <c r="G8" s="3"/>
      <c r="H8" s="3" t="n">
        <v>12.7394</v>
      </c>
      <c r="I8" s="3" t="n">
        <v>0.2349</v>
      </c>
      <c r="J8" s="3" t="n">
        <v>4.563</v>
      </c>
      <c r="K8" s="3" t="n">
        <v>9.8063</v>
      </c>
      <c r="L8" s="3" t="n">
        <v>4.6022</v>
      </c>
      <c r="M8" s="3" t="n">
        <v>2.5619</v>
      </c>
      <c r="N8" s="3" t="n">
        <v>1.6952</v>
      </c>
      <c r="O8" s="3" t="n">
        <f aca="false">SUM(D8:N8)</f>
        <v>97.1629</v>
      </c>
      <c r="P8" s="3" t="n">
        <f aca="false">D8/$O8*100</f>
        <v>44.7513402749403</v>
      </c>
      <c r="Q8" s="3" t="n">
        <f aca="false">E8/$O8*100</f>
        <v>3.9509936405768</v>
      </c>
      <c r="R8" s="3" t="n">
        <f aca="false">F8/$O8*100</f>
        <v>14.0376625234529</v>
      </c>
      <c r="S8" s="3" t="n">
        <f aca="false">G8/$O8*100</f>
        <v>0</v>
      </c>
      <c r="T8" s="3" t="n">
        <f aca="false">H8/$O8*100</f>
        <v>13.1113830484681</v>
      </c>
      <c r="U8" s="3" t="n">
        <f aca="false">I8/$O8*100</f>
        <v>0.241758942971031</v>
      </c>
      <c r="V8" s="3" t="n">
        <f aca="false">J8/$O8*100</f>
        <v>4.6962369381729</v>
      </c>
      <c r="W8" s="3" t="n">
        <f aca="false">K8/$O8*100</f>
        <v>10.0926382394926</v>
      </c>
      <c r="X8" s="3" t="n">
        <f aca="false">L8/$O8*100</f>
        <v>4.73658155530558</v>
      </c>
      <c r="Y8" s="3" t="n">
        <f aca="false">M8/$O8*100</f>
        <v>2.63670598551505</v>
      </c>
      <c r="Z8" s="3" t="n">
        <f aca="false">N8/$O8*100</f>
        <v>1.74469885110469</v>
      </c>
    </row>
    <row r="9" customFormat="false" ht="15" hidden="false" customHeight="false" outlineLevel="0" collapsed="false">
      <c r="A9" s="1" t="s">
        <v>155</v>
      </c>
      <c r="B9" s="1" t="s">
        <v>71</v>
      </c>
      <c r="C9" s="1" t="s">
        <v>209</v>
      </c>
      <c r="D9" s="3" t="n">
        <v>43.3223</v>
      </c>
      <c r="E9" s="3" t="n">
        <v>3.7138</v>
      </c>
      <c r="F9" s="3" t="n">
        <v>13.5523</v>
      </c>
      <c r="G9" s="3"/>
      <c r="H9" s="3" t="n">
        <v>12.4432</v>
      </c>
      <c r="I9" s="3" t="n">
        <v>0.1774</v>
      </c>
      <c r="J9" s="3" t="n">
        <v>4.4663</v>
      </c>
      <c r="K9" s="3" t="n">
        <v>9.8352</v>
      </c>
      <c r="L9" s="3" t="n">
        <v>4.5359</v>
      </c>
      <c r="M9" s="3" t="n">
        <v>2.6633</v>
      </c>
      <c r="N9" s="3" t="n">
        <v>1.8498</v>
      </c>
      <c r="O9" s="3" t="n">
        <f aca="false">SUM(D9:N9)</f>
        <v>96.5595</v>
      </c>
      <c r="P9" s="3" t="n">
        <f aca="false">D9/$O9*100</f>
        <v>44.8659116917548</v>
      </c>
      <c r="Q9" s="3" t="n">
        <f aca="false">E9/$O9*100</f>
        <v>3.84612596378399</v>
      </c>
      <c r="R9" s="3" t="n">
        <f aca="false">F9/$O9*100</f>
        <v>14.0351803810086</v>
      </c>
      <c r="S9" s="3" t="n">
        <f aca="false">G9/$O9*100</f>
        <v>0</v>
      </c>
      <c r="T9" s="3" t="n">
        <f aca="false">H9/$O9*100</f>
        <v>12.8865621715108</v>
      </c>
      <c r="U9" s="3" t="n">
        <f aca="false">I9/$O9*100</f>
        <v>0.183720918190339</v>
      </c>
      <c r="V9" s="3" t="n">
        <f aca="false">J9/$O9*100</f>
        <v>4.62543820131629</v>
      </c>
      <c r="W9" s="3" t="n">
        <f aca="false">K9/$O9*100</f>
        <v>10.1856368353192</v>
      </c>
      <c r="X9" s="3" t="n">
        <f aca="false">L9/$O9*100</f>
        <v>4.69751811059502</v>
      </c>
      <c r="Y9" s="3" t="n">
        <f aca="false">M9/$O9*100</f>
        <v>2.75819572388009</v>
      </c>
      <c r="Z9" s="3" t="n">
        <f aca="false">N9/$O9*100</f>
        <v>1.91571000264086</v>
      </c>
    </row>
    <row r="10" customFormat="false" ht="15" hidden="false" customHeight="false" outlineLevel="0" collapsed="false">
      <c r="A10" s="1" t="s">
        <v>140</v>
      </c>
      <c r="B10" s="1" t="s">
        <v>71</v>
      </c>
      <c r="C10" s="1" t="s">
        <v>209</v>
      </c>
      <c r="D10" s="3" t="n">
        <v>43.0804</v>
      </c>
      <c r="E10" s="3" t="n">
        <v>3.8337</v>
      </c>
      <c r="F10" s="3" t="n">
        <v>13.6589</v>
      </c>
      <c r="G10" s="3"/>
      <c r="H10" s="3" t="n">
        <v>12.4743</v>
      </c>
      <c r="I10" s="3" t="n">
        <v>0.2077</v>
      </c>
      <c r="J10" s="3" t="n">
        <v>4.5915</v>
      </c>
      <c r="K10" s="3" t="n">
        <v>9.7714</v>
      </c>
      <c r="L10" s="3" t="n">
        <v>4.3743</v>
      </c>
      <c r="M10" s="3" t="n">
        <v>2.6258</v>
      </c>
      <c r="N10" s="3" t="n">
        <v>1.7261</v>
      </c>
      <c r="O10" s="3" t="n">
        <f aca="false">SUM(D10:N10)</f>
        <v>96.3441</v>
      </c>
      <c r="P10" s="3" t="n">
        <f aca="false">D10/$O10*100</f>
        <v>44.7151408337407</v>
      </c>
      <c r="Q10" s="3" t="n">
        <f aca="false">E10/$O10*100</f>
        <v>3.97917464587868</v>
      </c>
      <c r="R10" s="3" t="n">
        <f aca="false">F10/$O10*100</f>
        <v>14.1772044162538</v>
      </c>
      <c r="S10" s="3" t="n">
        <f aca="false">G10/$O10*100</f>
        <v>0</v>
      </c>
      <c r="T10" s="3" t="n">
        <f aca="false">H10/$O10*100</f>
        <v>12.9476532553628</v>
      </c>
      <c r="U10" s="3" t="n">
        <f aca="false">I10/$O10*100</f>
        <v>0.215581441935728</v>
      </c>
      <c r="V10" s="3" t="n">
        <f aca="false">J10/$O10*100</f>
        <v>4.7657303353293</v>
      </c>
      <c r="W10" s="3" t="n">
        <f aca="false">K10/$O10*100</f>
        <v>10.14218826062</v>
      </c>
      <c r="X10" s="3" t="n">
        <f aca="false">L10/$O10*100</f>
        <v>4.5402884037528</v>
      </c>
      <c r="Y10" s="3" t="n">
        <f aca="false">M10/$O10*100</f>
        <v>2.72543933671081</v>
      </c>
      <c r="Z10" s="3" t="n">
        <f aca="false">N10/$O10*100</f>
        <v>1.79159907041531</v>
      </c>
    </row>
    <row r="11" customFormat="false" ht="15" hidden="false" customHeight="false" outlineLevel="0" collapsed="false">
      <c r="A11" s="1" t="s">
        <v>141</v>
      </c>
      <c r="B11" s="1" t="s">
        <v>71</v>
      </c>
      <c r="C11" s="1" t="s">
        <v>209</v>
      </c>
      <c r="D11" s="3" t="n">
        <v>43.1641</v>
      </c>
      <c r="E11" s="3" t="n">
        <v>3.7833</v>
      </c>
      <c r="F11" s="3" t="n">
        <v>13.6717</v>
      </c>
      <c r="G11" s="3"/>
      <c r="H11" s="3" t="n">
        <v>12.4818</v>
      </c>
      <c r="I11" s="3" t="n">
        <v>0.2548</v>
      </c>
      <c r="J11" s="3" t="n">
        <v>4.5106</v>
      </c>
      <c r="K11" s="3" t="n">
        <v>9.7957</v>
      </c>
      <c r="L11" s="3" t="n">
        <v>4.5364</v>
      </c>
      <c r="M11" s="3" t="n">
        <v>2.7152</v>
      </c>
      <c r="N11" s="3" t="n">
        <v>1.8078</v>
      </c>
      <c r="O11" s="3" t="n">
        <f aca="false">SUM(D11:N11)</f>
        <v>96.7214</v>
      </c>
      <c r="P11" s="3" t="n">
        <f aca="false">D11/$O11*100</f>
        <v>44.6272489852297</v>
      </c>
      <c r="Q11" s="3" t="n">
        <f aca="false">E11/$O11*100</f>
        <v>3.91154387757001</v>
      </c>
      <c r="R11" s="3" t="n">
        <f aca="false">F11/$O11*100</f>
        <v>14.1351345203854</v>
      </c>
      <c r="S11" s="3" t="n">
        <f aca="false">G11/$O11*100</f>
        <v>0</v>
      </c>
      <c r="T11" s="3" t="n">
        <f aca="false">H11/$O11*100</f>
        <v>12.9049000531423</v>
      </c>
      <c r="U11" s="3" t="n">
        <f aca="false">I11/$O11*100</f>
        <v>0.26343704702372</v>
      </c>
      <c r="V11" s="3" t="n">
        <f aca="false">J11/$O11*100</f>
        <v>4.66349742662947</v>
      </c>
      <c r="W11" s="3" t="n">
        <f aca="false">K11/$O11*100</f>
        <v>10.127748357654</v>
      </c>
      <c r="X11" s="3" t="n">
        <f aca="false">L11/$O11*100</f>
        <v>4.69017197848666</v>
      </c>
      <c r="Y11" s="3" t="n">
        <f aca="false">M11/$O11*100</f>
        <v>2.80723810862953</v>
      </c>
      <c r="Z11" s="3" t="n">
        <f aca="false">N11/$O11*100</f>
        <v>1.86907964524914</v>
      </c>
    </row>
    <row r="12" customFormat="false" ht="15" hidden="false" customHeight="false" outlineLevel="0" collapsed="false">
      <c r="A12" s="1" t="s">
        <v>142</v>
      </c>
      <c r="B12" s="1" t="s">
        <v>71</v>
      </c>
      <c r="C12" s="1" t="s">
        <v>209</v>
      </c>
      <c r="D12" s="3" t="n">
        <v>42.9569</v>
      </c>
      <c r="E12" s="3" t="n">
        <v>3.7542</v>
      </c>
      <c r="F12" s="3" t="n">
        <v>13.78</v>
      </c>
      <c r="G12" s="3"/>
      <c r="H12" s="3" t="n">
        <v>12.5715</v>
      </c>
      <c r="I12" s="3" t="n">
        <v>0.1678</v>
      </c>
      <c r="J12" s="3" t="n">
        <v>4.6006</v>
      </c>
      <c r="K12" s="3" t="n">
        <v>9.8395</v>
      </c>
      <c r="L12" s="3" t="n">
        <v>4.4097</v>
      </c>
      <c r="M12" s="3" t="n">
        <v>2.6532</v>
      </c>
      <c r="N12" s="3" t="n">
        <v>1.6896</v>
      </c>
      <c r="O12" s="3" t="n">
        <f aca="false">SUM(D12:N12)</f>
        <v>96.423</v>
      </c>
      <c r="P12" s="3" t="n">
        <f aca="false">D12/$O12*100</f>
        <v>44.5504703234705</v>
      </c>
      <c r="Q12" s="3" t="n">
        <f aca="false">E12/$O12*100</f>
        <v>3.89346940045425</v>
      </c>
      <c r="R12" s="3" t="n">
        <f aca="false">F12/$O12*100</f>
        <v>14.2911960839219</v>
      </c>
      <c r="S12" s="3" t="n">
        <f aca="false">G12/$O12*100</f>
        <v>0</v>
      </c>
      <c r="T12" s="3" t="n">
        <f aca="false">H12/$O12*100</f>
        <v>13.0378644099437</v>
      </c>
      <c r="U12" s="3" t="n">
        <f aca="false">I12/$O12*100</f>
        <v>0.174024869585058</v>
      </c>
      <c r="V12" s="3" t="n">
        <f aca="false">J12/$O12*100</f>
        <v>4.77126826587018</v>
      </c>
      <c r="W12" s="3" t="n">
        <f aca="false">K12/$O12*100</f>
        <v>10.204515520156</v>
      </c>
      <c r="X12" s="3" t="n">
        <f aca="false">L12/$O12*100</f>
        <v>4.57328645655082</v>
      </c>
      <c r="Y12" s="3" t="n">
        <f aca="false">M12/$O12*100</f>
        <v>2.75162564948197</v>
      </c>
      <c r="Z12" s="3" t="n">
        <f aca="false">N12/$O12*100</f>
        <v>1.75227902056563</v>
      </c>
    </row>
    <row r="13" customFormat="false" ht="15" hidden="false" customHeight="false" outlineLevel="0" collapsed="false">
      <c r="A13" s="1" t="s">
        <v>129</v>
      </c>
      <c r="B13" s="1" t="s">
        <v>71</v>
      </c>
      <c r="C13" s="1" t="s">
        <v>209</v>
      </c>
      <c r="D13" s="3" t="n">
        <v>43.1612</v>
      </c>
      <c r="E13" s="3" t="n">
        <v>3.7502</v>
      </c>
      <c r="F13" s="3" t="n">
        <v>13.5886</v>
      </c>
      <c r="G13" s="3"/>
      <c r="H13" s="3" t="n">
        <v>12.0338</v>
      </c>
      <c r="I13" s="3" t="n">
        <v>0.2749</v>
      </c>
      <c r="J13" s="3" t="n">
        <v>4.5399</v>
      </c>
      <c r="K13" s="3" t="n">
        <v>10.0314</v>
      </c>
      <c r="L13" s="3" t="n">
        <v>4.4453</v>
      </c>
      <c r="M13" s="3" t="n">
        <v>2.641</v>
      </c>
      <c r="N13" s="3" t="n">
        <v>1.9727</v>
      </c>
      <c r="O13" s="3" t="n">
        <f aca="false">SUM(D13:N13)</f>
        <v>96.439</v>
      </c>
      <c r="P13" s="3" t="n">
        <f aca="false">D13/$O13*100</f>
        <v>44.7549228009415</v>
      </c>
      <c r="Q13" s="3" t="n">
        <f aca="false">E13/$O13*100</f>
        <v>3.88867574321592</v>
      </c>
      <c r="R13" s="3" t="n">
        <f aca="false">F13/$O13*100</f>
        <v>14.0903576353965</v>
      </c>
      <c r="S13" s="3" t="n">
        <f aca="false">G13/$O13*100</f>
        <v>0</v>
      </c>
      <c r="T13" s="3" t="n">
        <f aca="false">H13/$O13*100</f>
        <v>12.4781468078267</v>
      </c>
      <c r="U13" s="3" t="n">
        <f aca="false">I13/$O13*100</f>
        <v>0.285050653781147</v>
      </c>
      <c r="V13" s="3" t="n">
        <f aca="false">J13/$O13*100</f>
        <v>4.70753533321582</v>
      </c>
      <c r="W13" s="3" t="n">
        <f aca="false">K13/$O13*100</f>
        <v>10.4018083970178</v>
      </c>
      <c r="X13" s="3" t="n">
        <f aca="false">L13/$O13*100</f>
        <v>4.6094422380987</v>
      </c>
      <c r="Y13" s="3" t="n">
        <f aca="false">M13/$O13*100</f>
        <v>2.73851864909425</v>
      </c>
      <c r="Z13" s="3" t="n">
        <f aca="false">N13/$O13*100</f>
        <v>2.04554174141167</v>
      </c>
    </row>
    <row r="14" customFormat="false" ht="15" hidden="false" customHeight="false" outlineLevel="0" collapsed="false">
      <c r="A14" s="1" t="s">
        <v>131</v>
      </c>
      <c r="B14" s="1" t="s">
        <v>71</v>
      </c>
      <c r="C14" s="1" t="s">
        <v>209</v>
      </c>
      <c r="D14" s="3" t="n">
        <v>43.1992</v>
      </c>
      <c r="E14" s="3" t="n">
        <v>3.7066</v>
      </c>
      <c r="F14" s="3" t="n">
        <v>13.5075</v>
      </c>
      <c r="G14" s="3"/>
      <c r="H14" s="3" t="n">
        <v>12.1793</v>
      </c>
      <c r="I14" s="3" t="n">
        <v>0.1319</v>
      </c>
      <c r="J14" s="3" t="n">
        <v>4.612</v>
      </c>
      <c r="K14" s="3" t="n">
        <v>9.9224</v>
      </c>
      <c r="L14" s="3" t="n">
        <v>4.3501</v>
      </c>
      <c r="M14" s="3" t="n">
        <v>2.7305</v>
      </c>
      <c r="N14" s="3" t="n">
        <v>1.9267</v>
      </c>
      <c r="O14" s="3" t="n">
        <f aca="false">SUM(D14:N14)</f>
        <v>96.2662</v>
      </c>
      <c r="P14" s="3" t="n">
        <f aca="false">D14/$O14*100</f>
        <v>44.8747327722503</v>
      </c>
      <c r="Q14" s="3" t="n">
        <f aca="false">E14/$O14*100</f>
        <v>3.85036492559174</v>
      </c>
      <c r="R14" s="3" t="n">
        <f aca="false">F14/$O14*100</f>
        <v>14.0314045843713</v>
      </c>
      <c r="S14" s="3" t="n">
        <f aca="false">G14/$O14*100</f>
        <v>0</v>
      </c>
      <c r="T14" s="3" t="n">
        <f aca="false">H14/$O14*100</f>
        <v>12.6516887547239</v>
      </c>
      <c r="U14" s="3" t="n">
        <f aca="false">I14/$O14*100</f>
        <v>0.137015899661563</v>
      </c>
      <c r="V14" s="3" t="n">
        <f aca="false">J14/$O14*100</f>
        <v>4.79088195025876</v>
      </c>
      <c r="W14" s="3" t="n">
        <f aca="false">K14/$O14*100</f>
        <v>10.3072521819704</v>
      </c>
      <c r="X14" s="3" t="n">
        <f aca="false">L14/$O14*100</f>
        <v>4.51882384471393</v>
      </c>
      <c r="Y14" s="3" t="n">
        <f aca="false">M14/$O14*100</f>
        <v>2.83640571664821</v>
      </c>
      <c r="Z14" s="3" t="n">
        <f aca="false">N14/$O14*100</f>
        <v>2.00142936980996</v>
      </c>
    </row>
    <row r="15" customFormat="false" ht="15" hidden="false" customHeight="false" outlineLevel="0" collapsed="false">
      <c r="A15" s="1" t="s">
        <v>132</v>
      </c>
      <c r="B15" s="1" t="s">
        <v>71</v>
      </c>
      <c r="C15" s="1" t="s">
        <v>209</v>
      </c>
      <c r="D15" s="3" t="n">
        <v>43.1328</v>
      </c>
      <c r="E15" s="3" t="n">
        <v>3.7328</v>
      </c>
      <c r="F15" s="3" t="n">
        <v>13.5483</v>
      </c>
      <c r="G15" s="3"/>
      <c r="H15" s="3" t="n">
        <v>12.0677</v>
      </c>
      <c r="I15" s="3" t="n">
        <v>0.2323</v>
      </c>
      <c r="J15" s="3" t="n">
        <v>4.6076</v>
      </c>
      <c r="K15" s="3" t="n">
        <v>9.6974</v>
      </c>
      <c r="L15" s="3" t="n">
        <v>4.3834</v>
      </c>
      <c r="M15" s="3" t="n">
        <v>2.6162</v>
      </c>
      <c r="N15" s="3" t="n">
        <v>1.9904</v>
      </c>
      <c r="O15" s="3" t="n">
        <f aca="false">SUM(D15:N15)</f>
        <v>96.0089</v>
      </c>
      <c r="P15" s="3" t="n">
        <f aca="false">D15/$O15*100</f>
        <v>44.9258350007135</v>
      </c>
      <c r="Q15" s="3" t="n">
        <f aca="false">E15/$O15*100</f>
        <v>3.88797288584704</v>
      </c>
      <c r="R15" s="3" t="n">
        <f aca="false">F15/$O15*100</f>
        <v>14.1115042459605</v>
      </c>
      <c r="S15" s="3" t="n">
        <f aca="false">G15/$O15*100</f>
        <v>0</v>
      </c>
      <c r="T15" s="3" t="n">
        <f aca="false">H15/$O15*100</f>
        <v>12.5693555493293</v>
      </c>
      <c r="U15" s="3" t="n">
        <f aca="false">I15/$O15*100</f>
        <v>0.241956735261002</v>
      </c>
      <c r="V15" s="3" t="n">
        <f aca="false">J15/$O15*100</f>
        <v>4.79913841320961</v>
      </c>
      <c r="W15" s="3" t="n">
        <f aca="false">K15/$O15*100</f>
        <v>10.1005219307793</v>
      </c>
      <c r="X15" s="3" t="n">
        <f aca="false">L15/$O15*100</f>
        <v>4.56561839579456</v>
      </c>
      <c r="Y15" s="3" t="n">
        <f aca="false">M15/$O15*100</f>
        <v>2.72495570723131</v>
      </c>
      <c r="Z15" s="3" t="n">
        <f aca="false">N15/$O15*100</f>
        <v>2.07314113587386</v>
      </c>
    </row>
    <row r="16" customFormat="false" ht="15" hidden="false" customHeight="false" outlineLevel="0" collapsed="false">
      <c r="C16" s="1" t="s">
        <v>14</v>
      </c>
      <c r="D16" s="3" t="n">
        <f aca="false">AVERAGE(D3:D15)</f>
        <v>43.1824692307692</v>
      </c>
      <c r="E16" s="3" t="n">
        <f aca="false">AVERAGE(E3:E15)</f>
        <v>3.73210769230769</v>
      </c>
      <c r="F16" s="3" t="n">
        <f aca="false">AVERAGE(F3:F15)</f>
        <v>13.6033769230769</v>
      </c>
      <c r="G16" s="3" t="n">
        <f aca="false">AVERAGE(G3:G15)</f>
        <v>0.016</v>
      </c>
      <c r="H16" s="3" t="n">
        <f aca="false">AVERAGE(H3:H15)</f>
        <v>12.441</v>
      </c>
      <c r="I16" s="3" t="n">
        <f aca="false">AVERAGE(I3:I15)</f>
        <v>0.223338461538462</v>
      </c>
      <c r="J16" s="3" t="n">
        <f aca="false">AVERAGE(J3:J15)</f>
        <v>4.54571538461539</v>
      </c>
      <c r="K16" s="3" t="n">
        <f aca="false">AVERAGE(K3:K15)</f>
        <v>9.81959230769231</v>
      </c>
      <c r="L16" s="3" t="n">
        <f aca="false">AVERAGE(L3:L15)</f>
        <v>4.52151538461539</v>
      </c>
      <c r="M16" s="3" t="n">
        <f aca="false">AVERAGE(M3:M15)</f>
        <v>2.61368461538462</v>
      </c>
      <c r="N16" s="3" t="n">
        <f aca="false">AVERAGE(N3:N15)</f>
        <v>1.86626923076923</v>
      </c>
      <c r="O16" s="3" t="n">
        <f aca="false">SUM(D16:N16)</f>
        <v>96.5650692307692</v>
      </c>
      <c r="P16" s="3" t="n">
        <f aca="false">AVERAGE(P3:P15)</f>
        <v>44.7234974221782</v>
      </c>
      <c r="Q16" s="3" t="n">
        <f aca="false">AVERAGE(Q3:Q15)</f>
        <v>3.86513116633612</v>
      </c>
      <c r="R16" s="3" t="n">
        <f aca="false">AVERAGE(R3:R15)</f>
        <v>14.0885978326215</v>
      </c>
      <c r="S16" s="3" t="n">
        <f aca="false">AVERAGE(S3:S15)</f>
        <v>0.00629857339433552</v>
      </c>
      <c r="T16" s="3" t="n">
        <f aca="false">AVERAGE(T3:T15)</f>
        <v>12.8840272094466</v>
      </c>
      <c r="U16" s="3" t="n">
        <f aca="false">AVERAGE(U3:U15)</f>
        <v>0.2312558619147</v>
      </c>
      <c r="V16" s="3" t="n">
        <f aca="false">AVERAGE(V3:V15)</f>
        <v>4.70808660664176</v>
      </c>
      <c r="W16" s="3" t="n">
        <f aca="false">AVERAGE(W3:W15)</f>
        <v>10.1704210911589</v>
      </c>
      <c r="X16" s="3" t="n">
        <f aca="false">AVERAGE(X3:X15)</f>
        <v>4.68259886767224</v>
      </c>
      <c r="Y16" s="3" t="n">
        <f aca="false">AVERAGE(Y3:Y15)</f>
        <v>2.70703513048983</v>
      </c>
      <c r="Z16" s="3" t="n">
        <f aca="false">AVERAGE(Z3:Z15)</f>
        <v>1.93305023814584</v>
      </c>
    </row>
    <row r="17" customFormat="false" ht="15" hidden="false" customHeight="false" outlineLevel="0" collapsed="false">
      <c r="C17" s="1" t="s">
        <v>81</v>
      </c>
      <c r="D17" s="3" t="n">
        <f aca="false">_xlfn.STDEV.P(D3:D15)</f>
        <v>0.221410431220514</v>
      </c>
      <c r="E17" s="3" t="n">
        <f aca="false">_xlfn.STDEV.P(E3:E15)</f>
        <v>0.103973705711059</v>
      </c>
      <c r="F17" s="3" t="n">
        <f aca="false">_xlfn.STDEV.P(F3:F15)</f>
        <v>0.149925464321679</v>
      </c>
      <c r="G17" s="3" t="n">
        <f aca="false">_xlfn.STDEV.P(G3:G15)</f>
        <v>0.0272763633939717</v>
      </c>
      <c r="H17" s="3" t="n">
        <f aca="false">_xlfn.STDEV.P(H3:H15)</f>
        <v>0.283222269333034</v>
      </c>
      <c r="I17" s="3" t="n">
        <f aca="false">_xlfn.STDEV.P(I3:I15)</f>
        <v>0.0462769678293564</v>
      </c>
      <c r="J17" s="3" t="n">
        <f aca="false">_xlfn.STDEV.P(J3:J15)</f>
        <v>0.0474521110198132</v>
      </c>
      <c r="K17" s="3" t="n">
        <f aca="false">_xlfn.STDEV.P(K3:K15)</f>
        <v>0.0971388099698923</v>
      </c>
      <c r="L17" s="3" t="n">
        <f aca="false">_xlfn.STDEV.P(L3:L15)</f>
        <v>0.115340291486699</v>
      </c>
      <c r="M17" s="3" t="n">
        <f aca="false">_xlfn.STDEV.P(M3:M15)</f>
        <v>0.0638903609698057</v>
      </c>
      <c r="N17" s="3" t="n">
        <f aca="false">_xlfn.STDEV.P(N3:N15)</f>
        <v>0.14427962905742</v>
      </c>
      <c r="O17" s="3"/>
      <c r="P17" s="3" t="n">
        <f aca="false">_xlfn.STDEV.P(P3:P15)</f>
        <v>0.179178061809258</v>
      </c>
      <c r="Q17" s="3" t="n">
        <f aca="false">_xlfn.STDEV.P(Q3:Q15)</f>
        <v>0.101321642039488</v>
      </c>
      <c r="R17" s="3" t="n">
        <f aca="false">_xlfn.STDEV.P(R3:R15)</f>
        <v>0.124631455327875</v>
      </c>
      <c r="S17" s="3" t="n">
        <f aca="false">_xlfn.STDEV.P(S3:S15)</f>
        <v>0.0190150990790135</v>
      </c>
      <c r="T17" s="3" t="n">
        <f aca="false">_xlfn.STDEV.P(T3:T15)</f>
        <v>0.244192093645016</v>
      </c>
      <c r="U17" s="3" t="n">
        <f aca="false">_xlfn.STDEV.P(U3:U15)</f>
        <v>0.0476900625969482</v>
      </c>
      <c r="V17" s="3" t="n">
        <f aca="false">_xlfn.STDEV.P(V3:V15)</f>
        <v>0.060071340043135</v>
      </c>
      <c r="W17" s="3" t="n">
        <f aca="false">_xlfn.STDEV.P(W3:W15)</f>
        <v>0.130748895020458</v>
      </c>
      <c r="X17" s="3" t="n">
        <f aca="false">_xlfn.STDEV.P(X3:X15)</f>
        <v>0.107063192721232</v>
      </c>
      <c r="Y17" s="3" t="n">
        <f aca="false">_xlfn.STDEV.P(Y3:Y15)</f>
        <v>0.0687417958884341</v>
      </c>
      <c r="Z17" s="3" t="n">
        <f aca="false">_xlfn.STDEV.P(Z3:Z15)</f>
        <v>0.151618059325572</v>
      </c>
    </row>
    <row r="18" customFormat="false" ht="15" hidden="false" customHeight="false" outlineLevel="0" collapsed="false">
      <c r="C18" s="1" t="s">
        <v>66</v>
      </c>
      <c r="D18" s="3" t="n">
        <f aca="false">D16/$O$16*100</f>
        <v>44.7185194136532</v>
      </c>
      <c r="E18" s="3" t="n">
        <f aca="false">E16/$O$16*100</f>
        <v>3.86486306284188</v>
      </c>
      <c r="F18" s="3" t="n">
        <f aca="false">F16/$O$16*100</f>
        <v>14.0872647132555</v>
      </c>
      <c r="G18" s="3" t="n">
        <f aca="false">G16/$O$16*100</f>
        <v>0.0165691384342754</v>
      </c>
      <c r="H18" s="3" t="n">
        <f aca="false">H16/$O$16*100</f>
        <v>12.8835407038012</v>
      </c>
      <c r="I18" s="3" t="n">
        <f aca="false">I16/$O$16*100</f>
        <v>0.231282867933053</v>
      </c>
      <c r="J18" s="3" t="n">
        <f aca="false">J16/$O$16*100</f>
        <v>4.70741171815673</v>
      </c>
      <c r="K18" s="3" t="n">
        <f aca="false">K16/$O$16*100</f>
        <v>10.1688865196437</v>
      </c>
      <c r="L18" s="3" t="n">
        <f aca="false">L16/$O$16*100</f>
        <v>4.68235089627488</v>
      </c>
      <c r="M18" s="3" t="n">
        <f aca="false">M16/$O$16*100</f>
        <v>2.70665638849022</v>
      </c>
      <c r="N18" s="3" t="n">
        <f aca="false">N16/$O$16*100</f>
        <v>1.93265457751525</v>
      </c>
      <c r="O18" s="3"/>
    </row>
    <row r="19" customFormat="false" ht="15" hidden="false" customHeight="false" outlineLevel="0" collapsed="false"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customFormat="false" ht="15" hidden="false" customHeight="false" outlineLevel="0" collapsed="false">
      <c r="A20" s="1" t="s">
        <v>151</v>
      </c>
      <c r="B20" s="1" t="s">
        <v>82</v>
      </c>
      <c r="C20" s="1" t="s">
        <v>210</v>
      </c>
      <c r="D20" s="3" t="n">
        <v>0.0777</v>
      </c>
      <c r="E20" s="3" t="n">
        <v>18.29</v>
      </c>
      <c r="F20" s="3" t="n">
        <v>4.0512</v>
      </c>
      <c r="G20" s="3" t="n">
        <v>0.1145</v>
      </c>
      <c r="H20" s="3" t="n">
        <v>66.5297</v>
      </c>
      <c r="I20" s="3" t="n">
        <v>0.4193</v>
      </c>
      <c r="J20" s="3" t="n">
        <v>6.0212</v>
      </c>
      <c r="K20" s="3" t="n">
        <v>0.0634</v>
      </c>
      <c r="L20" s="3" t="n">
        <v>0.0422</v>
      </c>
      <c r="M20" s="3"/>
      <c r="N20" s="3" t="n">
        <v>0</v>
      </c>
      <c r="O20" s="3" t="n">
        <f aca="false">SUM(D20:N20)</f>
        <v>95.6092</v>
      </c>
    </row>
    <row r="21" customFormat="false" ht="15" hidden="false" customHeight="false" outlineLevel="0" collapsed="false">
      <c r="A21" s="1" t="s">
        <v>153</v>
      </c>
      <c r="B21" s="1" t="s">
        <v>82</v>
      </c>
      <c r="C21" s="1" t="s">
        <v>210</v>
      </c>
      <c r="D21" s="3" t="n">
        <v>0.0976</v>
      </c>
      <c r="E21" s="3" t="n">
        <v>18.5093</v>
      </c>
      <c r="F21" s="3" t="n">
        <v>4.1797</v>
      </c>
      <c r="G21" s="3" t="n">
        <v>0.0038</v>
      </c>
      <c r="H21" s="3" t="n">
        <v>65.9289</v>
      </c>
      <c r="I21" s="3" t="n">
        <v>0.4858</v>
      </c>
      <c r="J21" s="3" t="n">
        <v>5.9358</v>
      </c>
      <c r="K21" s="3" t="n">
        <v>0.0813</v>
      </c>
      <c r="L21" s="3" t="n">
        <v>0.0018</v>
      </c>
      <c r="M21" s="3"/>
      <c r="N21" s="3" t="n">
        <v>0</v>
      </c>
      <c r="O21" s="3" t="n">
        <f aca="false">SUM(D21:N21)</f>
        <v>95.224</v>
      </c>
    </row>
    <row r="22" customFormat="false" ht="15" hidden="false" customHeight="false" outlineLevel="0" collapsed="false">
      <c r="A22" s="1" t="s">
        <v>136</v>
      </c>
      <c r="B22" s="1" t="s">
        <v>82</v>
      </c>
      <c r="C22" s="1" t="s">
        <v>210</v>
      </c>
      <c r="D22" s="3" t="n">
        <v>0.1299</v>
      </c>
      <c r="E22" s="3" t="n">
        <v>18.2473</v>
      </c>
      <c r="F22" s="3" t="n">
        <v>4.2147</v>
      </c>
      <c r="G22" s="3" t="n">
        <v>0.0706</v>
      </c>
      <c r="H22" s="3" t="n">
        <v>66.134</v>
      </c>
      <c r="I22" s="3" t="n">
        <v>0.4291</v>
      </c>
      <c r="J22" s="3" t="n">
        <v>6.0984</v>
      </c>
      <c r="K22" s="3" t="n">
        <v>0.1386</v>
      </c>
      <c r="L22" s="3" t="n">
        <v>0.0018</v>
      </c>
      <c r="M22" s="3"/>
      <c r="N22" s="3" t="n">
        <v>0</v>
      </c>
      <c r="O22" s="3" t="n">
        <f aca="false">SUM(D22:N22)</f>
        <v>95.4644</v>
      </c>
    </row>
    <row r="23" customFormat="false" ht="15" hidden="false" customHeight="false" outlineLevel="0" collapsed="false">
      <c r="A23" s="1" t="s">
        <v>138</v>
      </c>
      <c r="B23" s="1" t="s">
        <v>82</v>
      </c>
      <c r="C23" s="1" t="s">
        <v>210</v>
      </c>
      <c r="D23" s="3" t="n">
        <v>0.1062</v>
      </c>
      <c r="E23" s="3" t="n">
        <v>18.3774</v>
      </c>
      <c r="F23" s="3" t="n">
        <v>4.1983</v>
      </c>
      <c r="G23" s="3" t="n">
        <v>0.5474</v>
      </c>
      <c r="H23" s="3" t="n">
        <v>65.9503</v>
      </c>
      <c r="I23" s="3" t="n">
        <v>0.4249</v>
      </c>
      <c r="J23" s="3" t="n">
        <v>5.9594</v>
      </c>
      <c r="K23" s="3" t="n">
        <v>0.0704</v>
      </c>
      <c r="L23" s="3" t="n">
        <v>0.0093</v>
      </c>
      <c r="M23" s="3"/>
      <c r="N23" s="3" t="n">
        <v>0.0677</v>
      </c>
      <c r="O23" s="3" t="n">
        <f aca="false">SUM(D23:N23)</f>
        <v>95.7113</v>
      </c>
    </row>
    <row r="24" customFormat="false" ht="15" hidden="false" customHeight="false" outlineLevel="0" collapsed="false">
      <c r="A24" s="1" t="s">
        <v>139</v>
      </c>
      <c r="B24" s="1" t="s">
        <v>82</v>
      </c>
      <c r="C24" s="1" t="s">
        <v>210</v>
      </c>
      <c r="D24" s="3" t="n">
        <v>0.1151</v>
      </c>
      <c r="E24" s="3" t="n">
        <v>18.4183</v>
      </c>
      <c r="F24" s="3" t="n">
        <v>4.1616</v>
      </c>
      <c r="G24" s="3" t="n">
        <v>0.0621</v>
      </c>
      <c r="H24" s="3" t="n">
        <v>65.6045</v>
      </c>
      <c r="I24" s="3" t="n">
        <v>0.3599</v>
      </c>
      <c r="J24" s="3" t="n">
        <v>5.9363</v>
      </c>
      <c r="K24" s="3" t="n">
        <v>0.0713</v>
      </c>
      <c r="L24" s="3" t="n">
        <v>0.0074</v>
      </c>
      <c r="M24" s="3"/>
      <c r="N24" s="3" t="n">
        <v>0.0226</v>
      </c>
      <c r="O24" s="3" t="n">
        <f aca="false">SUM(D24:N24)</f>
        <v>94.7591</v>
      </c>
    </row>
    <row r="25" customFormat="false" ht="15" hidden="false" customHeight="false" outlineLevel="0" collapsed="false">
      <c r="A25" s="1" t="s">
        <v>143</v>
      </c>
      <c r="B25" s="1" t="s">
        <v>82</v>
      </c>
      <c r="C25" s="1" t="s">
        <v>210</v>
      </c>
      <c r="D25" s="3" t="n">
        <v>0.1125</v>
      </c>
      <c r="E25" s="3" t="n">
        <v>18.5226</v>
      </c>
      <c r="F25" s="3" t="n">
        <v>4.2715</v>
      </c>
      <c r="G25" s="3" t="n">
        <v>0.0718</v>
      </c>
      <c r="H25" s="3" t="n">
        <v>66.102</v>
      </c>
      <c r="I25" s="3" t="n">
        <v>0.4137</v>
      </c>
      <c r="J25" s="3" t="n">
        <v>5.9446</v>
      </c>
      <c r="K25" s="3" t="n">
        <v>0.047</v>
      </c>
      <c r="L25" s="3" t="n">
        <v>0</v>
      </c>
      <c r="M25" s="3"/>
      <c r="N25" s="3" t="n">
        <v>0.0602</v>
      </c>
      <c r="O25" s="3" t="n">
        <f aca="false">SUM(D25:N25)</f>
        <v>95.5459</v>
      </c>
    </row>
    <row r="26" customFormat="false" ht="15" hidden="false" customHeight="false" outlineLevel="0" collapsed="false">
      <c r="C26" s="1" t="s">
        <v>30</v>
      </c>
      <c r="D26" s="3" t="n">
        <f aca="false">AVERAGE(D20:D25)</f>
        <v>0.1065</v>
      </c>
      <c r="E26" s="3" t="n">
        <f aca="false">AVERAGE(E20:E25)</f>
        <v>18.39415</v>
      </c>
      <c r="F26" s="3" t="n">
        <f aca="false">AVERAGE(F20:F25)</f>
        <v>4.1795</v>
      </c>
      <c r="G26" s="3" t="n">
        <f aca="false">AVERAGE(G20:G25)</f>
        <v>0.145033333333333</v>
      </c>
      <c r="H26" s="3" t="n">
        <f aca="false">AVERAGE(H20:H25)</f>
        <v>66.0415666666667</v>
      </c>
      <c r="I26" s="3" t="n">
        <f aca="false">AVERAGE(I20:I25)</f>
        <v>0.422116666666667</v>
      </c>
      <c r="J26" s="3" t="n">
        <f aca="false">AVERAGE(J20:J25)</f>
        <v>5.98261666666667</v>
      </c>
      <c r="K26" s="3" t="n">
        <f aca="false">AVERAGE(K20:K25)</f>
        <v>0.0786666666666667</v>
      </c>
      <c r="L26" s="3" t="n">
        <f aca="false">AVERAGE(L20:L25)</f>
        <v>0.0104166666666667</v>
      </c>
      <c r="M26" s="3"/>
      <c r="N26" s="3" t="n">
        <f aca="false">AVERAGE(N20:N25)</f>
        <v>0.0250833333333333</v>
      </c>
      <c r="O26" s="3" t="n">
        <f aca="false">SUM(D26:N26)</f>
        <v>95.38565</v>
      </c>
    </row>
    <row r="27" customFormat="false" ht="15" hidden="false" customHeight="false" outlineLevel="0" collapsed="false">
      <c r="C27" s="1" t="s">
        <v>81</v>
      </c>
      <c r="D27" s="3" t="n">
        <f aca="false">_xlfn.STDEV.P(D20:D25)</f>
        <v>0.0161568354987396</v>
      </c>
      <c r="E27" s="3" t="n">
        <f aca="false">_xlfn.STDEV.P(E20:E25)</f>
        <v>0.102497849570938</v>
      </c>
      <c r="F27" s="3" t="n">
        <f aca="false">_xlfn.STDEV.P(F20:F25)</f>
        <v>0.0668802661477958</v>
      </c>
      <c r="G27" s="3" t="n">
        <f aca="false">_xlfn.STDEV.P(G20:G25)</f>
        <v>0.182829361852946</v>
      </c>
      <c r="H27" s="3" t="n">
        <f aca="false">_xlfn.STDEV.P(H20:H25)</f>
        <v>0.277645131217693</v>
      </c>
      <c r="I27" s="3" t="n">
        <f aca="false">_xlfn.STDEV.P(I20:I25)</f>
        <v>0.0366555324003834</v>
      </c>
      <c r="J27" s="3" t="n">
        <f aca="false">_xlfn.STDEV.P(J20:J25)</f>
        <v>0.0594639503303378</v>
      </c>
      <c r="K27" s="3" t="n">
        <f aca="false">_xlfn.STDEV.P(K20:K25)</f>
        <v>0.0287442554647398</v>
      </c>
      <c r="L27" s="3" t="n">
        <f aca="false">_xlfn.STDEV.P(L20:L25)</f>
        <v>0.0145918260985008</v>
      </c>
      <c r="M27" s="3"/>
      <c r="N27" s="3" t="n">
        <f aca="false">_xlfn.STDEV.P(N20:N25)</f>
        <v>0.0287026373159138</v>
      </c>
      <c r="O27" s="3"/>
    </row>
    <row r="28" customFormat="false" ht="15" hidden="false" customHeight="false" outlineLevel="0" collapsed="false">
      <c r="C28" s="1" t="s">
        <v>66</v>
      </c>
      <c r="D28" s="3" t="n">
        <f aca="false">D26/$O$26*100</f>
        <v>0.111652014742259</v>
      </c>
      <c r="E28" s="3" t="n">
        <f aca="false">E26/$O$26*100</f>
        <v>19.2839803471487</v>
      </c>
      <c r="F28" s="3" t="n">
        <f aca="false">F26/$O$26*100</f>
        <v>4.38168634380538</v>
      </c>
      <c r="G28" s="3" t="n">
        <f aca="false">G26/$O$26*100</f>
        <v>0.152049426023027</v>
      </c>
      <c r="H28" s="3" t="n">
        <f aca="false">H26/$O$26*100</f>
        <v>69.2363753527566</v>
      </c>
      <c r="I28" s="3" t="n">
        <f aca="false">I26/$O$26*100</f>
        <v>0.442536866569203</v>
      </c>
      <c r="J28" s="3" t="n">
        <f aca="false">J26/$O$26*100</f>
        <v>6.27203008698548</v>
      </c>
      <c r="K28" s="3" t="n">
        <f aca="false">K26/$O$26*100</f>
        <v>0.082472223721982</v>
      </c>
      <c r="L28" s="3" t="n">
        <f aca="false">L26/$O$26*100</f>
        <v>0.0109205804716607</v>
      </c>
      <c r="M28" s="3"/>
      <c r="N28" s="3" t="n">
        <f aca="false">N26/$O$26*100</f>
        <v>0.0262967577757591</v>
      </c>
      <c r="O28" s="3"/>
    </row>
    <row r="29" customFormat="false" ht="15" hidden="false" customHeight="false" outlineLevel="0" collapsed="false"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</row>
    <row r="30" customFormat="false" ht="15" hidden="false" customHeight="false" outlineLevel="0" collapsed="false">
      <c r="A30" s="1" t="s">
        <v>145</v>
      </c>
      <c r="B30" s="1" t="s">
        <v>82</v>
      </c>
      <c r="C30" s="1" t="s">
        <v>211</v>
      </c>
      <c r="D30" s="3" t="n">
        <v>38.5415</v>
      </c>
      <c r="E30" s="3" t="n">
        <v>0.071</v>
      </c>
      <c r="F30" s="3" t="n">
        <v>0.0469</v>
      </c>
      <c r="G30" s="3" t="n">
        <v>0.0246</v>
      </c>
      <c r="H30" s="3" t="n">
        <v>22.7887</v>
      </c>
      <c r="I30" s="3" t="n">
        <v>0.4565</v>
      </c>
      <c r="J30" s="3" t="n">
        <v>38.6174</v>
      </c>
      <c r="K30" s="3" t="n">
        <v>0.3971</v>
      </c>
      <c r="L30" s="3" t="n">
        <v>0.0176</v>
      </c>
      <c r="M30" s="3"/>
      <c r="N30" s="3" t="n">
        <v>0.0947</v>
      </c>
      <c r="O30" s="3" t="n">
        <f aca="false">SUM(D30:N30)</f>
        <v>101.056</v>
      </c>
    </row>
    <row r="31" customFormat="false" ht="15" hidden="false" customHeight="false" outlineLevel="0" collapsed="false">
      <c r="A31" s="1" t="s">
        <v>124</v>
      </c>
      <c r="B31" s="1" t="s">
        <v>82</v>
      </c>
      <c r="C31" s="1" t="s">
        <v>211</v>
      </c>
      <c r="D31" s="3" t="n">
        <v>38.6915</v>
      </c>
      <c r="E31" s="3" t="n">
        <v>0.051</v>
      </c>
      <c r="F31" s="3" t="n">
        <v>0.0221</v>
      </c>
      <c r="G31" s="3" t="n">
        <v>0.0423</v>
      </c>
      <c r="H31" s="3" t="n">
        <v>21.5053</v>
      </c>
      <c r="I31" s="3" t="n">
        <v>0.3621</v>
      </c>
      <c r="J31" s="3" t="n">
        <v>38.9238</v>
      </c>
      <c r="K31" s="3" t="n">
        <v>0.3633</v>
      </c>
      <c r="L31" s="3" t="n">
        <v>0.0284</v>
      </c>
      <c r="M31" s="3"/>
      <c r="N31" s="3" t="n">
        <v>0.0428</v>
      </c>
      <c r="O31" s="3" t="n">
        <f aca="false">SUM(D31:N31)</f>
        <v>100.0326</v>
      </c>
    </row>
    <row r="32" customFormat="false" ht="15" hidden="false" customHeight="false" outlineLevel="0" collapsed="false">
      <c r="A32" s="1" t="s">
        <v>146</v>
      </c>
      <c r="B32" s="1" t="s">
        <v>82</v>
      </c>
      <c r="C32" s="1" t="s">
        <v>211</v>
      </c>
      <c r="D32" s="3" t="n">
        <v>38.696</v>
      </c>
      <c r="E32" s="3" t="n">
        <v>0.0721</v>
      </c>
      <c r="F32" s="3" t="n">
        <v>0.0211</v>
      </c>
      <c r="G32" s="3" t="n">
        <v>0.0791</v>
      </c>
      <c r="H32" s="3" t="n">
        <v>22.0027</v>
      </c>
      <c r="I32" s="3" t="n">
        <v>0.3651</v>
      </c>
      <c r="J32" s="3" t="n">
        <v>38.4127</v>
      </c>
      <c r="K32" s="3" t="n">
        <v>0.3605</v>
      </c>
      <c r="L32" s="3" t="n">
        <v>0.0012</v>
      </c>
      <c r="M32" s="3"/>
      <c r="N32" s="3" t="n">
        <v>0.1099</v>
      </c>
      <c r="O32" s="3" t="n">
        <f aca="false">SUM(D32:N32)</f>
        <v>100.1204</v>
      </c>
    </row>
    <row r="33" customFormat="false" ht="15" hidden="false" customHeight="false" outlineLevel="0" collapsed="false">
      <c r="A33" s="1" t="s">
        <v>147</v>
      </c>
      <c r="B33" s="1" t="s">
        <v>82</v>
      </c>
      <c r="C33" s="1" t="s">
        <v>211</v>
      </c>
      <c r="D33" s="3" t="n">
        <v>38.6598</v>
      </c>
      <c r="E33" s="3" t="n">
        <v>0.0744</v>
      </c>
      <c r="F33" s="3" t="n">
        <v>0.0182</v>
      </c>
      <c r="G33" s="3" t="n">
        <v>0</v>
      </c>
      <c r="H33" s="3" t="n">
        <v>22.6154</v>
      </c>
      <c r="I33" s="3" t="n">
        <v>0.3226</v>
      </c>
      <c r="J33" s="3" t="n">
        <v>38.3034</v>
      </c>
      <c r="K33" s="3" t="n">
        <v>0.4003</v>
      </c>
      <c r="L33" s="3" t="n">
        <v>0</v>
      </c>
      <c r="M33" s="3"/>
      <c r="N33" s="3" t="n">
        <v>0.1521</v>
      </c>
      <c r="O33" s="3" t="n">
        <f aca="false">SUM(D33:N33)</f>
        <v>100.5462</v>
      </c>
    </row>
    <row r="34" customFormat="false" ht="15" hidden="false" customHeight="false" outlineLevel="0" collapsed="false">
      <c r="A34" s="1" t="s">
        <v>148</v>
      </c>
      <c r="B34" s="1" t="s">
        <v>82</v>
      </c>
      <c r="C34" s="1" t="s">
        <v>211</v>
      </c>
      <c r="D34" s="3" t="n">
        <v>38.871</v>
      </c>
      <c r="E34" s="3" t="n">
        <v>0.0464</v>
      </c>
      <c r="F34" s="3" t="n">
        <v>0.0321</v>
      </c>
      <c r="G34" s="3" t="n">
        <v>0.0022</v>
      </c>
      <c r="H34" s="3" t="n">
        <v>21.8893</v>
      </c>
      <c r="I34" s="3" t="n">
        <v>0.3464</v>
      </c>
      <c r="J34" s="3" t="n">
        <v>38.5812</v>
      </c>
      <c r="K34" s="3" t="n">
        <v>0.3464</v>
      </c>
      <c r="L34" s="3" t="n">
        <v>0.0098</v>
      </c>
      <c r="M34" s="3"/>
      <c r="N34" s="3" t="n">
        <v>0.0593</v>
      </c>
      <c r="O34" s="3" t="n">
        <f aca="false">SUM(D34:N34)</f>
        <v>100.1841</v>
      </c>
    </row>
    <row r="35" customFormat="false" ht="15" hidden="false" customHeight="false" outlineLevel="0" collapsed="false">
      <c r="A35" s="1" t="s">
        <v>149</v>
      </c>
      <c r="B35" s="1" t="s">
        <v>82</v>
      </c>
      <c r="C35" s="1" t="s">
        <v>211</v>
      </c>
      <c r="D35" s="3" t="n">
        <v>38.5692</v>
      </c>
      <c r="E35" s="3" t="n">
        <v>0.0579</v>
      </c>
      <c r="F35" s="3" t="n">
        <v>0.0273</v>
      </c>
      <c r="G35" s="3" t="n">
        <v>0.0286</v>
      </c>
      <c r="H35" s="3" t="n">
        <v>21.8738</v>
      </c>
      <c r="I35" s="3" t="n">
        <v>0.3755</v>
      </c>
      <c r="J35" s="3" t="n">
        <v>38.3325</v>
      </c>
      <c r="K35" s="3" t="n">
        <v>0.4158</v>
      </c>
      <c r="L35" s="3" t="n">
        <v>0.0129</v>
      </c>
      <c r="M35" s="3"/>
      <c r="N35" s="3" t="n">
        <v>0.186</v>
      </c>
      <c r="O35" s="3" t="n">
        <f aca="false">SUM(D35:N35)</f>
        <v>99.8795</v>
      </c>
    </row>
    <row r="36" customFormat="false" ht="15" hidden="false" customHeight="false" outlineLevel="0" collapsed="false">
      <c r="A36" s="1" t="s">
        <v>150</v>
      </c>
      <c r="B36" s="1" t="s">
        <v>82</v>
      </c>
      <c r="C36" s="1" t="s">
        <v>211</v>
      </c>
      <c r="D36" s="3" t="n">
        <v>38.6424</v>
      </c>
      <c r="E36" s="3" t="n">
        <v>0.1133</v>
      </c>
      <c r="F36" s="3" t="n">
        <v>0.0325</v>
      </c>
      <c r="G36" s="3" t="n">
        <v>0</v>
      </c>
      <c r="H36" s="3" t="n">
        <v>22.6055</v>
      </c>
      <c r="I36" s="3" t="n">
        <v>0.4047</v>
      </c>
      <c r="J36" s="3" t="n">
        <v>37.8354</v>
      </c>
      <c r="K36" s="3" t="n">
        <v>0.4866</v>
      </c>
      <c r="L36" s="3" t="n">
        <v>0.0186</v>
      </c>
      <c r="M36" s="3"/>
      <c r="N36" s="3" t="n">
        <v>0.212</v>
      </c>
      <c r="O36" s="3" t="n">
        <f aca="false">SUM(D36:N36)</f>
        <v>100.351</v>
      </c>
    </row>
    <row r="37" customFormat="false" ht="15" hidden="false" customHeight="false" outlineLevel="0" collapsed="false">
      <c r="A37" s="1" t="s">
        <v>135</v>
      </c>
      <c r="B37" s="1" t="s">
        <v>82</v>
      </c>
      <c r="C37" s="1" t="s">
        <v>212</v>
      </c>
      <c r="D37" s="3" t="n">
        <v>38.595</v>
      </c>
      <c r="E37" s="3" t="n">
        <v>0.0334</v>
      </c>
      <c r="F37" s="3" t="n">
        <v>0.0437</v>
      </c>
      <c r="G37" s="3" t="n">
        <v>0.014</v>
      </c>
      <c r="H37" s="3" t="n">
        <v>22.4797</v>
      </c>
      <c r="I37" s="3" t="n">
        <v>0.3704</v>
      </c>
      <c r="J37" s="3" t="n">
        <v>38.0715</v>
      </c>
      <c r="K37" s="3" t="n">
        <v>0.433</v>
      </c>
      <c r="L37" s="3" t="n">
        <v>0</v>
      </c>
      <c r="M37" s="3" t="n">
        <v>0.0047</v>
      </c>
      <c r="N37" s="3" t="n">
        <v>0.023</v>
      </c>
      <c r="O37" s="3" t="n">
        <f aca="false">SUM(D37:N37)</f>
        <v>100.0684</v>
      </c>
    </row>
    <row r="38" customFormat="false" ht="15" hidden="false" customHeight="false" outlineLevel="0" collapsed="false">
      <c r="A38" s="1" t="s">
        <v>92</v>
      </c>
      <c r="B38" s="1" t="s">
        <v>82</v>
      </c>
      <c r="C38" s="1" t="s">
        <v>212</v>
      </c>
      <c r="D38" s="3" t="n">
        <v>38.8429</v>
      </c>
      <c r="E38" s="3" t="n">
        <v>0.0113</v>
      </c>
      <c r="F38" s="3" t="n">
        <v>0.0255</v>
      </c>
      <c r="G38" s="3" t="n">
        <v>0.0095</v>
      </c>
      <c r="H38" s="3" t="n">
        <v>22.3803</v>
      </c>
      <c r="I38" s="3" t="n">
        <v>0.3239</v>
      </c>
      <c r="J38" s="3" t="n">
        <v>38.6445</v>
      </c>
      <c r="K38" s="3" t="n">
        <v>0.3626</v>
      </c>
      <c r="L38" s="3" t="n">
        <v>0.0387</v>
      </c>
      <c r="M38" s="3" t="n">
        <v>0.0171</v>
      </c>
      <c r="N38" s="3" t="n">
        <v>0.0896</v>
      </c>
      <c r="O38" s="3" t="n">
        <f aca="false">SUM(D38:N38)</f>
        <v>100.7459</v>
      </c>
    </row>
    <row r="39" customFormat="false" ht="15" hidden="false" customHeight="false" outlineLevel="0" collapsed="false">
      <c r="A39" s="1" t="s">
        <v>89</v>
      </c>
      <c r="B39" s="1" t="s">
        <v>82</v>
      </c>
      <c r="C39" s="1" t="s">
        <v>213</v>
      </c>
      <c r="D39" s="3" t="n">
        <v>38.4392</v>
      </c>
      <c r="E39" s="3" t="n">
        <v>0.077</v>
      </c>
      <c r="F39" s="3" t="n">
        <v>0.0341</v>
      </c>
      <c r="G39" s="3" t="n">
        <v>0</v>
      </c>
      <c r="H39" s="3" t="n">
        <v>23.484</v>
      </c>
      <c r="I39" s="3" t="n">
        <v>0.3601</v>
      </c>
      <c r="J39" s="3" t="n">
        <v>37.9151</v>
      </c>
      <c r="K39" s="3" t="n">
        <v>0.2338</v>
      </c>
      <c r="L39" s="3" t="n">
        <v>0.0049</v>
      </c>
      <c r="M39" s="3" t="n">
        <v>0.0024</v>
      </c>
      <c r="N39" s="3" t="n">
        <v>0.2026</v>
      </c>
      <c r="O39" s="3" t="n">
        <f aca="false">SUM(D39:N39)</f>
        <v>100.7532</v>
      </c>
    </row>
    <row r="40" customFormat="false" ht="15" hidden="false" customHeight="false" outlineLevel="0" collapsed="false">
      <c r="A40" s="1" t="s">
        <v>91</v>
      </c>
      <c r="B40" s="1" t="s">
        <v>82</v>
      </c>
      <c r="C40" s="1" t="s">
        <v>213</v>
      </c>
      <c r="D40" s="3" t="n">
        <v>38.4627</v>
      </c>
      <c r="E40" s="3" t="n">
        <v>0.043</v>
      </c>
      <c r="F40" s="3" t="n">
        <v>0.0397</v>
      </c>
      <c r="G40" s="3" t="n">
        <v>0.0545</v>
      </c>
      <c r="H40" s="3" t="n">
        <v>22.1631</v>
      </c>
      <c r="I40" s="3" t="n">
        <v>0.3737</v>
      </c>
      <c r="J40" s="3" t="n">
        <v>38.95</v>
      </c>
      <c r="K40" s="3" t="n">
        <v>0.3455</v>
      </c>
      <c r="L40" s="3" t="n">
        <v>0</v>
      </c>
      <c r="M40" s="3" t="n">
        <v>0.0043</v>
      </c>
      <c r="N40" s="3" t="n">
        <v>0.0817</v>
      </c>
      <c r="O40" s="3" t="n">
        <f aca="false">SUM(D40:N40)</f>
        <v>100.5182</v>
      </c>
    </row>
    <row r="41" customFormat="false" ht="15" hidden="false" customHeight="false" outlineLevel="0" collapsed="false">
      <c r="C41" s="1" t="s">
        <v>32</v>
      </c>
      <c r="D41" s="3" t="n">
        <f aca="false">AVERAGE(D30:D40)</f>
        <v>38.6373818181818</v>
      </c>
      <c r="E41" s="3" t="n">
        <f aca="false">AVERAGE(E30:E40)</f>
        <v>0.0591636363636364</v>
      </c>
      <c r="F41" s="3" t="n">
        <f aca="false">AVERAGE(F30:F40)</f>
        <v>0.0312</v>
      </c>
      <c r="G41" s="3" t="n">
        <f aca="false">AVERAGE(G30:G40)</f>
        <v>0.0231636363636364</v>
      </c>
      <c r="H41" s="3" t="n">
        <f aca="false">AVERAGE(H30:H40)</f>
        <v>22.3443454545455</v>
      </c>
      <c r="I41" s="3" t="n">
        <f aca="false">AVERAGE(I30:I40)</f>
        <v>0.369181818181818</v>
      </c>
      <c r="J41" s="3" t="n">
        <f aca="false">AVERAGE(J30:J40)</f>
        <v>38.4170454545455</v>
      </c>
      <c r="K41" s="3" t="n">
        <f aca="false">AVERAGE(K30:K40)</f>
        <v>0.376809090909091</v>
      </c>
      <c r="L41" s="3" t="n">
        <f aca="false">AVERAGE(L30:L40)</f>
        <v>0.0120090909090909</v>
      </c>
      <c r="M41" s="3" t="n">
        <f aca="false">AVERAGE(M30:M40)</f>
        <v>0.007125</v>
      </c>
      <c r="N41" s="3" t="n">
        <f aca="false">AVERAGE(N30:N40)</f>
        <v>0.113972727272727</v>
      </c>
      <c r="O41" s="3" t="n">
        <f aca="false">SUM(D41:N41)</f>
        <v>100.391397727273</v>
      </c>
    </row>
    <row r="42" customFormat="false" ht="15" hidden="false" customHeight="false" outlineLevel="0" collapsed="false">
      <c r="C42" s="1" t="s">
        <v>81</v>
      </c>
      <c r="D42" s="3" t="n">
        <f aca="false">_xlfn.STDEV.P(D30:D40)</f>
        <v>0.131126544141575</v>
      </c>
      <c r="E42" s="3" t="n">
        <f aca="false">_xlfn.STDEV.P(E30:E40)</f>
        <v>0.0256472317388791</v>
      </c>
      <c r="F42" s="3" t="n">
        <f aca="false">_xlfn.STDEV.P(F30:F40)</f>
        <v>0.00898190099336134</v>
      </c>
      <c r="G42" s="3" t="n">
        <f aca="false">_xlfn.STDEV.P(G30:G40)</f>
        <v>0.0249152480777708</v>
      </c>
      <c r="H42" s="3" t="n">
        <f aca="false">_xlfn.STDEV.P(H30:H40)</f>
        <v>0.516948870979145</v>
      </c>
      <c r="I42" s="3" t="n">
        <f aca="false">_xlfn.STDEV.P(I30:I40)</f>
        <v>0.0354662917604825</v>
      </c>
      <c r="J42" s="3" t="n">
        <f aca="false">_xlfn.STDEV.P(J30:J40)</f>
        <v>0.355401103399414</v>
      </c>
      <c r="K42" s="3" t="n">
        <f aca="false">_xlfn.STDEV.P(K30:K40)</f>
        <v>0.0608293059537088</v>
      </c>
      <c r="L42" s="3" t="n">
        <f aca="false">_xlfn.STDEV.P(L30:L40)</f>
        <v>0.0122899407902601</v>
      </c>
      <c r="M42" s="3" t="n">
        <f aca="false">_xlfn.STDEV.P(M30:M40)</f>
        <v>0.00582424887861087</v>
      </c>
      <c r="N42" s="3" t="n">
        <f aca="false">_xlfn.STDEV.P(N30:N40)</f>
        <v>0.0621289288629129</v>
      </c>
      <c r="O42" s="3"/>
    </row>
    <row r="43" customFormat="false" ht="15" hidden="false" customHeight="false" outlineLevel="0" collapsed="false">
      <c r="C43" s="1" t="s">
        <v>66</v>
      </c>
      <c r="D43" s="3" t="n">
        <f aca="false">D41/$O$41*100</f>
        <v>38.4867455707168</v>
      </c>
      <c r="E43" s="3" t="n">
        <f aca="false">E41/$O$41*100</f>
        <v>0.0589329740426193</v>
      </c>
      <c r="F43" s="3" t="n">
        <f aca="false">F41/$O$41*100</f>
        <v>0.0310783600052657</v>
      </c>
      <c r="G43" s="3" t="n">
        <f aca="false">G41/$O$41*100</f>
        <v>0.0230733278826973</v>
      </c>
      <c r="H43" s="3" t="n">
        <f aca="false">H41/$O$41*100</f>
        <v>22.2572311576406</v>
      </c>
      <c r="I43" s="3" t="n">
        <f aca="false">I41/$O$41*100</f>
        <v>0.367742482463241</v>
      </c>
      <c r="J43" s="3" t="n">
        <f aca="false">J41/$O$41*100</f>
        <v>38.2672682363789</v>
      </c>
      <c r="K43" s="3" t="n">
        <f aca="false">K41/$O$41*100</f>
        <v>0.375340018606719</v>
      </c>
      <c r="L43" s="3" t="n">
        <f aca="false">L41/$O$41*100</f>
        <v>0.0119622708528427</v>
      </c>
      <c r="M43" s="3" t="n">
        <f aca="false">M41/$O$41*100</f>
        <v>0.0070972216358179</v>
      </c>
      <c r="N43" s="3" t="n">
        <f aca="false">N41/$O$41*100</f>
        <v>0.11352837977448</v>
      </c>
      <c r="O43" s="3"/>
    </row>
    <row r="44" customFormat="false" ht="15" hidden="false" customHeight="false" outlineLevel="0" collapsed="false"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R56"/>
  <sheetViews>
    <sheetView showFormulas="false" showGridLines="true" showRowColHeaders="true" showZeros="true" rightToLeft="false" tabSelected="false" showOutlineSymbols="true" defaultGridColor="true" view="normal" topLeftCell="A36" colorId="64" zoomScale="55" zoomScaleNormal="55" zoomScalePageLayoutView="100" workbookViewId="0">
      <selection pane="topLeft" activeCell="C42" activeCellId="0" sqref="C42"/>
    </sheetView>
  </sheetViews>
  <sheetFormatPr defaultColWidth="10.6445312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15" min="4" style="1" width="6.7"/>
    <col collapsed="false" customWidth="true" hidden="false" outlineLevel="0" max="24" min="16" style="1" width="6.9"/>
    <col collapsed="false" customWidth="true" hidden="false" outlineLevel="0" max="26" min="25" style="1" width="6.5"/>
  </cols>
  <sheetData>
    <row r="1" customFormat="false" ht="15" hidden="false" customHeight="false" outlineLevel="0" collapsed="false">
      <c r="A1" s="19"/>
      <c r="D1" s="3" t="s">
        <v>65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1" t="s">
        <v>66</v>
      </c>
    </row>
    <row r="2" customFormat="false" ht="15" hidden="false" customHeight="false" outlineLevel="0" collapsed="false">
      <c r="B2" s="1" t="s">
        <v>67</v>
      </c>
      <c r="C2" s="1" t="s">
        <v>68</v>
      </c>
      <c r="D2" s="3" t="s">
        <v>15</v>
      </c>
      <c r="E2" s="3" t="s">
        <v>16</v>
      </c>
      <c r="F2" s="3" t="s">
        <v>17</v>
      </c>
      <c r="G2" s="3" t="s">
        <v>31</v>
      </c>
      <c r="H2" s="3" t="s">
        <v>18</v>
      </c>
      <c r="I2" s="3" t="s">
        <v>19</v>
      </c>
      <c r="J2" s="3" t="s">
        <v>20</v>
      </c>
      <c r="K2" s="3" t="s">
        <v>21</v>
      </c>
      <c r="L2" s="3" t="s">
        <v>22</v>
      </c>
      <c r="M2" s="3" t="s">
        <v>23</v>
      </c>
      <c r="N2" s="3" t="s">
        <v>24</v>
      </c>
      <c r="O2" s="3" t="s">
        <v>69</v>
      </c>
      <c r="P2" s="3" t="s">
        <v>15</v>
      </c>
      <c r="Q2" s="3" t="s">
        <v>16</v>
      </c>
      <c r="R2" s="3" t="s">
        <v>17</v>
      </c>
      <c r="S2" s="3" t="s">
        <v>31</v>
      </c>
      <c r="T2" s="3" t="s">
        <v>18</v>
      </c>
      <c r="U2" s="3" t="s">
        <v>19</v>
      </c>
      <c r="V2" s="3" t="s">
        <v>20</v>
      </c>
      <c r="W2" s="3" t="s">
        <v>21</v>
      </c>
      <c r="X2" s="3" t="s">
        <v>22</v>
      </c>
      <c r="Y2" s="3" t="s">
        <v>23</v>
      </c>
      <c r="Z2" s="3" t="s">
        <v>24</v>
      </c>
    </row>
    <row r="3" customFormat="false" ht="15" hidden="false" customHeight="false" outlineLevel="0" collapsed="false">
      <c r="A3" s="1" t="s">
        <v>100</v>
      </c>
      <c r="B3" s="1" t="s">
        <v>71</v>
      </c>
      <c r="C3" s="1" t="s">
        <v>10</v>
      </c>
      <c r="D3" s="3" t="n">
        <v>53.7345</v>
      </c>
      <c r="E3" s="3" t="n">
        <v>1.0139</v>
      </c>
      <c r="F3" s="3" t="n">
        <v>17.1234</v>
      </c>
      <c r="G3" s="3" t="n">
        <v>0</v>
      </c>
      <c r="H3" s="3" t="n">
        <v>7.5047</v>
      </c>
      <c r="I3" s="3" t="n">
        <v>0.2163</v>
      </c>
      <c r="J3" s="3" t="n">
        <v>1.3823</v>
      </c>
      <c r="K3" s="3" t="n">
        <v>3.8162</v>
      </c>
      <c r="L3" s="3" t="n">
        <v>6.3387</v>
      </c>
      <c r="M3" s="3" t="n">
        <v>4.1977</v>
      </c>
      <c r="N3" s="3" t="n">
        <v>0.4115</v>
      </c>
      <c r="O3" s="3" t="n">
        <f aca="false">SUM(D3:N3)</f>
        <v>95.7392</v>
      </c>
      <c r="P3" s="3" t="n">
        <f aca="false">D3/$O3*100</f>
        <v>56.1259128967027</v>
      </c>
      <c r="Q3" s="3" t="n">
        <f aca="false">E3/$O3*100</f>
        <v>1.05902284539666</v>
      </c>
      <c r="R3" s="3" t="n">
        <f aca="false">F3/$O3*100</f>
        <v>17.8854638434413</v>
      </c>
      <c r="S3" s="3" t="n">
        <f aca="false">G3/$O3*100</f>
        <v>0</v>
      </c>
      <c r="T3" s="3" t="n">
        <f aca="false">H3/$O3*100</f>
        <v>7.83869094373047</v>
      </c>
      <c r="U3" s="3" t="n">
        <f aca="false">I3/$O3*100</f>
        <v>0.225926266356936</v>
      </c>
      <c r="V3" s="3" t="n">
        <f aca="false">J3/$O3*100</f>
        <v>1.44381820612664</v>
      </c>
      <c r="W3" s="3" t="n">
        <f aca="false">K3/$O3*100</f>
        <v>3.98603706736634</v>
      </c>
      <c r="X3" s="3" t="n">
        <f aca="false">L3/$O3*100</f>
        <v>6.62079900396076</v>
      </c>
      <c r="Y3" s="3" t="n">
        <f aca="false">M3/$O3*100</f>
        <v>4.3845154335946</v>
      </c>
      <c r="Z3" s="3" t="n">
        <f aca="false">N3/$O3*100</f>
        <v>0.429813493323529</v>
      </c>
    </row>
    <row r="4" customFormat="false" ht="15" hidden="false" customHeight="false" outlineLevel="0" collapsed="false">
      <c r="A4" s="1" t="s">
        <v>93</v>
      </c>
      <c r="B4" s="1" t="s">
        <v>71</v>
      </c>
      <c r="C4" s="1" t="s">
        <v>10</v>
      </c>
      <c r="D4" s="3" t="n">
        <v>54.2984</v>
      </c>
      <c r="E4" s="3" t="n">
        <v>1.1133</v>
      </c>
      <c r="F4" s="3" t="n">
        <v>17.1742</v>
      </c>
      <c r="G4" s="3" t="n">
        <v>0.0735</v>
      </c>
      <c r="H4" s="3" t="n">
        <v>8.2058</v>
      </c>
      <c r="I4" s="3" t="n">
        <v>0.1871</v>
      </c>
      <c r="J4" s="3" t="n">
        <v>1.4103</v>
      </c>
      <c r="K4" s="3" t="n">
        <v>3.7442</v>
      </c>
      <c r="L4" s="3" t="n">
        <v>6.6409</v>
      </c>
      <c r="M4" s="3" t="n">
        <v>4.1159</v>
      </c>
      <c r="N4" s="3" t="n">
        <v>0.4659</v>
      </c>
      <c r="O4" s="3" t="n">
        <f aca="false">SUM(D4:N4)</f>
        <v>97.4295</v>
      </c>
      <c r="P4" s="3" t="n">
        <f aca="false">D4/$O4*100</f>
        <v>55.7309644409547</v>
      </c>
      <c r="Q4" s="3" t="n">
        <f aca="false">E4/$O4*100</f>
        <v>1.14267239388481</v>
      </c>
      <c r="R4" s="3" t="n">
        <f aca="false">F4/$O4*100</f>
        <v>17.6273100036437</v>
      </c>
      <c r="S4" s="3" t="n">
        <f aca="false">G4/$O4*100</f>
        <v>0.0754391637029852</v>
      </c>
      <c r="T4" s="3" t="n">
        <f aca="false">H4/$O4*100</f>
        <v>8.42229509542798</v>
      </c>
      <c r="U4" s="3" t="n">
        <f aca="false">I4/$O4*100</f>
        <v>0.192036292909232</v>
      </c>
      <c r="V4" s="3" t="n">
        <f aca="false">J4/$O4*100</f>
        <v>1.44750819823565</v>
      </c>
      <c r="W4" s="3" t="n">
        <f aca="false">K4/$O4*100</f>
        <v>3.84298390117983</v>
      </c>
      <c r="X4" s="3" t="n">
        <f aca="false">L4/$O4*100</f>
        <v>6.81610805762115</v>
      </c>
      <c r="Y4" s="3" t="n">
        <f aca="false">M4/$O4*100</f>
        <v>4.22449052904921</v>
      </c>
      <c r="Z4" s="3" t="n">
        <f aca="false">N4/$O4*100</f>
        <v>0.478191923390759</v>
      </c>
    </row>
    <row r="5" customFormat="false" ht="15" hidden="false" customHeight="false" outlineLevel="0" collapsed="false">
      <c r="A5" s="1" t="s">
        <v>94</v>
      </c>
      <c r="B5" s="1" t="s">
        <v>71</v>
      </c>
      <c r="C5" s="1" t="s">
        <v>10</v>
      </c>
      <c r="D5" s="3" t="n">
        <v>54.2257</v>
      </c>
      <c r="E5" s="3" t="n">
        <v>1.0921</v>
      </c>
      <c r="F5" s="3" t="n">
        <v>17.2614</v>
      </c>
      <c r="G5" s="3" t="n">
        <v>0</v>
      </c>
      <c r="H5" s="3" t="n">
        <v>7.5703</v>
      </c>
      <c r="I5" s="3" t="n">
        <v>0.2035</v>
      </c>
      <c r="J5" s="3" t="n">
        <v>1.3754</v>
      </c>
      <c r="K5" s="3" t="n">
        <v>3.7159</v>
      </c>
      <c r="L5" s="3" t="n">
        <v>6.5856</v>
      </c>
      <c r="M5" s="3" t="n">
        <v>4.0801</v>
      </c>
      <c r="N5" s="3" t="n">
        <v>0.3959</v>
      </c>
      <c r="O5" s="3" t="n">
        <f aca="false">SUM(D5:N5)</f>
        <v>96.5059</v>
      </c>
      <c r="P5" s="3" t="n">
        <f aca="false">D5/$O5*100</f>
        <v>56.1889998435329</v>
      </c>
      <c r="Q5" s="3" t="n">
        <f aca="false">E5/$O5*100</f>
        <v>1.13164065616714</v>
      </c>
      <c r="R5" s="3" t="n">
        <f aca="false">F5/$O5*100</f>
        <v>17.8863675692367</v>
      </c>
      <c r="S5" s="3" t="n">
        <f aca="false">G5/$O5*100</f>
        <v>0</v>
      </c>
      <c r="T5" s="3" t="n">
        <f aca="false">H5/$O5*100</f>
        <v>7.84439086107689</v>
      </c>
      <c r="U5" s="3" t="n">
        <f aca="false">I5/$O5*100</f>
        <v>0.210867936571754</v>
      </c>
      <c r="V5" s="3" t="n">
        <f aca="false">J5/$O5*100</f>
        <v>1.42519783764516</v>
      </c>
      <c r="W5" s="3" t="n">
        <f aca="false">K5/$O5*100</f>
        <v>3.85043815973946</v>
      </c>
      <c r="X5" s="3" t="n">
        <f aca="false">L5/$O5*100</f>
        <v>6.82403873752797</v>
      </c>
      <c r="Y5" s="3" t="n">
        <f aca="false">M5/$O5*100</f>
        <v>4.22782441280792</v>
      </c>
      <c r="Z5" s="3" t="n">
        <f aca="false">N5/$O5*100</f>
        <v>0.410233985694139</v>
      </c>
    </row>
    <row r="6" customFormat="false" ht="15" hidden="false" customHeight="false" outlineLevel="0" collapsed="false">
      <c r="A6" s="1" t="s">
        <v>86</v>
      </c>
      <c r="B6" s="1" t="s">
        <v>71</v>
      </c>
      <c r="C6" s="1" t="s">
        <v>10</v>
      </c>
      <c r="D6" s="3" t="n">
        <v>53.8213</v>
      </c>
      <c r="E6" s="3" t="n">
        <v>1.1821</v>
      </c>
      <c r="F6" s="3" t="n">
        <v>17.0088</v>
      </c>
      <c r="G6" s="3" t="n">
        <v>0.0102</v>
      </c>
      <c r="H6" s="3" t="n">
        <v>7.5257</v>
      </c>
      <c r="I6" s="3" t="n">
        <v>0.2472</v>
      </c>
      <c r="J6" s="3" t="n">
        <v>1.389</v>
      </c>
      <c r="K6" s="3" t="n">
        <v>3.641</v>
      </c>
      <c r="L6" s="3" t="n">
        <v>6.6971</v>
      </c>
      <c r="M6" s="3" t="n">
        <v>4.142</v>
      </c>
      <c r="N6" s="3" t="n">
        <v>0.3957</v>
      </c>
      <c r="O6" s="3" t="n">
        <f aca="false">SUM(D6:N6)</f>
        <v>96.0601</v>
      </c>
      <c r="P6" s="3" t="n">
        <f aca="false">D6/$O6*100</f>
        <v>56.0287778172207</v>
      </c>
      <c r="Q6" s="3" t="n">
        <f aca="false">E6/$O6*100</f>
        <v>1.23058376995235</v>
      </c>
      <c r="R6" s="3" t="n">
        <f aca="false">F6/$O6*100</f>
        <v>17.7064150464137</v>
      </c>
      <c r="S6" s="3" t="n">
        <f aca="false">G6/$O6*100</f>
        <v>0.0106183524689231</v>
      </c>
      <c r="T6" s="3" t="n">
        <f aca="false">H6/$O6*100</f>
        <v>7.83436619366417</v>
      </c>
      <c r="U6" s="3" t="n">
        <f aca="false">I6/$O6*100</f>
        <v>0.257338895129195</v>
      </c>
      <c r="V6" s="3" t="n">
        <f aca="false">J6/$O6*100</f>
        <v>1.44596976267982</v>
      </c>
      <c r="W6" s="3" t="n">
        <f aca="false">K6/$O6*100</f>
        <v>3.79033542542637</v>
      </c>
      <c r="X6" s="3" t="n">
        <f aca="false">L6/$O6*100</f>
        <v>6.97178120780636</v>
      </c>
      <c r="Y6" s="3" t="n">
        <f aca="false">M6/$O6*100</f>
        <v>4.31188391434113</v>
      </c>
      <c r="Z6" s="3" t="n">
        <f aca="false">N6/$O6*100</f>
        <v>0.41192961489734</v>
      </c>
    </row>
    <row r="7" customFormat="false" ht="15" hidden="false" customHeight="false" outlineLevel="0" collapsed="false">
      <c r="A7" s="1" t="s">
        <v>87</v>
      </c>
      <c r="B7" s="1" t="s">
        <v>71</v>
      </c>
      <c r="C7" s="1" t="s">
        <v>10</v>
      </c>
      <c r="D7" s="3" t="n">
        <v>53.8349</v>
      </c>
      <c r="E7" s="3" t="n">
        <v>1.0867</v>
      </c>
      <c r="F7" s="3" t="n">
        <v>17.0121</v>
      </c>
      <c r="G7" s="3" t="n">
        <v>0</v>
      </c>
      <c r="H7" s="3" t="n">
        <v>7.54</v>
      </c>
      <c r="I7" s="3" t="n">
        <v>0.1987</v>
      </c>
      <c r="J7" s="3" t="n">
        <v>1.3946</v>
      </c>
      <c r="K7" s="3" t="n">
        <v>3.7919</v>
      </c>
      <c r="L7" s="3" t="n">
        <v>5.8669</v>
      </c>
      <c r="M7" s="3" t="n">
        <v>4.0204</v>
      </c>
      <c r="N7" s="3" t="n">
        <v>0.4688</v>
      </c>
      <c r="O7" s="3" t="n">
        <f aca="false">SUM(D7:N7)</f>
        <v>95.215</v>
      </c>
      <c r="P7" s="3" t="n">
        <f aca="false">D7/$O7*100</f>
        <v>56.5403560363388</v>
      </c>
      <c r="Q7" s="3" t="n">
        <f aca="false">E7/$O7*100</f>
        <v>1.14131176810377</v>
      </c>
      <c r="R7" s="3" t="n">
        <f aca="false">F7/$O7*100</f>
        <v>17.867037756656</v>
      </c>
      <c r="S7" s="3" t="n">
        <f aca="false">G7/$O7*100</f>
        <v>0</v>
      </c>
      <c r="T7" s="3" t="n">
        <f aca="false">H7/$O7*100</f>
        <v>7.91892033818201</v>
      </c>
      <c r="U7" s="3" t="n">
        <f aca="false">I7/$O7*100</f>
        <v>0.208685606259518</v>
      </c>
      <c r="V7" s="3" t="n">
        <f aca="false">J7/$O7*100</f>
        <v>1.46468518615764</v>
      </c>
      <c r="W7" s="3" t="n">
        <f aca="false">K7/$O7*100</f>
        <v>3.98246074673108</v>
      </c>
      <c r="X7" s="3" t="n">
        <f aca="false">L7/$O7*100</f>
        <v>6.16173922176128</v>
      </c>
      <c r="Y7" s="3" t="n">
        <f aca="false">M7/$O7*100</f>
        <v>4.22244394265609</v>
      </c>
      <c r="Z7" s="3" t="n">
        <f aca="false">N7/$O7*100</f>
        <v>0.49235939715381</v>
      </c>
    </row>
    <row r="8" customFormat="false" ht="15" hidden="false" customHeight="false" outlineLevel="0" collapsed="false">
      <c r="A8" s="1" t="s">
        <v>88</v>
      </c>
      <c r="B8" s="1" t="s">
        <v>71</v>
      </c>
      <c r="C8" s="1" t="s">
        <v>10</v>
      </c>
      <c r="D8" s="3" t="n">
        <v>53.9949</v>
      </c>
      <c r="E8" s="3" t="n">
        <v>1.1906</v>
      </c>
      <c r="F8" s="3" t="n">
        <v>16.7108</v>
      </c>
      <c r="G8" s="3" t="n">
        <v>0.0256</v>
      </c>
      <c r="H8" s="3" t="n">
        <v>7.5199</v>
      </c>
      <c r="I8" s="3" t="n">
        <v>0.1536</v>
      </c>
      <c r="J8" s="3" t="n">
        <v>1.3853</v>
      </c>
      <c r="K8" s="3" t="n">
        <v>3.7575</v>
      </c>
      <c r="L8" s="3" t="n">
        <v>6.6018</v>
      </c>
      <c r="M8" s="3" t="n">
        <v>4.1534</v>
      </c>
      <c r="N8" s="3" t="n">
        <v>0.3426</v>
      </c>
      <c r="O8" s="3" t="n">
        <f aca="false">SUM(D8:N8)</f>
        <v>95.836</v>
      </c>
      <c r="P8" s="3" t="n">
        <f aca="false">D8/$O8*100</f>
        <v>56.340936600025</v>
      </c>
      <c r="Q8" s="3" t="n">
        <f aca="false">E8/$O8*100</f>
        <v>1.24233064819066</v>
      </c>
      <c r="R8" s="3" t="n">
        <f aca="false">F8/$O8*100</f>
        <v>17.4368713218415</v>
      </c>
      <c r="S8" s="3" t="n">
        <f aca="false">G8/$O8*100</f>
        <v>0.0267123001794733</v>
      </c>
      <c r="T8" s="3" t="n">
        <f aca="false">H8/$O8*100</f>
        <v>7.8466338327977</v>
      </c>
      <c r="U8" s="3" t="n">
        <f aca="false">I8/$O8*100</f>
        <v>0.16027380107684</v>
      </c>
      <c r="V8" s="3" t="n">
        <f aca="false">J8/$O8*100</f>
        <v>1.44549021244626</v>
      </c>
      <c r="W8" s="3" t="n">
        <f aca="false">K8/$O8*100</f>
        <v>3.92076046579573</v>
      </c>
      <c r="X8" s="3" t="n">
        <f aca="false">L8/$O8*100</f>
        <v>6.88864309862682</v>
      </c>
      <c r="Y8" s="3" t="n">
        <f aca="false">M8/$O8*100</f>
        <v>4.33386201427439</v>
      </c>
      <c r="Z8" s="3" t="n">
        <f aca="false">N8/$O8*100</f>
        <v>0.357485704745607</v>
      </c>
    </row>
    <row r="9" customFormat="false" ht="15" hidden="false" customHeight="false" outlineLevel="0" collapsed="false">
      <c r="A9" s="1" t="s">
        <v>191</v>
      </c>
      <c r="B9" s="1" t="s">
        <v>71</v>
      </c>
      <c r="C9" s="1" t="s">
        <v>10</v>
      </c>
      <c r="D9" s="3" t="n">
        <v>54.0356</v>
      </c>
      <c r="E9" s="3" t="n">
        <v>1.1231</v>
      </c>
      <c r="F9" s="3" t="n">
        <v>17.3649</v>
      </c>
      <c r="G9" s="3" t="n">
        <v>0.0562</v>
      </c>
      <c r="H9" s="3" t="n">
        <v>7.8517</v>
      </c>
      <c r="I9" s="3" t="n">
        <v>0.1615</v>
      </c>
      <c r="J9" s="3" t="n">
        <v>1.4182</v>
      </c>
      <c r="K9" s="3" t="n">
        <v>3.8213</v>
      </c>
      <c r="L9" s="3" t="n">
        <v>6.7046</v>
      </c>
      <c r="M9" s="3" t="n">
        <v>4.0018</v>
      </c>
      <c r="N9" s="3" t="n">
        <v>0.5496</v>
      </c>
      <c r="O9" s="3" t="n">
        <f aca="false">SUM(D9:N9)</f>
        <v>97.0885</v>
      </c>
      <c r="P9" s="3" t="n">
        <f aca="false">D9/$O9*100</f>
        <v>55.6560251729093</v>
      </c>
      <c r="Q9" s="3" t="n">
        <f aca="false">E9/$O9*100</f>
        <v>1.15677963919517</v>
      </c>
      <c r="R9" s="3" t="n">
        <f aca="false">F9/$O9*100</f>
        <v>17.8856404208531</v>
      </c>
      <c r="S9" s="3" t="n">
        <f aca="false">G9/$O9*100</f>
        <v>0.0578853314244221</v>
      </c>
      <c r="T9" s="3" t="n">
        <f aca="false">H9/$O9*100</f>
        <v>8.0871575933298</v>
      </c>
      <c r="U9" s="3" t="n">
        <f aca="false">I9/$O9*100</f>
        <v>0.166343078737441</v>
      </c>
      <c r="V9" s="3" t="n">
        <f aca="false">J9/$O9*100</f>
        <v>1.46072912857856</v>
      </c>
      <c r="W9" s="3" t="n">
        <f aca="false">K9/$O9*100</f>
        <v>3.93589354042961</v>
      </c>
      <c r="X9" s="3" t="n">
        <f aca="false">L9/$O9*100</f>
        <v>6.90565823964733</v>
      </c>
      <c r="Y9" s="3" t="n">
        <f aca="false">M9/$O9*100</f>
        <v>4.12180639313616</v>
      </c>
      <c r="Z9" s="3" t="n">
        <f aca="false">N9/$O9*100</f>
        <v>0.566081461759117</v>
      </c>
    </row>
    <row r="10" customFormat="false" ht="15" hidden="false" customHeight="false" outlineLevel="0" collapsed="false">
      <c r="A10" s="1" t="s">
        <v>186</v>
      </c>
      <c r="B10" s="1" t="s">
        <v>71</v>
      </c>
      <c r="C10" s="1" t="s">
        <v>10</v>
      </c>
      <c r="D10" s="3" t="n">
        <v>54.5157</v>
      </c>
      <c r="E10" s="3" t="n">
        <v>1.0521</v>
      </c>
      <c r="F10" s="3" t="n">
        <v>17.3424</v>
      </c>
      <c r="G10" s="3" t="n">
        <v>0</v>
      </c>
      <c r="H10" s="3" t="n">
        <v>7.5761</v>
      </c>
      <c r="I10" s="3" t="n">
        <v>0.2144</v>
      </c>
      <c r="J10" s="3" t="n">
        <v>1.3989</v>
      </c>
      <c r="K10" s="3" t="n">
        <v>3.69</v>
      </c>
      <c r="L10" s="3" t="n">
        <v>6.6132</v>
      </c>
      <c r="M10" s="3" t="n">
        <v>4.105</v>
      </c>
      <c r="N10" s="3" t="n">
        <v>0.5741</v>
      </c>
      <c r="O10" s="3" t="n">
        <f aca="false">SUM(D10:N10)</f>
        <v>97.0819</v>
      </c>
      <c r="P10" s="3" t="n">
        <f aca="false">D10/$O10*100</f>
        <v>56.1543397893943</v>
      </c>
      <c r="Q10" s="3" t="n">
        <f aca="false">E10/$O10*100</f>
        <v>1.08372415455404</v>
      </c>
      <c r="R10" s="3" t="n">
        <f aca="false">F10/$O10*100</f>
        <v>17.8636800474651</v>
      </c>
      <c r="S10" s="3" t="n">
        <f aca="false">G10/$O10*100</f>
        <v>0</v>
      </c>
      <c r="T10" s="3" t="n">
        <f aca="false">H10/$O10*100</f>
        <v>7.80382336975276</v>
      </c>
      <c r="U10" s="3" t="n">
        <f aca="false">I10/$O10*100</f>
        <v>0.220844462253005</v>
      </c>
      <c r="V10" s="3" t="n">
        <f aca="false">J10/$O10*100</f>
        <v>1.44094831271329</v>
      </c>
      <c r="W10" s="3" t="n">
        <f aca="false">K10/$O10*100</f>
        <v>3.80091448560442</v>
      </c>
      <c r="X10" s="3" t="n">
        <f aca="false">L10/$O10*100</f>
        <v>6.81198040005397</v>
      </c>
      <c r="Y10" s="3" t="n">
        <f aca="false">M10/$O10*100</f>
        <v>4.22838860796915</v>
      </c>
      <c r="Z10" s="3" t="n">
        <f aca="false">N10/$O10*100</f>
        <v>0.591356370239973</v>
      </c>
    </row>
    <row r="11" customFormat="false" ht="15" hidden="false" customHeight="false" outlineLevel="0" collapsed="false">
      <c r="A11" s="1" t="s">
        <v>190</v>
      </c>
      <c r="B11" s="1" t="s">
        <v>71</v>
      </c>
      <c r="C11" s="1" t="s">
        <v>10</v>
      </c>
      <c r="D11" s="3" t="n">
        <v>54.1075</v>
      </c>
      <c r="E11" s="3" t="n">
        <v>1.167</v>
      </c>
      <c r="F11" s="3" t="n">
        <v>17.3107</v>
      </c>
      <c r="G11" s="3" t="n">
        <v>0</v>
      </c>
      <c r="H11" s="3" t="n">
        <v>7.6506</v>
      </c>
      <c r="I11" s="3" t="n">
        <v>0.1293</v>
      </c>
      <c r="J11" s="3" t="n">
        <v>1.392</v>
      </c>
      <c r="K11" s="3" t="n">
        <v>3.6734</v>
      </c>
      <c r="L11" s="3" t="n">
        <v>6.5015</v>
      </c>
      <c r="M11" s="3" t="n">
        <v>4.1212</v>
      </c>
      <c r="N11" s="3" t="n">
        <v>0.4943</v>
      </c>
      <c r="O11" s="3" t="n">
        <f aca="false">SUM(D11:N11)</f>
        <v>96.5475</v>
      </c>
      <c r="P11" s="3" t="n">
        <f aca="false">D11/$O11*100</f>
        <v>56.0423625676481</v>
      </c>
      <c r="Q11" s="3" t="n">
        <f aca="false">E11/$O11*100</f>
        <v>1.20873145342966</v>
      </c>
      <c r="R11" s="3" t="n">
        <f aca="false">F11/$O11*100</f>
        <v>17.9297237111266</v>
      </c>
      <c r="S11" s="3" t="n">
        <f aca="false">G11/$O11*100</f>
        <v>0</v>
      </c>
      <c r="T11" s="3" t="n">
        <f aca="false">H11/$O11*100</f>
        <v>7.9241823972656</v>
      </c>
      <c r="U11" s="3" t="n">
        <f aca="false">I11/$O11*100</f>
        <v>0.133923716305445</v>
      </c>
      <c r="V11" s="3" t="n">
        <f aca="false">J11/$O11*100</f>
        <v>1.44177736347394</v>
      </c>
      <c r="W11" s="3" t="n">
        <f aca="false">K11/$O11*100</f>
        <v>3.8047593153629</v>
      </c>
      <c r="X11" s="3" t="n">
        <f aca="false">L11/$O11*100</f>
        <v>6.73399104067946</v>
      </c>
      <c r="Y11" s="3" t="n">
        <f aca="false">M11/$O11*100</f>
        <v>4.26857246433103</v>
      </c>
      <c r="Z11" s="3" t="n">
        <f aca="false">N11/$O11*100</f>
        <v>0.511975970377275</v>
      </c>
    </row>
    <row r="12" customFormat="false" ht="15" hidden="false" customHeight="false" outlineLevel="0" collapsed="false">
      <c r="A12" s="1" t="s">
        <v>182</v>
      </c>
      <c r="B12" s="1" t="s">
        <v>71</v>
      </c>
      <c r="C12" s="1" t="s">
        <v>10</v>
      </c>
      <c r="D12" s="3" t="n">
        <v>54.3448</v>
      </c>
      <c r="E12" s="3" t="n">
        <v>1.1056</v>
      </c>
      <c r="F12" s="3" t="n">
        <v>17.4368</v>
      </c>
      <c r="G12" s="3" t="n">
        <v>0.0278</v>
      </c>
      <c r="H12" s="3" t="n">
        <v>7.3397</v>
      </c>
      <c r="I12" s="3" t="n">
        <v>0.1929</v>
      </c>
      <c r="J12" s="3" t="n">
        <v>1.4166</v>
      </c>
      <c r="K12" s="3" t="n">
        <v>3.7511</v>
      </c>
      <c r="L12" s="3" t="n">
        <v>6.6644</v>
      </c>
      <c r="M12" s="3" t="n">
        <v>4.1155</v>
      </c>
      <c r="N12" s="3" t="n">
        <v>0.3903</v>
      </c>
      <c r="O12" s="3" t="n">
        <f aca="false">SUM(D12:N12)</f>
        <v>96.7855</v>
      </c>
      <c r="P12" s="3" t="n">
        <f aca="false">D12/$O12*100</f>
        <v>56.149733172841</v>
      </c>
      <c r="Q12" s="3" t="n">
        <f aca="false">E12/$O12*100</f>
        <v>1.14231987229492</v>
      </c>
      <c r="R12" s="3" t="n">
        <f aca="false">F12/$O12*100</f>
        <v>18.0159218064689</v>
      </c>
      <c r="S12" s="3" t="n">
        <f aca="false">G12/$O12*100</f>
        <v>0.0287233108265184</v>
      </c>
      <c r="T12" s="3" t="n">
        <f aca="false">H12/$O12*100</f>
        <v>7.5834706645107</v>
      </c>
      <c r="U12" s="3" t="n">
        <f aca="false">I12/$O12*100</f>
        <v>0.199306714332209</v>
      </c>
      <c r="V12" s="3" t="n">
        <f aca="false">J12/$O12*100</f>
        <v>1.46364899700885</v>
      </c>
      <c r="W12" s="3" t="n">
        <f aca="false">K12/$O12*100</f>
        <v>3.87568385760264</v>
      </c>
      <c r="X12" s="3" t="n">
        <f aca="false">L12/$O12*100</f>
        <v>6.88574218245502</v>
      </c>
      <c r="Y12" s="3" t="n">
        <f aca="false">M12/$O12*100</f>
        <v>4.25218653620635</v>
      </c>
      <c r="Z12" s="3" t="n">
        <f aca="false">N12/$O12*100</f>
        <v>0.403262885452883</v>
      </c>
    </row>
    <row r="13" customFormat="false" ht="15" hidden="false" customHeight="false" outlineLevel="0" collapsed="false">
      <c r="C13" s="1" t="s">
        <v>14</v>
      </c>
      <c r="D13" s="3" t="n">
        <f aca="false">AVERAGE(D3:D12)</f>
        <v>54.09133</v>
      </c>
      <c r="E13" s="3" t="n">
        <f aca="false">AVERAGE(E3:E12)</f>
        <v>1.11265</v>
      </c>
      <c r="F13" s="3" t="n">
        <f aca="false">AVERAGE(F3:F12)</f>
        <v>17.17455</v>
      </c>
      <c r="G13" s="3" t="n">
        <f aca="false">AVERAGE(G3:G12)</f>
        <v>0.01933</v>
      </c>
      <c r="H13" s="3" t="n">
        <f aca="false">AVERAGE(H3:H12)</f>
        <v>7.62845</v>
      </c>
      <c r="I13" s="3" t="n">
        <f aca="false">AVERAGE(I3:I12)</f>
        <v>0.19045</v>
      </c>
      <c r="J13" s="3" t="n">
        <f aca="false">AVERAGE(J3:J12)</f>
        <v>1.39626</v>
      </c>
      <c r="K13" s="3" t="n">
        <f aca="false">AVERAGE(K3:K12)</f>
        <v>3.74025</v>
      </c>
      <c r="L13" s="3" t="n">
        <f aca="false">AVERAGE(L3:L12)</f>
        <v>6.52147</v>
      </c>
      <c r="M13" s="3" t="n">
        <f aca="false">AVERAGE(M3:M12)</f>
        <v>4.1053</v>
      </c>
      <c r="N13" s="3" t="n">
        <f aca="false">AVERAGE(N3:N12)</f>
        <v>0.44887</v>
      </c>
      <c r="O13" s="3" t="n">
        <f aca="false">SUM(D13:N13)</f>
        <v>96.42891</v>
      </c>
      <c r="P13" s="3" t="n">
        <f aca="false">AVERAGE(P3:P12)</f>
        <v>56.0958408337567</v>
      </c>
      <c r="Q13" s="3" t="n">
        <f aca="false">AVERAGE(Q3:Q12)</f>
        <v>1.15391172011692</v>
      </c>
      <c r="R13" s="3" t="n">
        <f aca="false">AVERAGE(R3:R12)</f>
        <v>17.8104431527147</v>
      </c>
      <c r="S13" s="3" t="n">
        <f aca="false">AVERAGE(S3:S12)</f>
        <v>0.0199378458602322</v>
      </c>
      <c r="T13" s="3" t="n">
        <f aca="false">AVERAGE(T3:T12)</f>
        <v>7.91039312897381</v>
      </c>
      <c r="U13" s="3" t="n">
        <f aca="false">AVERAGE(U3:U12)</f>
        <v>0.197554676993157</v>
      </c>
      <c r="V13" s="3" t="n">
        <f aca="false">AVERAGE(V3:V12)</f>
        <v>1.44797732050658</v>
      </c>
      <c r="W13" s="3" t="n">
        <f aca="false">AVERAGE(W3:W12)</f>
        <v>3.87902669652384</v>
      </c>
      <c r="X13" s="3" t="n">
        <f aca="false">AVERAGE(X3:X12)</f>
        <v>6.76204811901401</v>
      </c>
      <c r="Y13" s="3" t="n">
        <f aca="false">AVERAGE(Y3:Y12)</f>
        <v>4.2575974248366</v>
      </c>
      <c r="Z13" s="3" t="n">
        <f aca="false">AVERAGE(Z3:Z12)</f>
        <v>0.465269080703443</v>
      </c>
    </row>
    <row r="14" customFormat="false" ht="15" hidden="false" customHeight="false" outlineLevel="0" collapsed="false">
      <c r="C14" s="1" t="s">
        <v>81</v>
      </c>
      <c r="D14" s="3" t="n">
        <f aca="false">_xlfn.STDEV.P(D3:D12)</f>
        <v>0.241647772801656</v>
      </c>
      <c r="E14" s="3" t="n">
        <f aca="false">_xlfn.STDEV.P(E3:E12)</f>
        <v>0.0534100411907724</v>
      </c>
      <c r="F14" s="3" t="n">
        <f aca="false">_xlfn.STDEV.P(F3:F12)</f>
        <v>0.207558455621543</v>
      </c>
      <c r="G14" s="3" t="n">
        <f aca="false">_xlfn.STDEV.P(G3:G12)</f>
        <v>0.0252119832619332</v>
      </c>
      <c r="H14" s="3" t="n">
        <f aca="false">_xlfn.STDEV.P(H3:H12)</f>
        <v>0.227736875582326</v>
      </c>
      <c r="I14" s="3" t="n">
        <f aca="false">_xlfn.STDEV.P(I3:I12)</f>
        <v>0.0326394316739737</v>
      </c>
      <c r="J14" s="3" t="n">
        <f aca="false">_xlfn.STDEV.P(J3:J12)</f>
        <v>0.013866953522674</v>
      </c>
      <c r="K14" s="3" t="n">
        <f aca="false">_xlfn.STDEV.P(K3:K12)</f>
        <v>0.0573354907539824</v>
      </c>
      <c r="L14" s="3" t="n">
        <f aca="false">_xlfn.STDEV.P(L3:L12)</f>
        <v>0.240898426935503</v>
      </c>
      <c r="M14" s="3" t="n">
        <f aca="false">_xlfn.STDEV.P(M3:M12)</f>
        <v>0.0558774194107065</v>
      </c>
      <c r="N14" s="3" t="n">
        <f aca="false">_xlfn.STDEV.P(N3:N12)</f>
        <v>0.070945994249147</v>
      </c>
      <c r="O14" s="3"/>
      <c r="P14" s="3" t="n">
        <f aca="false">_xlfn.STDEV.P(P3:P12)</f>
        <v>0.246476188048257</v>
      </c>
      <c r="Q14" s="3" t="n">
        <f aca="false">_xlfn.STDEV.P(Q3:Q12)</f>
        <v>0.056174356750732</v>
      </c>
      <c r="R14" s="3" t="n">
        <f aca="false">_xlfn.STDEV.P(R3:R12)</f>
        <v>0.162311184189409</v>
      </c>
      <c r="S14" s="3" t="n">
        <f aca="false">_xlfn.STDEV.P(S3:S12)</f>
        <v>0.0259189641261501</v>
      </c>
      <c r="T14" s="3" t="n">
        <f aca="false">_xlfn.STDEV.P(T3:T12)</f>
        <v>0.207636801450112</v>
      </c>
      <c r="U14" s="3" t="n">
        <f aca="false">_xlfn.STDEV.P(U3:U12)</f>
        <v>0.0341600692565081</v>
      </c>
      <c r="V14" s="3" t="n">
        <f aca="false">_xlfn.STDEV.P(V3:V12)</f>
        <v>0.0114971665569</v>
      </c>
      <c r="W14" s="3" t="n">
        <f aca="false">_xlfn.STDEV.P(W3:W12)</f>
        <v>0.0698113405654199</v>
      </c>
      <c r="X14" s="3" t="n">
        <f aca="false">_xlfn.STDEV.P(X3:X12)</f>
        <v>0.220523508084968</v>
      </c>
      <c r="Y14" s="3" t="n">
        <f aca="false">_xlfn.STDEV.P(Y3:Y12)</f>
        <v>0.0689433434611539</v>
      </c>
      <c r="Z14" s="3" t="n">
        <f aca="false">_xlfn.STDEV.P(Z3:Z12)</f>
        <v>0.0719281883285168</v>
      </c>
    </row>
    <row r="15" customFormat="false" ht="15" hidden="false" customHeight="false" outlineLevel="0" collapsed="false">
      <c r="C15" s="1" t="s">
        <v>66</v>
      </c>
      <c r="D15" s="3" t="n">
        <f aca="false">D13/$O$13*100</f>
        <v>56.0945156385155</v>
      </c>
      <c r="E15" s="3" t="n">
        <f aca="false">E13/$O$13*100</f>
        <v>1.15385520794542</v>
      </c>
      <c r="F15" s="3" t="n">
        <f aca="false">F13/$O$13*100</f>
        <v>17.8105819095124</v>
      </c>
      <c r="G15" s="3" t="n">
        <f aca="false">G13/$O$13*100</f>
        <v>0.0200458555426998</v>
      </c>
      <c r="H15" s="3" t="n">
        <f aca="false">H13/$O$13*100</f>
        <v>7.91095740893473</v>
      </c>
      <c r="I15" s="3" t="n">
        <f aca="false">I13/$O$13*100</f>
        <v>0.19750301024869</v>
      </c>
      <c r="J15" s="3" t="n">
        <f aca="false">J13/$O$13*100</f>
        <v>1.44796824935592</v>
      </c>
      <c r="K15" s="3" t="n">
        <f aca="false">K13/$O$13*100</f>
        <v>3.87876415900584</v>
      </c>
      <c r="L15" s="3" t="n">
        <f aca="false">L13/$O$13*100</f>
        <v>6.76298218034405</v>
      </c>
      <c r="M15" s="3" t="n">
        <f aca="false">M13/$O$13*100</f>
        <v>4.25733320017825</v>
      </c>
      <c r="N15" s="3" t="n">
        <f aca="false">N13/$O$13*100</f>
        <v>0.465493180416537</v>
      </c>
      <c r="O15" s="3"/>
    </row>
    <row r="16" customFormat="false" ht="15" hidden="false" customHeight="false" outlineLevel="0" collapsed="false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customFormat="false" ht="15" hidden="false" customHeight="false" outlineLevel="0" collapsed="false">
      <c r="A17" s="16" t="s">
        <v>189</v>
      </c>
      <c r="B17" s="16" t="s">
        <v>82</v>
      </c>
      <c r="C17" s="17" t="s">
        <v>10</v>
      </c>
      <c r="D17" s="18" t="n">
        <v>0.0798</v>
      </c>
      <c r="E17" s="18" t="n">
        <v>21.3106</v>
      </c>
      <c r="F17" s="18" t="n">
        <v>2.9823</v>
      </c>
      <c r="G17" s="18" t="n">
        <v>0</v>
      </c>
      <c r="H17" s="18" t="n">
        <v>68.492</v>
      </c>
      <c r="I17" s="18" t="n">
        <v>0.8772</v>
      </c>
      <c r="J17" s="18" t="n">
        <v>2.8794</v>
      </c>
      <c r="K17" s="18" t="n">
        <v>0.0569</v>
      </c>
      <c r="L17" s="18" t="n">
        <v>0</v>
      </c>
      <c r="M17" s="18" t="n">
        <v>0.0109</v>
      </c>
      <c r="N17" s="3" t="n">
        <v>0</v>
      </c>
      <c r="O17" s="3" t="n">
        <f aca="false">SUM(D17:N17)</f>
        <v>96.6891</v>
      </c>
    </row>
    <row r="18" customFormat="false" ht="15" hidden="false" customHeight="false" outlineLevel="0" collapsed="false">
      <c r="A18" s="16" t="s">
        <v>187</v>
      </c>
      <c r="B18" s="16" t="s">
        <v>82</v>
      </c>
      <c r="C18" s="17" t="s">
        <v>10</v>
      </c>
      <c r="D18" s="18" t="n">
        <v>0.0604</v>
      </c>
      <c r="E18" s="18" t="n">
        <v>20.9105</v>
      </c>
      <c r="F18" s="18" t="n">
        <v>2.9565</v>
      </c>
      <c r="G18" s="18" t="n">
        <v>0.0265</v>
      </c>
      <c r="H18" s="18" t="n">
        <v>68.6825</v>
      </c>
      <c r="I18" s="18" t="n">
        <v>0.8191</v>
      </c>
      <c r="J18" s="18" t="n">
        <v>2.8913</v>
      </c>
      <c r="K18" s="18" t="n">
        <v>0.0485</v>
      </c>
      <c r="L18" s="18" t="n">
        <v>0.0237</v>
      </c>
      <c r="M18" s="18" t="n">
        <v>0.0055</v>
      </c>
      <c r="N18" s="3" t="n">
        <v>0.0403</v>
      </c>
      <c r="O18" s="3" t="n">
        <f aca="false">SUM(D18:N18)</f>
        <v>96.4648</v>
      </c>
    </row>
    <row r="19" customFormat="false" ht="15" hidden="false" customHeight="false" outlineLevel="0" collapsed="false">
      <c r="A19" s="16" t="s">
        <v>188</v>
      </c>
      <c r="B19" s="16" t="s">
        <v>82</v>
      </c>
      <c r="C19" s="17" t="s">
        <v>10</v>
      </c>
      <c r="D19" s="18" t="n">
        <v>0.0921</v>
      </c>
      <c r="E19" s="18" t="n">
        <v>21.3221</v>
      </c>
      <c r="F19" s="18" t="n">
        <v>2.9625</v>
      </c>
      <c r="G19" s="18" t="n">
        <v>0</v>
      </c>
      <c r="H19" s="18" t="n">
        <v>68.7904</v>
      </c>
      <c r="I19" s="18" t="n">
        <v>0.7877</v>
      </c>
      <c r="J19" s="18" t="n">
        <v>2.81</v>
      </c>
      <c r="K19" s="18" t="n">
        <v>0.0501</v>
      </c>
      <c r="L19" s="18" t="n">
        <v>0.008</v>
      </c>
      <c r="M19" s="18" t="n">
        <v>0.0189</v>
      </c>
      <c r="N19" s="3" t="n">
        <v>0.0296</v>
      </c>
      <c r="O19" s="3" t="n">
        <f aca="false">SUM(D19:N19)</f>
        <v>96.8714</v>
      </c>
    </row>
    <row r="20" customFormat="false" ht="15" hidden="false" customHeight="false" outlineLevel="0" collapsed="false">
      <c r="A20" s="16" t="s">
        <v>183</v>
      </c>
      <c r="B20" s="16" t="s">
        <v>82</v>
      </c>
      <c r="C20" s="17" t="s">
        <v>10</v>
      </c>
      <c r="D20" s="18" t="n">
        <v>0.0943</v>
      </c>
      <c r="E20" s="18" t="n">
        <v>20.9169</v>
      </c>
      <c r="F20" s="18" t="n">
        <v>3.0332</v>
      </c>
      <c r="G20" s="18" t="n">
        <v>0.002</v>
      </c>
      <c r="H20" s="18" t="n">
        <v>68.857</v>
      </c>
      <c r="I20" s="18" t="n">
        <v>0.776</v>
      </c>
      <c r="J20" s="18" t="n">
        <v>2.968</v>
      </c>
      <c r="K20" s="18" t="n">
        <v>0.0464</v>
      </c>
      <c r="L20" s="18" t="n">
        <v>0</v>
      </c>
      <c r="M20" s="18" t="n">
        <v>0.0143</v>
      </c>
      <c r="N20" s="3" t="n">
        <v>0.0101</v>
      </c>
      <c r="O20" s="3" t="n">
        <f aca="false">SUM(D20:N20)</f>
        <v>96.7182</v>
      </c>
    </row>
    <row r="21" customFormat="false" ht="15" hidden="false" customHeight="false" outlineLevel="0" collapsed="false">
      <c r="A21" s="16" t="s">
        <v>153</v>
      </c>
      <c r="B21" s="16" t="s">
        <v>82</v>
      </c>
      <c r="C21" s="17" t="s">
        <v>214</v>
      </c>
      <c r="D21" s="18" t="n">
        <v>0.1138</v>
      </c>
      <c r="E21" s="18" t="n">
        <v>21.1086</v>
      </c>
      <c r="F21" s="18" t="n">
        <v>3.3301</v>
      </c>
      <c r="G21" s="18" t="n">
        <v>0.0102</v>
      </c>
      <c r="H21" s="18" t="n">
        <v>68.9261</v>
      </c>
      <c r="I21" s="18" t="n">
        <v>0.8454</v>
      </c>
      <c r="J21" s="18" t="n">
        <v>2.9784</v>
      </c>
      <c r="K21" s="18" t="n">
        <v>0.0205</v>
      </c>
      <c r="L21" s="18" t="n">
        <v>0.031</v>
      </c>
      <c r="M21" s="18" t="n">
        <v>0.0121</v>
      </c>
      <c r="N21" s="3" t="n">
        <v>0</v>
      </c>
      <c r="O21" s="3" t="n">
        <f aca="false">SUM(D21:N21)</f>
        <v>97.3762</v>
      </c>
    </row>
    <row r="22" customFormat="false" ht="15" hidden="false" customHeight="false" outlineLevel="0" collapsed="false">
      <c r="C22" s="1" t="s">
        <v>30</v>
      </c>
      <c r="D22" s="3" t="n">
        <f aca="false">AVERAGE(D17:D21)</f>
        <v>0.08808</v>
      </c>
      <c r="E22" s="3" t="n">
        <f aca="false">AVERAGE(E17:E21)</f>
        <v>21.11374</v>
      </c>
      <c r="F22" s="3" t="n">
        <f aca="false">AVERAGE(F17:F21)</f>
        <v>3.05292</v>
      </c>
      <c r="G22" s="3" t="n">
        <f aca="false">AVERAGE(G17:G21)</f>
        <v>0.00774</v>
      </c>
      <c r="H22" s="3" t="n">
        <f aca="false">AVERAGE(H17:H21)</f>
        <v>68.7496</v>
      </c>
      <c r="I22" s="3" t="n">
        <f aca="false">AVERAGE(I17:I21)</f>
        <v>0.82108</v>
      </c>
      <c r="J22" s="3" t="n">
        <f aca="false">AVERAGE(J17:J21)</f>
        <v>2.90542</v>
      </c>
      <c r="K22" s="3" t="n">
        <f aca="false">AVERAGE(K17:K21)</f>
        <v>0.04448</v>
      </c>
      <c r="L22" s="3" t="n">
        <f aca="false">AVERAGE(L17:L21)</f>
        <v>0.01254</v>
      </c>
      <c r="M22" s="3" t="n">
        <f aca="false">AVERAGE(M17:M21)</f>
        <v>0.01234</v>
      </c>
      <c r="N22" s="3"/>
      <c r="O22" s="3" t="n">
        <f aca="false">SUM(D22:N22)</f>
        <v>96.80794</v>
      </c>
    </row>
    <row r="23" customFormat="false" ht="15" hidden="false" customHeight="false" outlineLevel="0" collapsed="false">
      <c r="C23" s="1" t="s">
        <v>81</v>
      </c>
      <c r="D23" s="3" t="n">
        <f aca="false">_xlfn.STDEV.P(D17:D21)</f>
        <v>0.0176131087545612</v>
      </c>
      <c r="E23" s="3" t="n">
        <f aca="false">_xlfn.STDEV.P(E17:E21)</f>
        <v>0.180136976770457</v>
      </c>
      <c r="F23" s="3" t="n">
        <f aca="false">_xlfn.STDEV.P(F17:F21)</f>
        <v>0.141193064985501</v>
      </c>
      <c r="G23" s="3" t="n">
        <f aca="false">_xlfn.STDEV.P(G17:G21)</f>
        <v>0.0101069481051403</v>
      </c>
      <c r="H23" s="3" t="n">
        <f aca="false">_xlfn.STDEV.P(H17:H21)</f>
        <v>0.151797114597083</v>
      </c>
      <c r="I23" s="3" t="n">
        <f aca="false">_xlfn.STDEV.P(I17:I21)</f>
        <v>0.0371248380467848</v>
      </c>
      <c r="J23" s="3" t="n">
        <f aca="false">_xlfn.STDEV.P(J17:J21)</f>
        <v>0.0620060126116815</v>
      </c>
      <c r="K23" s="3" t="n">
        <f aca="false">_xlfn.STDEV.P(K17:K21)</f>
        <v>0.0124958233022078</v>
      </c>
      <c r="L23" s="3" t="n">
        <f aca="false">_xlfn.STDEV.P(L17:L21)</f>
        <v>0.0126525254396109</v>
      </c>
      <c r="M23" s="3" t="n">
        <f aca="false">_xlfn.STDEV.P(M17:M21)</f>
        <v>0.0043770309571672</v>
      </c>
      <c r="N23" s="3"/>
      <c r="O23" s="3"/>
    </row>
    <row r="24" customFormat="false" ht="15" hidden="false" customHeight="false" outlineLevel="0" collapsed="false">
      <c r="C24" s="1" t="s">
        <v>66</v>
      </c>
      <c r="D24" s="3" t="n">
        <f aca="false">D22/$O$22*100</f>
        <v>0.0909842725710308</v>
      </c>
      <c r="E24" s="3" t="n">
        <f aca="false">E22/$O$22*100</f>
        <v>21.8099259213655</v>
      </c>
      <c r="F24" s="3" t="n">
        <f aca="false">F22/$O$22*100</f>
        <v>3.15358430310572</v>
      </c>
      <c r="G24" s="3" t="n">
        <f aca="false">G22/$O$22*100</f>
        <v>0.00799521196298568</v>
      </c>
      <c r="H24" s="3" t="n">
        <f aca="false">H22/$O$22*100</f>
        <v>71.0164889367546</v>
      </c>
      <c r="I24" s="3" t="n">
        <f aca="false">I22/$O$22*100</f>
        <v>0.848153570874455</v>
      </c>
      <c r="J24" s="3" t="n">
        <f aca="false">J22/$O$22*100</f>
        <v>3.00122076763538</v>
      </c>
      <c r="K24" s="3" t="n">
        <f aca="false">K22/$O$22*100</f>
        <v>0.0459466444591218</v>
      </c>
      <c r="L24" s="3" t="n">
        <f aca="false">L22/$O$22*100</f>
        <v>0.012953482947783</v>
      </c>
      <c r="M24" s="3" t="n">
        <f aca="false">M22/$O$22*100</f>
        <v>0.0127468883234164</v>
      </c>
      <c r="N24" s="3"/>
      <c r="O24" s="3"/>
    </row>
    <row r="25" customFormat="false" ht="15" hidden="false" customHeight="false" outlineLevel="0" collapsed="false"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customFormat="false" ht="15" hidden="false" customHeight="false" outlineLevel="0" collapsed="false">
      <c r="A26" s="16" t="s">
        <v>191</v>
      </c>
      <c r="B26" s="16" t="s">
        <v>215</v>
      </c>
      <c r="C26" s="17" t="s">
        <v>10</v>
      </c>
      <c r="D26" s="18" t="n">
        <v>35.7962</v>
      </c>
      <c r="E26" s="18" t="n">
        <v>0</v>
      </c>
      <c r="F26" s="18" t="n">
        <v>0.0383</v>
      </c>
      <c r="G26" s="18" t="n">
        <v>0</v>
      </c>
      <c r="H26" s="18" t="n">
        <v>36.784</v>
      </c>
      <c r="I26" s="18" t="n">
        <v>0.9875</v>
      </c>
      <c r="J26" s="18" t="n">
        <v>26.1481</v>
      </c>
      <c r="K26" s="18" t="n">
        <v>0.3455</v>
      </c>
      <c r="L26" s="18" t="n">
        <v>0.0345</v>
      </c>
      <c r="M26" s="18" t="n">
        <v>0</v>
      </c>
      <c r="N26" s="3" t="n">
        <v>0</v>
      </c>
      <c r="O26" s="3" t="n">
        <f aca="false">SUM(D26:N26)</f>
        <v>100.1341</v>
      </c>
    </row>
    <row r="27" customFormat="false" ht="15" hidden="false" customHeight="false" outlineLevel="0" collapsed="false">
      <c r="A27" s="16" t="s">
        <v>186</v>
      </c>
      <c r="B27" s="16" t="s">
        <v>215</v>
      </c>
      <c r="C27" s="17" t="s">
        <v>10</v>
      </c>
      <c r="D27" s="18" t="n">
        <v>35.9735</v>
      </c>
      <c r="E27" s="18" t="n">
        <v>0.077</v>
      </c>
      <c r="F27" s="18" t="n">
        <v>0.0261</v>
      </c>
      <c r="G27" s="18" t="n">
        <v>0</v>
      </c>
      <c r="H27" s="18" t="n">
        <v>36.8672</v>
      </c>
      <c r="I27" s="18" t="n">
        <v>0.9781</v>
      </c>
      <c r="J27" s="18" t="n">
        <v>26.0448</v>
      </c>
      <c r="K27" s="18" t="n">
        <v>0.3974</v>
      </c>
      <c r="L27" s="18" t="n">
        <v>0.0281</v>
      </c>
      <c r="M27" s="18" t="n">
        <v>0</v>
      </c>
      <c r="N27" s="3" t="n">
        <v>0.1268</v>
      </c>
      <c r="O27" s="3" t="n">
        <f aca="false">SUM(D27:N27)</f>
        <v>100.519</v>
      </c>
    </row>
    <row r="28" customFormat="false" ht="15" hidden="false" customHeight="false" outlineLevel="0" collapsed="false">
      <c r="A28" s="16" t="s">
        <v>151</v>
      </c>
      <c r="B28" s="16" t="s">
        <v>82</v>
      </c>
      <c r="C28" s="17" t="s">
        <v>216</v>
      </c>
      <c r="D28" s="18" t="n">
        <v>35.9042</v>
      </c>
      <c r="E28" s="18" t="n">
        <v>0.0591</v>
      </c>
      <c r="F28" s="18" t="n">
        <v>0.03</v>
      </c>
      <c r="G28" s="18" t="n">
        <v>0</v>
      </c>
      <c r="H28" s="18" t="n">
        <v>36.8717</v>
      </c>
      <c r="I28" s="18" t="n">
        <v>0.994</v>
      </c>
      <c r="J28" s="18" t="n">
        <v>26.4901</v>
      </c>
      <c r="K28" s="18" t="n">
        <v>0.3529</v>
      </c>
      <c r="L28" s="18" t="n">
        <v>0.0275</v>
      </c>
      <c r="M28" s="18" t="n">
        <v>0</v>
      </c>
      <c r="N28" s="3" t="n">
        <v>0.1331</v>
      </c>
      <c r="O28" s="3" t="n">
        <f aca="false">SUM(D28:N28)</f>
        <v>100.8626</v>
      </c>
    </row>
    <row r="29" customFormat="false" ht="15" hidden="false" customHeight="false" outlineLevel="0" collapsed="false">
      <c r="A29" s="16" t="s">
        <v>185</v>
      </c>
      <c r="B29" s="16" t="s">
        <v>215</v>
      </c>
      <c r="C29" s="17" t="s">
        <v>10</v>
      </c>
      <c r="D29" s="18" t="n">
        <v>36.0561</v>
      </c>
      <c r="E29" s="18" t="n">
        <v>0.0931</v>
      </c>
      <c r="F29" s="18" t="n">
        <v>0.1061</v>
      </c>
      <c r="G29" s="18" t="n">
        <v>0.058</v>
      </c>
      <c r="H29" s="18" t="n">
        <v>37.2433</v>
      </c>
      <c r="I29" s="18" t="n">
        <v>1.1931</v>
      </c>
      <c r="J29" s="18" t="n">
        <v>25.7491</v>
      </c>
      <c r="K29" s="18" t="n">
        <v>0.353</v>
      </c>
      <c r="L29" s="18" t="n">
        <v>0.041</v>
      </c>
      <c r="M29" s="18" t="n">
        <v>0.0224</v>
      </c>
      <c r="N29" s="3" t="n">
        <v>0.0563</v>
      </c>
      <c r="O29" s="3" t="n">
        <f aca="false">SUM(D29:N29)</f>
        <v>100.9715</v>
      </c>
    </row>
    <row r="30" customFormat="false" ht="15" hidden="false" customHeight="false" outlineLevel="0" collapsed="false">
      <c r="A30" s="16" t="s">
        <v>190</v>
      </c>
      <c r="B30" s="16" t="s">
        <v>215</v>
      </c>
      <c r="C30" s="17" t="s">
        <v>10</v>
      </c>
      <c r="D30" s="18" t="n">
        <v>35.7639</v>
      </c>
      <c r="E30" s="18" t="n">
        <v>0.0162</v>
      </c>
      <c r="F30" s="18" t="n">
        <v>0.0052</v>
      </c>
      <c r="G30" s="18" t="n">
        <v>0</v>
      </c>
      <c r="H30" s="18" t="n">
        <v>37.3102</v>
      </c>
      <c r="I30" s="18" t="n">
        <v>1.0251</v>
      </c>
      <c r="J30" s="18" t="n">
        <v>25.9927</v>
      </c>
      <c r="K30" s="18" t="n">
        <v>0.3595</v>
      </c>
      <c r="L30" s="18" t="n">
        <v>0.041</v>
      </c>
      <c r="M30" s="18" t="n">
        <v>0.0121</v>
      </c>
      <c r="N30" s="3" t="n">
        <v>0.0422</v>
      </c>
      <c r="O30" s="3" t="n">
        <f aca="false">SUM(D30:N30)</f>
        <v>100.5681</v>
      </c>
    </row>
    <row r="31" customFormat="false" ht="15" hidden="false" customHeight="false" outlineLevel="0" collapsed="false">
      <c r="A31" s="16" t="s">
        <v>181</v>
      </c>
      <c r="B31" s="16" t="s">
        <v>215</v>
      </c>
      <c r="C31" s="17" t="s">
        <v>10</v>
      </c>
      <c r="D31" s="18" t="n">
        <v>35.023</v>
      </c>
      <c r="E31" s="18" t="n">
        <v>0.0807</v>
      </c>
      <c r="F31" s="18" t="n">
        <v>0.0209</v>
      </c>
      <c r="G31" s="18" t="n">
        <v>0</v>
      </c>
      <c r="H31" s="18" t="n">
        <v>37.9228</v>
      </c>
      <c r="I31" s="18" t="n">
        <v>1.1337</v>
      </c>
      <c r="J31" s="18" t="n">
        <v>24.6458</v>
      </c>
      <c r="K31" s="18" t="n">
        <v>0.3788</v>
      </c>
      <c r="L31" s="18" t="n">
        <v>0.0452</v>
      </c>
      <c r="M31" s="18" t="n">
        <v>0</v>
      </c>
      <c r="N31" s="3" t="n">
        <v>0.0772</v>
      </c>
      <c r="O31" s="3" t="n">
        <f aca="false">SUM(D31:N31)</f>
        <v>99.3281</v>
      </c>
    </row>
    <row r="32" customFormat="false" ht="15" hidden="false" customHeight="false" outlineLevel="0" collapsed="false">
      <c r="A32" s="16" t="s">
        <v>182</v>
      </c>
      <c r="B32" s="16" t="s">
        <v>215</v>
      </c>
      <c r="C32" s="17" t="s">
        <v>10</v>
      </c>
      <c r="D32" s="18" t="n">
        <v>35.3668</v>
      </c>
      <c r="E32" s="18" t="n">
        <v>0.0404</v>
      </c>
      <c r="F32" s="18" t="n">
        <v>0.0174</v>
      </c>
      <c r="G32" s="18" t="n">
        <v>0.0702</v>
      </c>
      <c r="H32" s="18" t="n">
        <v>37.9472</v>
      </c>
      <c r="I32" s="18" t="n">
        <v>1.1951</v>
      </c>
      <c r="J32" s="18" t="n">
        <v>24.803</v>
      </c>
      <c r="K32" s="18" t="n">
        <v>0.3682</v>
      </c>
      <c r="L32" s="18" t="n">
        <v>0.0207</v>
      </c>
      <c r="M32" s="18" t="n">
        <v>0.0147</v>
      </c>
      <c r="N32" s="3" t="n">
        <v>0.0843</v>
      </c>
      <c r="O32" s="3" t="n">
        <f aca="false">SUM(D32:N32)</f>
        <v>99.928</v>
      </c>
    </row>
    <row r="33" customFormat="false" ht="15" hidden="false" customHeight="false" outlineLevel="0" collapsed="false">
      <c r="A33" s="16" t="s">
        <v>138</v>
      </c>
      <c r="B33" s="16" t="s">
        <v>82</v>
      </c>
      <c r="C33" s="17" t="s">
        <v>217</v>
      </c>
      <c r="D33" s="18" t="n">
        <v>35.7754</v>
      </c>
      <c r="E33" s="18" t="n">
        <v>0.0676</v>
      </c>
      <c r="F33" s="18" t="n">
        <v>0.0037</v>
      </c>
      <c r="G33" s="18" t="n">
        <v>0.029</v>
      </c>
      <c r="H33" s="18" t="n">
        <v>38.3843</v>
      </c>
      <c r="I33" s="18" t="n">
        <v>1.2143</v>
      </c>
      <c r="J33" s="18" t="n">
        <v>25.17</v>
      </c>
      <c r="K33" s="18" t="n">
        <v>0.3676</v>
      </c>
      <c r="L33" s="18" t="n">
        <v>0.0237</v>
      </c>
      <c r="M33" s="18" t="n">
        <v>0.0102</v>
      </c>
      <c r="N33" s="3" t="n">
        <v>0.0417</v>
      </c>
      <c r="O33" s="3" t="n">
        <f aca="false">SUM(D33:N33)</f>
        <v>101.0875</v>
      </c>
    </row>
    <row r="34" customFormat="false" ht="15" hidden="false" customHeight="false" outlineLevel="0" collapsed="false">
      <c r="C34" s="1" t="s">
        <v>32</v>
      </c>
      <c r="D34" s="3" t="n">
        <f aca="false">AVERAGE(D25:D33)</f>
        <v>35.7073875</v>
      </c>
      <c r="E34" s="3" t="n">
        <f aca="false">AVERAGE(E25:E33)</f>
        <v>0.0542625</v>
      </c>
      <c r="F34" s="3" t="n">
        <f aca="false">AVERAGE(F25:F33)</f>
        <v>0.0309625</v>
      </c>
      <c r="G34" s="3" t="n">
        <f aca="false">AVERAGE(G25:G33)</f>
        <v>0.01965</v>
      </c>
      <c r="H34" s="3" t="n">
        <f aca="false">AVERAGE(H25:H33)</f>
        <v>37.4163375</v>
      </c>
      <c r="I34" s="3" t="n">
        <f aca="false">AVERAGE(I25:I33)</f>
        <v>1.0901125</v>
      </c>
      <c r="J34" s="3" t="n">
        <f aca="false">AVERAGE(J25:J33)</f>
        <v>25.63045</v>
      </c>
      <c r="K34" s="3" t="n">
        <f aca="false">AVERAGE(K25:K33)</f>
        <v>0.3653625</v>
      </c>
      <c r="L34" s="3" t="n">
        <f aca="false">AVERAGE(L25:L33)</f>
        <v>0.0327125</v>
      </c>
      <c r="M34" s="3" t="n">
        <f aca="false">AVERAGE(M25:M33)</f>
        <v>0.007425</v>
      </c>
      <c r="N34" s="3" t="n">
        <f aca="false">AVERAGE(N25:N33)</f>
        <v>0.0702</v>
      </c>
      <c r="O34" s="3" t="n">
        <f aca="false">SUM(D34:N34)</f>
        <v>100.4248625</v>
      </c>
    </row>
    <row r="35" customFormat="false" ht="15" hidden="false" customHeight="false" outlineLevel="0" collapsed="false">
      <c r="C35" s="1" t="s">
        <v>81</v>
      </c>
      <c r="D35" s="3" t="n">
        <f aca="false">_xlfn.STDEV.P(D25:D33)</f>
        <v>0.322343867001917</v>
      </c>
      <c r="E35" s="3" t="n">
        <f aca="false">_xlfn.STDEV.P(E25:E33)</f>
        <v>0.0306409014839642</v>
      </c>
      <c r="F35" s="3" t="n">
        <f aca="false">_xlfn.STDEV.P(F25:F33)</f>
        <v>0.0304470826804474</v>
      </c>
      <c r="G35" s="3" t="n">
        <f aca="false">_xlfn.STDEV.P(G25:G33)</f>
        <v>0.0274864966847359</v>
      </c>
      <c r="H35" s="3" t="n">
        <f aca="false">_xlfn.STDEV.P(H25:H33)</f>
        <v>0.560636972419544</v>
      </c>
      <c r="I35" s="3" t="n">
        <f aca="false">_xlfn.STDEV.P(I25:I33)</f>
        <v>0.0971413716896668</v>
      </c>
      <c r="J35" s="3" t="n">
        <f aca="false">_xlfn.STDEV.P(J25:J33)</f>
        <v>0.631483548875186</v>
      </c>
      <c r="K35" s="3" t="n">
        <f aca="false">_xlfn.STDEV.P(K25:K33)</f>
        <v>0.0156407270850814</v>
      </c>
      <c r="L35" s="3" t="n">
        <f aca="false">_xlfn.STDEV.P(L25:L33)</f>
        <v>0.00844444158899806</v>
      </c>
      <c r="M35" s="3" t="n">
        <f aca="false">_xlfn.STDEV.P(M25:M33)</f>
        <v>0.00811830493391324</v>
      </c>
      <c r="N35" s="3" t="n">
        <f aca="false">_xlfn.STDEV.P(N25:N33)</f>
        <v>0.0420197572577472</v>
      </c>
      <c r="O35" s="3"/>
    </row>
    <row r="36" customFormat="false" ht="15" hidden="false" customHeight="false" outlineLevel="0" collapsed="false">
      <c r="C36" s="1" t="s">
        <v>66</v>
      </c>
      <c r="D36" s="3" t="n">
        <f aca="false">D34/$O$34*100</f>
        <v>35.556322021352</v>
      </c>
      <c r="E36" s="3" t="n">
        <f aca="false">E34/$O$34*100</f>
        <v>0.054032934324406</v>
      </c>
      <c r="F36" s="3" t="n">
        <f aca="false">F34/$O$34*100</f>
        <v>0.0308315084822745</v>
      </c>
      <c r="G36" s="3" t="n">
        <f aca="false">G34/$O$34*100</f>
        <v>0.0195668677166474</v>
      </c>
      <c r="H36" s="3" t="n">
        <f aca="false">H34/$O$34*100</f>
        <v>37.2580420510907</v>
      </c>
      <c r="I36" s="3" t="n">
        <f aca="false">I34/$O$34*100</f>
        <v>1.08550061494981</v>
      </c>
      <c r="J36" s="3" t="n">
        <f aca="false">J34/$O$34*100</f>
        <v>25.5220165225519</v>
      </c>
      <c r="K36" s="3" t="n">
        <f aca="false">K34/$O$34*100</f>
        <v>0.363816778937586</v>
      </c>
      <c r="L36" s="3" t="n">
        <f aca="false">L34/$O$34*100</f>
        <v>0.032574104843808</v>
      </c>
      <c r="M36" s="3" t="n">
        <f aca="false">M34/$O$34*100</f>
        <v>0.00739358741964919</v>
      </c>
      <c r="N36" s="3" t="n">
        <f aca="false">N34/$O$34*100</f>
        <v>0.0699030083312287</v>
      </c>
      <c r="O36" s="3"/>
    </row>
    <row r="37" customFormat="false" ht="15" hidden="false" customHeight="false" outlineLevel="0" collapsed="false"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customFormat="false" ht="15" hidden="false" customHeight="false" outlineLevel="0" collapsed="false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O38" s="16"/>
      <c r="AP38" s="16"/>
      <c r="AQ38" s="16"/>
      <c r="AR38" s="16"/>
      <c r="AS38" s="16"/>
      <c r="AT38" s="16"/>
      <c r="AU38" s="16"/>
      <c r="AV38" s="16"/>
      <c r="AW38" s="16"/>
      <c r="AX38" s="16"/>
      <c r="AY38" s="16"/>
      <c r="AZ38" s="16"/>
      <c r="BA38" s="16"/>
      <c r="BB38" s="16"/>
      <c r="BC38" s="16"/>
      <c r="BD38" s="16"/>
      <c r="BE38" s="16"/>
      <c r="BF38" s="16"/>
      <c r="BG38" s="16"/>
      <c r="BH38" s="16"/>
      <c r="BI38" s="16"/>
      <c r="BJ38" s="16"/>
      <c r="BK38" s="16"/>
      <c r="BL38" s="16"/>
      <c r="BM38" s="16"/>
      <c r="BN38" s="16"/>
      <c r="BO38" s="16"/>
      <c r="BP38" s="16"/>
      <c r="BQ38" s="16"/>
      <c r="BR38" s="16"/>
    </row>
    <row r="39" customFormat="false" ht="15" hidden="false" customHeight="false" outlineLevel="0" collapsed="false"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customFormat="false" ht="15" hidden="false" customHeight="false" outlineLevel="0" collapsed="false">
      <c r="A40" s="1" t="s">
        <v>179</v>
      </c>
      <c r="B40" s="1" t="s">
        <v>215</v>
      </c>
      <c r="C40" s="1" t="s">
        <v>10</v>
      </c>
      <c r="D40" s="3" t="n">
        <v>0.1572</v>
      </c>
      <c r="E40" s="3" t="n">
        <v>0.0496</v>
      </c>
      <c r="F40" s="3" t="n">
        <v>0.0168</v>
      </c>
      <c r="G40" s="3" t="n">
        <v>0</v>
      </c>
      <c r="H40" s="3" t="n">
        <v>0.6507</v>
      </c>
      <c r="I40" s="3" t="n">
        <v>0.0944</v>
      </c>
      <c r="J40" s="3" t="n">
        <v>0.3515</v>
      </c>
      <c r="K40" s="3" t="n">
        <v>53.2226</v>
      </c>
      <c r="L40" s="3" t="n">
        <v>0.1104</v>
      </c>
      <c r="M40" s="3" t="n">
        <v>0.0209</v>
      </c>
      <c r="N40" s="3" t="n">
        <v>41.9445</v>
      </c>
      <c r="O40" s="3" t="n">
        <v>96.6186</v>
      </c>
    </row>
    <row r="41" customFormat="false" ht="15" hidden="false" customHeight="false" outlineLevel="0" collapsed="false">
      <c r="A41" s="1" t="s">
        <v>184</v>
      </c>
      <c r="B41" s="1" t="s">
        <v>215</v>
      </c>
      <c r="C41" s="1" t="s">
        <v>10</v>
      </c>
      <c r="D41" s="3" t="n">
        <v>0.1503</v>
      </c>
      <c r="E41" s="3" t="n">
        <v>0.0676</v>
      </c>
      <c r="F41" s="3" t="n">
        <v>0.0098</v>
      </c>
      <c r="G41" s="3" t="n">
        <v>0</v>
      </c>
      <c r="H41" s="3" t="n">
        <v>0.7304</v>
      </c>
      <c r="I41" s="3" t="n">
        <v>0.1434</v>
      </c>
      <c r="J41" s="3" t="n">
        <v>0.3631</v>
      </c>
      <c r="K41" s="3" t="n">
        <v>52.6761</v>
      </c>
      <c r="L41" s="3" t="n">
        <v>0.1309</v>
      </c>
      <c r="M41" s="3" t="n">
        <v>0</v>
      </c>
      <c r="N41" s="3" t="n">
        <v>42.294</v>
      </c>
      <c r="O41" s="3" t="n">
        <v>96.5657</v>
      </c>
    </row>
    <row r="42" customFormat="false" ht="15" hidden="false" customHeight="false" outlineLevel="0" collapsed="false">
      <c r="A42" s="1" t="s">
        <v>136</v>
      </c>
      <c r="B42" s="1" t="s">
        <v>82</v>
      </c>
      <c r="C42" s="1" t="s">
        <v>218</v>
      </c>
      <c r="D42" s="3" t="n">
        <v>0.168</v>
      </c>
      <c r="E42" s="3" t="n">
        <v>0</v>
      </c>
      <c r="F42" s="3" t="n">
        <v>0.0023</v>
      </c>
      <c r="G42" s="3" t="n">
        <v>0</v>
      </c>
      <c r="H42" s="3" t="n">
        <v>0.8053</v>
      </c>
      <c r="I42" s="3" t="n">
        <v>0.0909</v>
      </c>
      <c r="J42" s="3" t="n">
        <v>0.348</v>
      </c>
      <c r="K42" s="3" t="n">
        <v>52.5811</v>
      </c>
      <c r="L42" s="3" t="n">
        <v>0.1104</v>
      </c>
      <c r="M42" s="3" t="n">
        <v>0.0272</v>
      </c>
      <c r="N42" s="3" t="n">
        <v>42.6387</v>
      </c>
      <c r="O42" s="3" t="n">
        <v>96.7719</v>
      </c>
    </row>
    <row r="43" customFormat="false" ht="15" hidden="false" customHeight="false" outlineLevel="0" collapsed="false"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</row>
    <row r="44" customFormat="false" ht="15" hidden="false" customHeight="false" outlineLevel="0" collapsed="false"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</row>
    <row r="45" customFormat="false" ht="15" hidden="false" customHeight="false" outlineLevel="0" collapsed="false"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</row>
    <row r="46" customFormat="false" ht="15" hidden="false" customHeight="false" outlineLevel="0" collapsed="false"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</row>
    <row r="47" customFormat="false" ht="15" hidden="false" customHeight="false" outlineLevel="0" collapsed="false"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</row>
    <row r="48" customFormat="false" ht="15" hidden="false" customHeight="false" outlineLevel="0" collapsed="false"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</row>
    <row r="49" customFormat="false" ht="15" hidden="false" customHeight="false" outlineLevel="0" collapsed="false"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</row>
    <row r="50" customFormat="false" ht="15" hidden="false" customHeight="false" outlineLevel="0" collapsed="false"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</row>
    <row r="51" customFormat="false" ht="15" hidden="false" customHeight="false" outlineLevel="0" collapsed="false"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</row>
    <row r="52" customFormat="false" ht="15" hidden="false" customHeight="false" outlineLevel="0" collapsed="false"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</row>
    <row r="53" customFormat="false" ht="15" hidden="false" customHeight="false" outlineLevel="0" collapsed="false"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</row>
    <row r="54" customFormat="false" ht="15" hidden="false" customHeight="false" outlineLevel="0" collapsed="false"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</row>
    <row r="55" customFormat="false" ht="15" hidden="false" customHeight="false" outlineLevel="0" collapsed="false"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customFormat="false" ht="15" hidden="false" customHeight="false" outlineLevel="0" collapsed="false"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E68"/>
  <sheetViews>
    <sheetView showFormulas="false" showGridLines="true" showRowColHeaders="true" showZeros="true" rightToLeft="false" tabSelected="false" showOutlineSymbols="true" defaultGridColor="true" view="normal" topLeftCell="A1" colorId="64" zoomScale="55" zoomScaleNormal="55" zoomScalePageLayoutView="100" workbookViewId="0">
      <selection pane="topLeft" activeCell="A1" activeCellId="0" sqref="A1"/>
    </sheetView>
  </sheetViews>
  <sheetFormatPr defaultColWidth="10.6445312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15" min="4" style="1" width="6.7"/>
    <col collapsed="false" customWidth="true" hidden="false" outlineLevel="0" max="24" min="16" style="1" width="6.9"/>
    <col collapsed="false" customWidth="true" hidden="false" outlineLevel="0" max="26" min="25" style="1" width="6.5"/>
  </cols>
  <sheetData>
    <row r="1" customFormat="false" ht="15" hidden="false" customHeight="false" outlineLevel="0" collapsed="false">
      <c r="A1" s="20"/>
      <c r="D1" s="3" t="s">
        <v>65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1" t="s">
        <v>66</v>
      </c>
    </row>
    <row r="2" customFormat="false" ht="15" hidden="false" customHeight="false" outlineLevel="0" collapsed="false">
      <c r="B2" s="1" t="s">
        <v>67</v>
      </c>
      <c r="C2" s="1" t="s">
        <v>68</v>
      </c>
      <c r="D2" s="3" t="s">
        <v>15</v>
      </c>
      <c r="E2" s="3" t="s">
        <v>16</v>
      </c>
      <c r="F2" s="3" t="s">
        <v>17</v>
      </c>
      <c r="G2" s="3" t="s">
        <v>31</v>
      </c>
      <c r="H2" s="3" t="s">
        <v>18</v>
      </c>
      <c r="I2" s="3" t="s">
        <v>19</v>
      </c>
      <c r="J2" s="3" t="s">
        <v>20</v>
      </c>
      <c r="K2" s="3" t="s">
        <v>21</v>
      </c>
      <c r="L2" s="3" t="s">
        <v>22</v>
      </c>
      <c r="M2" s="3" t="s">
        <v>23</v>
      </c>
      <c r="N2" s="3" t="s">
        <v>24</v>
      </c>
      <c r="O2" s="3" t="s">
        <v>69</v>
      </c>
      <c r="P2" s="3" t="s">
        <v>15</v>
      </c>
      <c r="Q2" s="3" t="s">
        <v>16</v>
      </c>
      <c r="R2" s="3" t="s">
        <v>17</v>
      </c>
      <c r="S2" s="3" t="s">
        <v>31</v>
      </c>
      <c r="T2" s="3" t="s">
        <v>18</v>
      </c>
      <c r="U2" s="3" t="s">
        <v>19</v>
      </c>
      <c r="V2" s="3" t="s">
        <v>20</v>
      </c>
      <c r="W2" s="3" t="s">
        <v>21</v>
      </c>
      <c r="X2" s="3" t="s">
        <v>22</v>
      </c>
      <c r="Y2" s="3" t="s">
        <v>23</v>
      </c>
      <c r="Z2" s="3" t="s">
        <v>24</v>
      </c>
    </row>
    <row r="3" customFormat="false" ht="15" hidden="false" customHeight="false" outlineLevel="0" collapsed="false">
      <c r="A3" s="16" t="s">
        <v>219</v>
      </c>
      <c r="B3" s="16" t="s">
        <v>220</v>
      </c>
      <c r="C3" s="16" t="s">
        <v>221</v>
      </c>
      <c r="D3" s="18" t="n">
        <v>57.2744</v>
      </c>
      <c r="E3" s="18" t="n">
        <v>0.2246</v>
      </c>
      <c r="F3" s="18" t="n">
        <v>17.9992</v>
      </c>
      <c r="G3" s="18" t="n">
        <v>0.0126</v>
      </c>
      <c r="H3" s="18" t="n">
        <v>5.4091</v>
      </c>
      <c r="I3" s="18" t="n">
        <v>0.1875</v>
      </c>
      <c r="J3" s="18" t="n">
        <v>0.2907</v>
      </c>
      <c r="K3" s="18" t="n">
        <v>1.2716</v>
      </c>
      <c r="L3" s="18" t="n">
        <v>7.3517</v>
      </c>
      <c r="M3" s="18" t="n">
        <v>6.0176</v>
      </c>
      <c r="N3" s="18" t="n">
        <v>0.1405</v>
      </c>
      <c r="O3" s="18" t="n">
        <f aca="false">SUM(D3:N3)</f>
        <v>96.1795</v>
      </c>
      <c r="P3" s="3" t="n">
        <f aca="false">D3/$O3*100</f>
        <v>59.5494881965492</v>
      </c>
      <c r="Q3" s="3" t="n">
        <f aca="false">E3/$O3*100</f>
        <v>0.233521696411397</v>
      </c>
      <c r="R3" s="3" t="n">
        <f aca="false">F3/$O3*100</f>
        <v>18.7141750580945</v>
      </c>
      <c r="S3" s="3" t="n">
        <f aca="false">G3/$O3*100</f>
        <v>0.0131005047853233</v>
      </c>
      <c r="T3" s="3" t="n">
        <f aca="false">H3/$O3*100</f>
        <v>5.62396352653112</v>
      </c>
      <c r="U3" s="3" t="n">
        <f aca="false">I3/$O3*100</f>
        <v>0.194947987876834</v>
      </c>
      <c r="V3" s="3" t="n">
        <f aca="false">J3/$O3*100</f>
        <v>0.302247360404244</v>
      </c>
      <c r="W3" s="3" t="n">
        <f aca="false">K3/$O3*100</f>
        <v>1.32211126071564</v>
      </c>
      <c r="X3" s="3" t="n">
        <f aca="false">L3/$O3*100</f>
        <v>7.64372865319533</v>
      </c>
      <c r="Y3" s="3" t="n">
        <f aca="false">M3/$O3*100</f>
        <v>6.25663472985407</v>
      </c>
      <c r="Z3" s="3" t="n">
        <f aca="false">N3/$O3*100</f>
        <v>0.146081025582375</v>
      </c>
    </row>
    <row r="4" customFormat="false" ht="15" hidden="false" customHeight="false" outlineLevel="0" collapsed="false">
      <c r="A4" s="16" t="s">
        <v>222</v>
      </c>
      <c r="B4" s="16" t="s">
        <v>220</v>
      </c>
      <c r="C4" s="16" t="s">
        <v>221</v>
      </c>
      <c r="D4" s="18" t="n">
        <v>57.3517</v>
      </c>
      <c r="E4" s="18" t="n">
        <v>0.1609</v>
      </c>
      <c r="F4" s="18" t="n">
        <v>18.0355</v>
      </c>
      <c r="G4" s="18" t="n">
        <v>0</v>
      </c>
      <c r="H4" s="18" t="n">
        <v>5.4803</v>
      </c>
      <c r="I4" s="18" t="n">
        <v>0.1909</v>
      </c>
      <c r="J4" s="18" t="n">
        <v>0.3781</v>
      </c>
      <c r="K4" s="18" t="n">
        <v>1.227</v>
      </c>
      <c r="L4" s="18" t="n">
        <v>7.3067</v>
      </c>
      <c r="M4" s="18" t="n">
        <v>6.0558</v>
      </c>
      <c r="N4" s="18" t="n">
        <v>0.1507</v>
      </c>
      <c r="O4" s="18" t="n">
        <f aca="false">SUM(D4:N4)</f>
        <v>96.3376</v>
      </c>
      <c r="P4" s="3" t="n">
        <f aca="false">D4/$O4*100</f>
        <v>59.5319999667835</v>
      </c>
      <c r="Q4" s="3" t="n">
        <f aca="false">E4/$O4*100</f>
        <v>0.167016824168341</v>
      </c>
      <c r="R4" s="3" t="n">
        <f aca="false">F4/$O4*100</f>
        <v>18.7211431466011</v>
      </c>
      <c r="S4" s="3" t="n">
        <f aca="false">G4/$O4*100</f>
        <v>0</v>
      </c>
      <c r="T4" s="3" t="n">
        <f aca="false">H4/$O4*100</f>
        <v>5.68864077992393</v>
      </c>
      <c r="U4" s="3" t="n">
        <f aca="false">I4/$O4*100</f>
        <v>0.198157313447709</v>
      </c>
      <c r="V4" s="3" t="n">
        <f aca="false">J4/$O4*100</f>
        <v>0.392473966550962</v>
      </c>
      <c r="W4" s="3" t="n">
        <f aca="false">K4/$O4*100</f>
        <v>1.27364601152613</v>
      </c>
      <c r="X4" s="3" t="n">
        <f aca="false">L4/$O4*100</f>
        <v>7.58447376725183</v>
      </c>
      <c r="Y4" s="3" t="n">
        <f aca="false">M4/$O4*100</f>
        <v>6.28601916593314</v>
      </c>
      <c r="Z4" s="3" t="n">
        <f aca="false">N4/$O4*100</f>
        <v>0.156429057813356</v>
      </c>
    </row>
    <row r="5" customFormat="false" ht="15" hidden="false" customHeight="false" outlineLevel="0" collapsed="false">
      <c r="A5" s="16" t="s">
        <v>223</v>
      </c>
      <c r="B5" s="16" t="s">
        <v>220</v>
      </c>
      <c r="C5" s="16" t="s">
        <v>221</v>
      </c>
      <c r="D5" s="18" t="n">
        <v>57.4017</v>
      </c>
      <c r="E5" s="18" t="n">
        <v>0.2365</v>
      </c>
      <c r="F5" s="18" t="n">
        <v>18.1363</v>
      </c>
      <c r="G5" s="18" t="n">
        <v>0.0547</v>
      </c>
      <c r="H5" s="18" t="n">
        <v>5.4961</v>
      </c>
      <c r="I5" s="18" t="n">
        <v>0.2537</v>
      </c>
      <c r="J5" s="18" t="n">
        <v>0.2795</v>
      </c>
      <c r="K5" s="18" t="n">
        <v>1.1649</v>
      </c>
      <c r="L5" s="18" t="n">
        <v>7.5958</v>
      </c>
      <c r="M5" s="18" t="n">
        <v>5.8981</v>
      </c>
      <c r="N5" s="18" t="n">
        <v>0.16</v>
      </c>
      <c r="O5" s="18" t="n">
        <f aca="false">SUM(D5:N5)</f>
        <v>96.6773</v>
      </c>
      <c r="P5" s="3" t="n">
        <f aca="false">D5/$O5*100</f>
        <v>59.3745377663629</v>
      </c>
      <c r="Q5" s="3" t="n">
        <f aca="false">E5/$O5*100</f>
        <v>0.24462826330483</v>
      </c>
      <c r="R5" s="3" t="n">
        <f aca="false">F5/$O5*100</f>
        <v>18.7596260963018</v>
      </c>
      <c r="S5" s="3" t="n">
        <f aca="false">G5/$O5*100</f>
        <v>0.0565799830984109</v>
      </c>
      <c r="T5" s="3" t="n">
        <f aca="false">H5/$O5*100</f>
        <v>5.68499534016775</v>
      </c>
      <c r="U5" s="3" t="n">
        <f aca="false">I5/$O5*100</f>
        <v>0.262419409726999</v>
      </c>
      <c r="V5" s="3" t="n">
        <f aca="false">J5/$O5*100</f>
        <v>0.289106129360253</v>
      </c>
      <c r="W5" s="3" t="n">
        <f aca="false">K5/$O5*100</f>
        <v>1.20493642251077</v>
      </c>
      <c r="X5" s="3" t="n">
        <f aca="false">L5/$O5*100</f>
        <v>7.85685988334387</v>
      </c>
      <c r="Y5" s="3" t="n">
        <f aca="false">M5/$O5*100</f>
        <v>6.10081166933706</v>
      </c>
      <c r="Z5" s="3" t="n">
        <f aca="false">N5/$O5*100</f>
        <v>0.165499036485297</v>
      </c>
    </row>
    <row r="6" customFormat="false" ht="15" hidden="false" customHeight="false" outlineLevel="0" collapsed="false">
      <c r="A6" s="16" t="s">
        <v>224</v>
      </c>
      <c r="B6" s="16" t="s">
        <v>220</v>
      </c>
      <c r="C6" s="16" t="s">
        <v>221</v>
      </c>
      <c r="D6" s="18" t="n">
        <v>57.4198</v>
      </c>
      <c r="E6" s="18" t="n">
        <v>0.2534</v>
      </c>
      <c r="F6" s="18" t="n">
        <v>17.9855</v>
      </c>
      <c r="G6" s="18" t="n">
        <v>0.0127</v>
      </c>
      <c r="H6" s="18" t="n">
        <v>5.6307</v>
      </c>
      <c r="I6" s="18" t="n">
        <v>0.2098</v>
      </c>
      <c r="J6" s="18" t="n">
        <v>0.3242</v>
      </c>
      <c r="K6" s="18" t="n">
        <v>1.1528</v>
      </c>
      <c r="L6" s="18" t="n">
        <v>7.6483</v>
      </c>
      <c r="M6" s="18" t="n">
        <v>5.9143</v>
      </c>
      <c r="N6" s="18" t="n">
        <v>0.1994</v>
      </c>
      <c r="O6" s="18" t="n">
        <f aca="false">SUM(D6:N6)</f>
        <v>96.7509</v>
      </c>
      <c r="P6" s="3" t="n">
        <f aca="false">D6/$O6*100</f>
        <v>59.348078415808</v>
      </c>
      <c r="Q6" s="3" t="n">
        <f aca="false">E6/$O6*100</f>
        <v>0.261909708333463</v>
      </c>
      <c r="R6" s="3" t="n">
        <f aca="false">F6/$O6*100</f>
        <v>18.5894911571882</v>
      </c>
      <c r="S6" s="3" t="n">
        <f aca="false">G6/$O6*100</f>
        <v>0.0131264928801696</v>
      </c>
      <c r="T6" s="3" t="n">
        <f aca="false">H6/$O6*100</f>
        <v>5.81979082365125</v>
      </c>
      <c r="U6" s="3" t="n">
        <f aca="false">I6/$O6*100</f>
        <v>0.216845528051935</v>
      </c>
      <c r="V6" s="3" t="n">
        <f aca="false">J6/$O6*100</f>
        <v>0.335087322185117</v>
      </c>
      <c r="W6" s="3" t="n">
        <f aca="false">K6/$O6*100</f>
        <v>1.19151346395744</v>
      </c>
      <c r="X6" s="3" t="n">
        <f aca="false">L6/$O6*100</f>
        <v>7.90514610200009</v>
      </c>
      <c r="Y6" s="3" t="n">
        <f aca="false">M6/$O6*100</f>
        <v>6.11291471190449</v>
      </c>
      <c r="Z6" s="3" t="n">
        <f aca="false">N6/$O6*100</f>
        <v>0.206096274039828</v>
      </c>
    </row>
    <row r="7" customFormat="false" ht="15" hidden="false" customHeight="false" outlineLevel="0" collapsed="false">
      <c r="A7" s="16" t="s">
        <v>225</v>
      </c>
      <c r="B7" s="16" t="s">
        <v>220</v>
      </c>
      <c r="C7" s="16" t="s">
        <v>221</v>
      </c>
      <c r="D7" s="18" t="n">
        <v>57.4837</v>
      </c>
      <c r="E7" s="18" t="n">
        <v>0.1844</v>
      </c>
      <c r="F7" s="18" t="n">
        <v>18.1923</v>
      </c>
      <c r="G7" s="18" t="n">
        <v>0.0337</v>
      </c>
      <c r="H7" s="18" t="n">
        <v>5.4566</v>
      </c>
      <c r="I7" s="18" t="n">
        <v>0.2642</v>
      </c>
      <c r="J7" s="18" t="n">
        <v>0.2811</v>
      </c>
      <c r="K7" s="18" t="n">
        <v>1.2419</v>
      </c>
      <c r="L7" s="18" t="n">
        <v>7.4649</v>
      </c>
      <c r="M7" s="18" t="n">
        <v>5.9945</v>
      </c>
      <c r="N7" s="18" t="n">
        <v>0.0824</v>
      </c>
      <c r="O7" s="18" t="n">
        <f aca="false">SUM(D7:N7)</f>
        <v>96.6797</v>
      </c>
      <c r="P7" s="3" t="n">
        <f aca="false">D7/$O7*100</f>
        <v>59.4578799892842</v>
      </c>
      <c r="Q7" s="3" t="n">
        <f aca="false">E7/$O7*100</f>
        <v>0.190732904632513</v>
      </c>
      <c r="R7" s="3" t="n">
        <f aca="false">F7/$O7*100</f>
        <v>18.8170836276902</v>
      </c>
      <c r="S7" s="3" t="n">
        <f aca="false">G7/$O7*100</f>
        <v>0.0348573692305624</v>
      </c>
      <c r="T7" s="3" t="n">
        <f aca="false">H7/$O7*100</f>
        <v>5.64399765410939</v>
      </c>
      <c r="U7" s="3" t="n">
        <f aca="false">I7/$O7*100</f>
        <v>0.273273500021204</v>
      </c>
      <c r="V7" s="3" t="n">
        <f aca="false">J7/$O7*100</f>
        <v>0.290753901801516</v>
      </c>
      <c r="W7" s="3" t="n">
        <f aca="false">K7/$O7*100</f>
        <v>1.28455094502776</v>
      </c>
      <c r="X7" s="3" t="n">
        <f aca="false">L7/$O7*100</f>
        <v>7.72126930472478</v>
      </c>
      <c r="Y7" s="3" t="n">
        <f aca="false">M7/$O7*100</f>
        <v>6.2003709155076</v>
      </c>
      <c r="Z7" s="3" t="n">
        <f aca="false">N7/$O7*100</f>
        <v>0.0852298879702771</v>
      </c>
    </row>
    <row r="8" customFormat="false" ht="15" hidden="false" customHeight="false" outlineLevel="0" collapsed="false">
      <c r="A8" s="16" t="s">
        <v>226</v>
      </c>
      <c r="B8" s="16" t="s">
        <v>220</v>
      </c>
      <c r="C8" s="16" t="s">
        <v>221</v>
      </c>
      <c r="D8" s="18" t="n">
        <v>57.5285</v>
      </c>
      <c r="E8" s="18" t="n">
        <v>0.2279</v>
      </c>
      <c r="F8" s="18" t="n">
        <v>17.9238</v>
      </c>
      <c r="G8" s="18" t="n">
        <v>0.0252</v>
      </c>
      <c r="H8" s="18" t="n">
        <v>5.4455</v>
      </c>
      <c r="I8" s="18" t="n">
        <v>0.1918</v>
      </c>
      <c r="J8" s="18" t="n">
        <v>0.2822</v>
      </c>
      <c r="K8" s="18" t="n">
        <v>1.1942</v>
      </c>
      <c r="L8" s="18" t="n">
        <v>7.4564</v>
      </c>
      <c r="M8" s="18" t="n">
        <v>5.917</v>
      </c>
      <c r="N8" s="18" t="n">
        <v>0.174</v>
      </c>
      <c r="O8" s="18" t="n">
        <f aca="false">SUM(D8:N8)</f>
        <v>96.3665</v>
      </c>
      <c r="P8" s="3" t="n">
        <f aca="false">D8/$O8*100</f>
        <v>59.6976127596208</v>
      </c>
      <c r="Q8" s="3" t="n">
        <f aca="false">E8/$O8*100</f>
        <v>0.236492972142809</v>
      </c>
      <c r="R8" s="3" t="n">
        <f aca="false">F8/$O8*100</f>
        <v>18.5996170868507</v>
      </c>
      <c r="S8" s="3" t="n">
        <f aca="false">G8/$O8*100</f>
        <v>0.0261501662922281</v>
      </c>
      <c r="T8" s="3" t="n">
        <f aca="false">H8/$O8*100</f>
        <v>5.65082264064794</v>
      </c>
      <c r="U8" s="3" t="n">
        <f aca="false">I8/$O8*100</f>
        <v>0.199031821224181</v>
      </c>
      <c r="V8" s="3" t="n">
        <f aca="false">J8/$O8*100</f>
        <v>0.292840354272491</v>
      </c>
      <c r="W8" s="3" t="n">
        <f aca="false">K8/$O8*100</f>
        <v>1.23922732484837</v>
      </c>
      <c r="X8" s="3" t="n">
        <f aca="false">L8/$O8*100</f>
        <v>7.73754364846705</v>
      </c>
      <c r="Y8" s="3" t="n">
        <f aca="false">M8/$O8*100</f>
        <v>6.14010055361562</v>
      </c>
      <c r="Z8" s="3" t="n">
        <f aca="false">N8/$O8*100</f>
        <v>0.180560672017765</v>
      </c>
    </row>
    <row r="9" customFormat="false" ht="15" hidden="false" customHeight="false" outlineLevel="0" collapsed="false">
      <c r="A9" s="16" t="s">
        <v>227</v>
      </c>
      <c r="B9" s="16" t="s">
        <v>220</v>
      </c>
      <c r="C9" s="16" t="s">
        <v>221</v>
      </c>
      <c r="D9" s="18" t="n">
        <v>57.5614</v>
      </c>
      <c r="E9" s="18" t="n">
        <v>0.1804</v>
      </c>
      <c r="F9" s="18" t="n">
        <v>18.0367</v>
      </c>
      <c r="G9" s="18" t="n">
        <v>0</v>
      </c>
      <c r="H9" s="18" t="n">
        <v>5.4934</v>
      </c>
      <c r="I9" s="18" t="n">
        <v>0.2719</v>
      </c>
      <c r="J9" s="18" t="n">
        <v>0.3145</v>
      </c>
      <c r="K9" s="18" t="n">
        <v>1.1969</v>
      </c>
      <c r="L9" s="18" t="n">
        <v>7.4117</v>
      </c>
      <c r="M9" s="18" t="n">
        <v>5.9175</v>
      </c>
      <c r="N9" s="18" t="n">
        <v>0.1358</v>
      </c>
      <c r="O9" s="18" t="n">
        <f aca="false">SUM(D9:N9)</f>
        <v>96.5202</v>
      </c>
      <c r="P9" s="3" t="n">
        <f aca="false">D9/$O9*100</f>
        <v>59.6366356472531</v>
      </c>
      <c r="Q9" s="3" t="n">
        <f aca="false">E9/$O9*100</f>
        <v>0.186903881260089</v>
      </c>
      <c r="R9" s="3" t="n">
        <f aca="false">F9/$O9*100</f>
        <v>18.6869691525712</v>
      </c>
      <c r="S9" s="3" t="n">
        <f aca="false">G9/$O9*100</f>
        <v>0</v>
      </c>
      <c r="T9" s="3" t="n">
        <f aca="false">H9/$O9*100</f>
        <v>5.69145111593221</v>
      </c>
      <c r="U9" s="3" t="n">
        <f aca="false">I9/$O9*100</f>
        <v>0.281702690214069</v>
      </c>
      <c r="V9" s="3" t="n">
        <f aca="false">J9/$O9*100</f>
        <v>0.325838529136906</v>
      </c>
      <c r="W9" s="3" t="n">
        <f aca="false">K9/$O9*100</f>
        <v>1.24005130532262</v>
      </c>
      <c r="X9" s="3" t="n">
        <f aca="false">L9/$O9*100</f>
        <v>7.67891073578381</v>
      </c>
      <c r="Y9" s="3" t="n">
        <f aca="false">M9/$O9*100</f>
        <v>6.13084100530252</v>
      </c>
      <c r="Z9" s="3" t="n">
        <f aca="false">N9/$O9*100</f>
        <v>0.140695937223503</v>
      </c>
    </row>
    <row r="10" customFormat="false" ht="15" hidden="false" customHeight="false" outlineLevel="0" collapsed="false">
      <c r="A10" s="16" t="s">
        <v>228</v>
      </c>
      <c r="B10" s="16" t="s">
        <v>220</v>
      </c>
      <c r="C10" s="16" t="s">
        <v>221</v>
      </c>
      <c r="D10" s="18" t="n">
        <v>57.7059</v>
      </c>
      <c r="E10" s="18" t="n">
        <v>0.2046</v>
      </c>
      <c r="F10" s="18" t="n">
        <v>18.2428</v>
      </c>
      <c r="G10" s="18" t="n">
        <v>0.0084</v>
      </c>
      <c r="H10" s="18" t="n">
        <v>5.4949</v>
      </c>
      <c r="I10" s="18" t="n">
        <v>0.2238</v>
      </c>
      <c r="J10" s="18" t="n">
        <v>0.3007</v>
      </c>
      <c r="K10" s="18" t="n">
        <v>1.2511</v>
      </c>
      <c r="L10" s="18" t="n">
        <v>7.4171</v>
      </c>
      <c r="M10" s="18" t="n">
        <v>5.8535</v>
      </c>
      <c r="N10" s="18" t="n">
        <v>0.1698</v>
      </c>
      <c r="O10" s="18" t="n">
        <f aca="false">SUM(D10:N10)</f>
        <v>96.8726</v>
      </c>
      <c r="P10" s="3" t="n">
        <f aca="false">D10/$O10*100</f>
        <v>59.5688564155396</v>
      </c>
      <c r="Q10" s="3" t="n">
        <f aca="false">E10/$O10*100</f>
        <v>0.211205232439307</v>
      </c>
      <c r="R10" s="3" t="n">
        <f aca="false">F10/$O10*100</f>
        <v>18.8317439606246</v>
      </c>
      <c r="S10" s="3" t="n">
        <f aca="false">G10/$O10*100</f>
        <v>0.0086711825634906</v>
      </c>
      <c r="T10" s="3" t="n">
        <f aca="false">H10/$O10*100</f>
        <v>5.67229536525292</v>
      </c>
      <c r="U10" s="3" t="n">
        <f aca="false">I10/$O10*100</f>
        <v>0.231025078298714</v>
      </c>
      <c r="V10" s="3" t="n">
        <f aca="false">J10/$O10*100</f>
        <v>0.310407690100193</v>
      </c>
      <c r="W10" s="3" t="n">
        <f aca="false">K10/$O10*100</f>
        <v>1.29149006014084</v>
      </c>
      <c r="X10" s="3" t="n">
        <f aca="false">L10/$O10*100</f>
        <v>7.65655097519835</v>
      </c>
      <c r="Y10" s="3" t="n">
        <f aca="false">M10/$O10*100</f>
        <v>6.04247227802289</v>
      </c>
      <c r="Z10" s="3" t="n">
        <f aca="false">N10/$O10*100</f>
        <v>0.175281761819132</v>
      </c>
    </row>
    <row r="11" customFormat="false" ht="15" hidden="false" customHeight="false" outlineLevel="0" collapsed="false">
      <c r="A11" s="16" t="s">
        <v>229</v>
      </c>
      <c r="B11" s="16" t="s">
        <v>220</v>
      </c>
      <c r="C11" s="16" t="s">
        <v>221</v>
      </c>
      <c r="D11" s="18" t="n">
        <v>57.8019</v>
      </c>
      <c r="E11" s="18" t="n">
        <v>0.2005</v>
      </c>
      <c r="F11" s="18" t="n">
        <v>18.115</v>
      </c>
      <c r="G11" s="18" t="n">
        <v>0.0252</v>
      </c>
      <c r="H11" s="18" t="n">
        <v>5.5242</v>
      </c>
      <c r="I11" s="18" t="n">
        <v>0.1791</v>
      </c>
      <c r="J11" s="18" t="n">
        <v>0.2848</v>
      </c>
      <c r="K11" s="18" t="n">
        <v>1.2314</v>
      </c>
      <c r="L11" s="18" t="n">
        <v>7.368</v>
      </c>
      <c r="M11" s="18" t="n">
        <v>5.8882</v>
      </c>
      <c r="N11" s="18" t="n">
        <v>0.1842</v>
      </c>
      <c r="O11" s="18" t="n">
        <f aca="false">SUM(D11:N11)</f>
        <v>96.8025</v>
      </c>
      <c r="P11" s="3" t="n">
        <f aca="false">D11/$O11*100</f>
        <v>59.7111644843883</v>
      </c>
      <c r="Q11" s="3" t="n">
        <f aca="false">E11/$O11*100</f>
        <v>0.207122749928979</v>
      </c>
      <c r="R11" s="3" t="n">
        <f aca="false">F11/$O11*100</f>
        <v>18.7133596756282</v>
      </c>
      <c r="S11" s="3" t="n">
        <f aca="false">G11/$O11*100</f>
        <v>0.0260323855272333</v>
      </c>
      <c r="T11" s="3" t="n">
        <f aca="false">H11/$O11*100</f>
        <v>5.70667079879135</v>
      </c>
      <c r="U11" s="3" t="n">
        <f aca="false">I11/$O11*100</f>
        <v>0.185015882854265</v>
      </c>
      <c r="V11" s="3" t="n">
        <f aca="false">J11/$O11*100</f>
        <v>0.294207277704605</v>
      </c>
      <c r="W11" s="3" t="n">
        <f aca="false">K11/$O11*100</f>
        <v>1.2720745848506</v>
      </c>
      <c r="X11" s="3" t="n">
        <f aca="false">L11/$O11*100</f>
        <v>7.61137367320059</v>
      </c>
      <c r="Y11" s="3" t="n">
        <f aca="false">M11/$O11*100</f>
        <v>6.08269414529583</v>
      </c>
      <c r="Z11" s="3" t="n">
        <f aca="false">N11/$O11*100</f>
        <v>0.190284341830015</v>
      </c>
    </row>
    <row r="12" customFormat="false" ht="15" hidden="false" customHeight="false" outlineLevel="0" collapsed="false">
      <c r="A12" s="16" t="s">
        <v>230</v>
      </c>
      <c r="B12" s="16" t="s">
        <v>220</v>
      </c>
      <c r="C12" s="16" t="s">
        <v>221</v>
      </c>
      <c r="D12" s="18" t="n">
        <v>57.976</v>
      </c>
      <c r="E12" s="18" t="n">
        <v>0.2204</v>
      </c>
      <c r="F12" s="18" t="n">
        <v>18.05</v>
      </c>
      <c r="G12" s="18" t="n">
        <v>0.0833</v>
      </c>
      <c r="H12" s="18" t="n">
        <v>5.5574</v>
      </c>
      <c r="I12" s="18" t="n">
        <v>0.2859</v>
      </c>
      <c r="J12" s="18" t="n">
        <v>0.2554</v>
      </c>
      <c r="K12" s="18" t="n">
        <v>1.2109</v>
      </c>
      <c r="L12" s="18" t="n">
        <v>7.5625</v>
      </c>
      <c r="M12" s="18" t="n">
        <v>5.9487</v>
      </c>
      <c r="N12" s="18" t="n">
        <v>0.1492</v>
      </c>
      <c r="O12" s="18" t="n">
        <f aca="false">SUM(D12:N12)</f>
        <v>97.2997</v>
      </c>
      <c r="P12" s="3" t="n">
        <f aca="false">D12/$O12*100</f>
        <v>59.5849730266383</v>
      </c>
      <c r="Q12" s="3" t="n">
        <f aca="false">E12/$O12*100</f>
        <v>0.226516628519924</v>
      </c>
      <c r="R12" s="3" t="n">
        <f aca="false">F12/$O12*100</f>
        <v>18.5509307839593</v>
      </c>
      <c r="S12" s="3" t="n">
        <f aca="false">G12/$O12*100</f>
        <v>0.0856117747536734</v>
      </c>
      <c r="T12" s="3" t="n">
        <f aca="false">H12/$O12*100</f>
        <v>5.71163117666344</v>
      </c>
      <c r="U12" s="3" t="n">
        <f aca="false">I12/$O12*100</f>
        <v>0.293834410589138</v>
      </c>
      <c r="V12" s="3" t="n">
        <f aca="false">J12/$O12*100</f>
        <v>0.262487962450038</v>
      </c>
      <c r="W12" s="3" t="n">
        <f aca="false">K12/$O12*100</f>
        <v>1.24450537874218</v>
      </c>
      <c r="X12" s="3" t="n">
        <f aca="false">L12/$O12*100</f>
        <v>7.77237750989983</v>
      </c>
      <c r="Y12" s="3" t="n">
        <f aca="false">M12/$O12*100</f>
        <v>6.11379069000213</v>
      </c>
      <c r="Z12" s="3" t="n">
        <f aca="false">N12/$O12*100</f>
        <v>0.15334065778209</v>
      </c>
    </row>
    <row r="13" customFormat="false" ht="15" hidden="false" customHeight="false" outlineLevel="0" collapsed="false">
      <c r="A13" s="16" t="s">
        <v>231</v>
      </c>
      <c r="B13" s="16" t="s">
        <v>220</v>
      </c>
      <c r="C13" s="16" t="s">
        <v>221</v>
      </c>
      <c r="D13" s="18" t="n">
        <v>58.2071</v>
      </c>
      <c r="E13" s="18" t="n">
        <v>0.1765</v>
      </c>
      <c r="F13" s="18" t="n">
        <v>18.1405</v>
      </c>
      <c r="G13" s="18" t="n">
        <v>0</v>
      </c>
      <c r="H13" s="18" t="n">
        <v>5.4779</v>
      </c>
      <c r="I13" s="18" t="n">
        <v>0.2747</v>
      </c>
      <c r="J13" s="18" t="n">
        <v>0.3632</v>
      </c>
      <c r="K13" s="18" t="n">
        <v>1.2517</v>
      </c>
      <c r="L13" s="18" t="n">
        <v>7.3402</v>
      </c>
      <c r="M13" s="18" t="n">
        <v>5.8498</v>
      </c>
      <c r="N13" s="18" t="n">
        <v>0.1164</v>
      </c>
      <c r="O13" s="18" t="n">
        <f aca="false">SUM(D13:N13)</f>
        <v>97.198</v>
      </c>
      <c r="P13" s="3" t="n">
        <f aca="false">D13/$O13*100</f>
        <v>59.8850799399165</v>
      </c>
      <c r="Q13" s="3" t="n">
        <f aca="false">E13/$O13*100</f>
        <v>0.181588098520546</v>
      </c>
      <c r="R13" s="3" t="n">
        <f aca="false">F13/$O13*100</f>
        <v>18.6634498652236</v>
      </c>
      <c r="S13" s="3" t="n">
        <f aca="false">G13/$O13*100</f>
        <v>0</v>
      </c>
      <c r="T13" s="3" t="n">
        <f aca="false">H13/$O13*100</f>
        <v>5.63581555176032</v>
      </c>
      <c r="U13" s="3" t="n">
        <f aca="false">I13/$O13*100</f>
        <v>0.28261898392971</v>
      </c>
      <c r="V13" s="3" t="n">
        <f aca="false">J13/$O13*100</f>
        <v>0.373670240128398</v>
      </c>
      <c r="W13" s="3" t="n">
        <f aca="false">K13/$O13*100</f>
        <v>1.28778369925307</v>
      </c>
      <c r="X13" s="3" t="n">
        <f aca="false">L13/$O13*100</f>
        <v>7.55180147739666</v>
      </c>
      <c r="Y13" s="3" t="n">
        <f aca="false">M13/$O13*100</f>
        <v>6.01843659334554</v>
      </c>
      <c r="Z13" s="3" t="n">
        <f aca="false">N13/$O13*100</f>
        <v>0.119755550525731</v>
      </c>
    </row>
    <row r="14" customFormat="false" ht="15" hidden="false" customHeight="false" outlineLevel="0" collapsed="false">
      <c r="C14" s="1" t="s">
        <v>14</v>
      </c>
      <c r="D14" s="3" t="n">
        <f aca="false">AVERAGE(D3:D13)</f>
        <v>57.6101909090909</v>
      </c>
      <c r="E14" s="3" t="n">
        <f aca="false">AVERAGE(E3:E13)</f>
        <v>0.206372727272727</v>
      </c>
      <c r="F14" s="3" t="n">
        <f aca="false">AVERAGE(F3:F13)</f>
        <v>18.0779636363636</v>
      </c>
      <c r="G14" s="3" t="n">
        <f aca="false">AVERAGE(G3:G13)</f>
        <v>0.0232545454545455</v>
      </c>
      <c r="H14" s="3" t="n">
        <f aca="false">AVERAGE(H3:H13)</f>
        <v>5.49691818181818</v>
      </c>
      <c r="I14" s="3" t="n">
        <f aca="false">AVERAGE(I3:I13)</f>
        <v>0.2303</v>
      </c>
      <c r="J14" s="3" t="n">
        <f aca="false">AVERAGE(J3:J13)</f>
        <v>0.304945454545455</v>
      </c>
      <c r="K14" s="3" t="n">
        <f aca="false">AVERAGE(K3:K13)</f>
        <v>1.21767272727273</v>
      </c>
      <c r="L14" s="3" t="n">
        <f aca="false">AVERAGE(L3:L13)</f>
        <v>7.44757272727273</v>
      </c>
      <c r="M14" s="3" t="n">
        <f aca="false">AVERAGE(M3:M13)</f>
        <v>5.93227272727273</v>
      </c>
      <c r="N14" s="3" t="n">
        <f aca="false">AVERAGE(N3:N13)</f>
        <v>0.151127272727273</v>
      </c>
      <c r="O14" s="18" t="n">
        <f aca="false">SUM(D14:N14)</f>
        <v>96.6985909090909</v>
      </c>
      <c r="P14" s="3" t="n">
        <f aca="false">AVERAGE(P3:P13)</f>
        <v>59.5769369643768</v>
      </c>
      <c r="Q14" s="3" t="n">
        <f aca="false">AVERAGE(Q3:Q13)</f>
        <v>0.213421723605654</v>
      </c>
      <c r="R14" s="3" t="n">
        <f aca="false">AVERAGE(R3:R13)</f>
        <v>18.6952354191576</v>
      </c>
      <c r="S14" s="3" t="n">
        <f aca="false">AVERAGE(S3:S13)</f>
        <v>0.0240118053755538</v>
      </c>
      <c r="T14" s="3" t="n">
        <f aca="false">AVERAGE(T3:T13)</f>
        <v>5.68455225213015</v>
      </c>
      <c r="U14" s="3" t="n">
        <f aca="false">AVERAGE(U3:U13)</f>
        <v>0.238079327839524</v>
      </c>
      <c r="V14" s="3" t="n">
        <f aca="false">AVERAGE(V3:V13)</f>
        <v>0.315374612190429</v>
      </c>
      <c r="W14" s="3" t="n">
        <f aca="false">AVERAGE(W3:W13)</f>
        <v>1.25926276880867</v>
      </c>
      <c r="X14" s="3" t="n">
        <f aca="false">AVERAGE(X3:X13)</f>
        <v>7.70182143004201</v>
      </c>
      <c r="Y14" s="3" t="n">
        <f aca="false">AVERAGE(Y3:Y13)</f>
        <v>6.13500785982917</v>
      </c>
      <c r="Z14" s="3" t="n">
        <f aca="false">AVERAGE(Z3:Z13)</f>
        <v>0.156295836644488</v>
      </c>
    </row>
    <row r="15" customFormat="false" ht="15" hidden="false" customHeight="false" outlineLevel="0" collapsed="false">
      <c r="C15" s="1" t="s">
        <v>81</v>
      </c>
      <c r="D15" s="3" t="n">
        <f aca="false">_xlfn.STDEV.P(D3:D13)</f>
        <v>0.273092310249401</v>
      </c>
      <c r="E15" s="3" t="n">
        <f aca="false">_xlfn.STDEV.P(E3:E13)</f>
        <v>0.0274140007663334</v>
      </c>
      <c r="F15" s="3" t="n">
        <f aca="false">_xlfn.STDEV.P(F3:F13)</f>
        <v>0.0913220701466396</v>
      </c>
      <c r="G15" s="3" t="n">
        <f aca="false">_xlfn.STDEV.P(G3:G13)</f>
        <v>0.0248245612846472</v>
      </c>
      <c r="H15" s="3" t="n">
        <f aca="false">_xlfn.STDEV.P(H3:H13)</f>
        <v>0.0563562663803289</v>
      </c>
      <c r="I15" s="3" t="n">
        <f aca="false">_xlfn.STDEV.P(I3:I13)</f>
        <v>0.0386598687859317</v>
      </c>
      <c r="J15" s="3" t="n">
        <f aca="false">_xlfn.STDEV.P(J3:J13)</f>
        <v>0.035703561412283</v>
      </c>
      <c r="K15" s="3" t="n">
        <f aca="false">_xlfn.STDEV.P(K3:K13)</f>
        <v>0.0357612815234346</v>
      </c>
      <c r="L15" s="3" t="n">
        <f aca="false">_xlfn.STDEV.P(L3:L13)</f>
        <v>0.106584180055093</v>
      </c>
      <c r="M15" s="3" t="n">
        <f aca="false">_xlfn.STDEV.P(M3:M13)</f>
        <v>0.0629382105489775</v>
      </c>
      <c r="N15" s="3" t="n">
        <f aca="false">_xlfn.STDEV.P(N3:N13)</f>
        <v>0.0311240944639093</v>
      </c>
      <c r="O15" s="3"/>
      <c r="P15" s="3" t="n">
        <f aca="false">_xlfn.STDEV.P(P3:P13)</f>
        <v>0.148175134983091</v>
      </c>
      <c r="Q15" s="3" t="n">
        <f aca="false">_xlfn.STDEV.P(Q3:Q13)</f>
        <v>0.0283838358015542</v>
      </c>
      <c r="R15" s="3" t="n">
        <f aca="false">_xlfn.STDEV.P(R3:R13)</f>
        <v>0.0859245603636732</v>
      </c>
      <c r="S15" s="3" t="n">
        <f aca="false">_xlfn.STDEV.P(S3:S13)</f>
        <v>0.0255558312570025</v>
      </c>
      <c r="T15" s="3" t="n">
        <f aca="false">_xlfn.STDEV.P(T3:T13)</f>
        <v>0.050950358385376</v>
      </c>
      <c r="U15" s="3" t="n">
        <f aca="false">_xlfn.STDEV.P(U3:U13)</f>
        <v>0.039452653650134</v>
      </c>
      <c r="V15" s="3" t="n">
        <f aca="false">_xlfn.STDEV.P(V3:V13)</f>
        <v>0.0370341726067875</v>
      </c>
      <c r="W15" s="3" t="n">
        <f aca="false">_xlfn.STDEV.P(W3:W13)</f>
        <v>0.0373461534934198</v>
      </c>
      <c r="X15" s="3" t="n">
        <f aca="false">_xlfn.STDEV.P(X3:X13)</f>
        <v>0.105493060064484</v>
      </c>
      <c r="Y15" s="3" t="n">
        <f aca="false">_xlfn.STDEV.P(Y3:Y13)</f>
        <v>0.0791484284921311</v>
      </c>
      <c r="Z15" s="3" t="n">
        <f aca="false">_xlfn.STDEV.P(Z3:Z13)</f>
        <v>0.03220849712114</v>
      </c>
    </row>
    <row r="16" customFormat="false" ht="15" hidden="false" customHeight="false" outlineLevel="0" collapsed="false">
      <c r="C16" s="1" t="s">
        <v>66</v>
      </c>
      <c r="D16" s="3" t="n">
        <f aca="false">D14/$O$14*100</f>
        <v>59.5770738409744</v>
      </c>
      <c r="E16" s="3" t="n">
        <f aca="false">E14/$O$14*100</f>
        <v>0.213418546570905</v>
      </c>
      <c r="F16" s="3" t="n">
        <f aca="false">F14/$O$14*100</f>
        <v>18.695167599039</v>
      </c>
      <c r="G16" s="3" t="n">
        <f aca="false">G14/$O$14*100</f>
        <v>0.0240484843015011</v>
      </c>
      <c r="H16" s="3" t="n">
        <f aca="false">H14/$O$14*100</f>
        <v>5.6845897444214</v>
      </c>
      <c r="I16" s="3" t="n">
        <f aca="false">I14/$O$14*100</f>
        <v>0.238162725883474</v>
      </c>
      <c r="J16" s="3" t="n">
        <f aca="false">J14/$O$14*100</f>
        <v>0.315356668260184</v>
      </c>
      <c r="K16" s="3" t="n">
        <f aca="false">K14/$O$14*100</f>
        <v>1.2592455751682</v>
      </c>
      <c r="L16" s="3" t="n">
        <f aca="false">L14/$O$14*100</f>
        <v>7.70184204056748</v>
      </c>
      <c r="M16" s="3" t="n">
        <f aca="false">M14/$O$14*100</f>
        <v>6.13480783070544</v>
      </c>
      <c r="N16" s="3" t="n">
        <f aca="false">N14/$O$14*100</f>
        <v>0.156286944107957</v>
      </c>
      <c r="O16" s="3"/>
    </row>
    <row r="17" customFormat="false" ht="15" hidden="false" customHeight="false" outlineLevel="0" collapsed="false"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customFormat="false" ht="15" hidden="false" customHeight="false" outlineLevel="0" collapsed="false">
      <c r="A18" s="16" t="s">
        <v>232</v>
      </c>
      <c r="B18" s="17" t="s">
        <v>82</v>
      </c>
      <c r="C18" s="17" t="s">
        <v>221</v>
      </c>
      <c r="D18" s="18" t="n">
        <v>0.1348</v>
      </c>
      <c r="E18" s="18" t="n">
        <v>14.0043</v>
      </c>
      <c r="F18" s="18" t="n">
        <v>2.3101</v>
      </c>
      <c r="G18" s="18" t="n">
        <v>0</v>
      </c>
      <c r="H18" s="18" t="n">
        <v>75.8866</v>
      </c>
      <c r="I18" s="18" t="n">
        <v>1.0954</v>
      </c>
      <c r="J18" s="18" t="n">
        <v>0.6789</v>
      </c>
      <c r="K18" s="18" t="n">
        <v>0.0422</v>
      </c>
      <c r="L18" s="18" t="n">
        <v>0</v>
      </c>
      <c r="M18" s="18" t="n">
        <v>0.0207</v>
      </c>
      <c r="N18" s="3"/>
      <c r="O18" s="3" t="n">
        <f aca="false">SUM(D18:N18)</f>
        <v>94.173</v>
      </c>
    </row>
    <row r="19" customFormat="false" ht="15" hidden="false" customHeight="false" outlineLevel="0" collapsed="false">
      <c r="A19" s="16" t="s">
        <v>233</v>
      </c>
      <c r="B19" s="17" t="s">
        <v>82</v>
      </c>
      <c r="C19" s="17" t="s">
        <v>221</v>
      </c>
      <c r="D19" s="18" t="n">
        <v>0.1456</v>
      </c>
      <c r="E19" s="18" t="n">
        <v>13.7926</v>
      </c>
      <c r="F19" s="18" t="n">
        <v>2.5892</v>
      </c>
      <c r="G19" s="18" t="n">
        <v>0</v>
      </c>
      <c r="H19" s="18" t="n">
        <v>76.1981</v>
      </c>
      <c r="I19" s="18" t="n">
        <v>1.1504</v>
      </c>
      <c r="J19" s="18" t="n">
        <v>0.6304</v>
      </c>
      <c r="K19" s="18" t="n">
        <v>0.1009</v>
      </c>
      <c r="L19" s="18" t="n">
        <v>0.001</v>
      </c>
      <c r="M19" s="18" t="n">
        <v>0.0223</v>
      </c>
      <c r="N19" s="3"/>
      <c r="O19" s="3" t="n">
        <f aca="false">SUM(D19:N19)</f>
        <v>94.6305</v>
      </c>
    </row>
    <row r="20" customFormat="false" ht="15" hidden="false" customHeight="false" outlineLevel="0" collapsed="false">
      <c r="A20" s="16" t="s">
        <v>234</v>
      </c>
      <c r="B20" s="17" t="s">
        <v>82</v>
      </c>
      <c r="C20" s="17" t="s">
        <v>221</v>
      </c>
      <c r="D20" s="18" t="n">
        <v>0.1763</v>
      </c>
      <c r="E20" s="18" t="n">
        <v>13.1836</v>
      </c>
      <c r="F20" s="18" t="n">
        <v>2.6677</v>
      </c>
      <c r="G20" s="18" t="n">
        <v>0.0468</v>
      </c>
      <c r="H20" s="18" t="n">
        <v>75.4929</v>
      </c>
      <c r="I20" s="18" t="n">
        <v>1.1669</v>
      </c>
      <c r="J20" s="18" t="n">
        <v>0.651</v>
      </c>
      <c r="K20" s="18" t="n">
        <v>0.0566</v>
      </c>
      <c r="L20" s="18" t="n">
        <v>0.0143</v>
      </c>
      <c r="M20" s="18" t="n">
        <v>0.0419</v>
      </c>
      <c r="N20" s="3"/>
      <c r="O20" s="3" t="n">
        <f aca="false">SUM(D20:N20)</f>
        <v>93.498</v>
      </c>
    </row>
    <row r="21" customFormat="false" ht="15" hidden="false" customHeight="false" outlineLevel="0" collapsed="false">
      <c r="A21" s="16" t="s">
        <v>235</v>
      </c>
      <c r="B21" s="17" t="s">
        <v>82</v>
      </c>
      <c r="C21" s="17" t="s">
        <v>221</v>
      </c>
      <c r="D21" s="18" t="n">
        <v>0.2435</v>
      </c>
      <c r="E21" s="18" t="n">
        <v>13.1522</v>
      </c>
      <c r="F21" s="18" t="n">
        <v>2.7826</v>
      </c>
      <c r="G21" s="18" t="n">
        <v>0</v>
      </c>
      <c r="H21" s="18" t="n">
        <v>75.819</v>
      </c>
      <c r="I21" s="18" t="n">
        <v>0.9884</v>
      </c>
      <c r="J21" s="18" t="n">
        <v>0.6739</v>
      </c>
      <c r="K21" s="18" t="n">
        <v>0.0264</v>
      </c>
      <c r="L21" s="18" t="n">
        <v>0</v>
      </c>
      <c r="M21" s="18" t="n">
        <v>0.0882</v>
      </c>
      <c r="N21" s="3"/>
      <c r="O21" s="3" t="n">
        <f aca="false">SUM(D21:N21)</f>
        <v>93.7742</v>
      </c>
    </row>
    <row r="22" customFormat="false" ht="15" hidden="false" customHeight="false" outlineLevel="0" collapsed="false">
      <c r="A22" s="16" t="s">
        <v>236</v>
      </c>
      <c r="B22" s="17" t="s">
        <v>82</v>
      </c>
      <c r="C22" s="17" t="s">
        <v>221</v>
      </c>
      <c r="D22" s="18" t="n">
        <v>0.2447</v>
      </c>
      <c r="E22" s="18" t="n">
        <v>12.9098</v>
      </c>
      <c r="F22" s="18" t="n">
        <v>2.9168</v>
      </c>
      <c r="G22" s="18" t="n">
        <v>0</v>
      </c>
      <c r="H22" s="18" t="n">
        <v>76.3741</v>
      </c>
      <c r="I22" s="18" t="n">
        <v>1.0206</v>
      </c>
      <c r="J22" s="18" t="n">
        <v>0.683</v>
      </c>
      <c r="K22" s="18" t="n">
        <v>0.0526</v>
      </c>
      <c r="L22" s="18" t="n">
        <v>0</v>
      </c>
      <c r="M22" s="18" t="n">
        <v>0.0746</v>
      </c>
      <c r="N22" s="3"/>
      <c r="O22" s="3" t="n">
        <f aca="false">SUM(D22:N22)</f>
        <v>94.2762</v>
      </c>
    </row>
    <row r="23" customFormat="false" ht="15" hidden="false" customHeight="false" outlineLevel="0" collapsed="false">
      <c r="A23" s="16" t="s">
        <v>237</v>
      </c>
      <c r="B23" s="17" t="s">
        <v>82</v>
      </c>
      <c r="C23" s="17" t="s">
        <v>221</v>
      </c>
      <c r="D23" s="18" t="n">
        <v>0.5272</v>
      </c>
      <c r="E23" s="18" t="n">
        <v>13.2839</v>
      </c>
      <c r="F23" s="18" t="n">
        <v>2.7599</v>
      </c>
      <c r="G23" s="18" t="n">
        <v>0.0555</v>
      </c>
      <c r="H23" s="18" t="n">
        <v>75.777</v>
      </c>
      <c r="I23" s="18" t="n">
        <v>1.0584</v>
      </c>
      <c r="J23" s="18" t="n">
        <v>0.6433</v>
      </c>
      <c r="K23" s="18" t="n">
        <v>0.0192</v>
      </c>
      <c r="L23" s="18" t="n">
        <v>0</v>
      </c>
      <c r="M23" s="18" t="n">
        <v>0.0796</v>
      </c>
      <c r="N23" s="3"/>
      <c r="O23" s="3" t="n">
        <f aca="false">SUM(D23:N23)</f>
        <v>94.204</v>
      </c>
    </row>
    <row r="24" customFormat="false" ht="15" hidden="false" customHeight="false" outlineLevel="0" collapsed="false">
      <c r="C24" s="1" t="s">
        <v>30</v>
      </c>
      <c r="D24" s="3" t="n">
        <f aca="false">AVERAGE(D18:D23)</f>
        <v>0.24535</v>
      </c>
      <c r="E24" s="3" t="n">
        <f aca="false">AVERAGE(E18:E23)</f>
        <v>13.3877333333333</v>
      </c>
      <c r="F24" s="3" t="n">
        <f aca="false">AVERAGE(F18:F23)</f>
        <v>2.67105</v>
      </c>
      <c r="G24" s="3" t="n">
        <f aca="false">AVERAGE(G18:G23)</f>
        <v>0.01705</v>
      </c>
      <c r="H24" s="3" t="n">
        <f aca="false">AVERAGE(H18:H23)</f>
        <v>75.9246166666667</v>
      </c>
      <c r="I24" s="3" t="n">
        <f aca="false">AVERAGE(I18:I23)</f>
        <v>1.08001666666667</v>
      </c>
      <c r="J24" s="3" t="n">
        <f aca="false">AVERAGE(J18:J23)</f>
        <v>0.660083333333333</v>
      </c>
      <c r="K24" s="3" t="n">
        <f aca="false">AVERAGE(K18:K23)</f>
        <v>0.04965</v>
      </c>
      <c r="L24" s="3" t="n">
        <f aca="false">AVERAGE(L18:L23)</f>
        <v>0.00255</v>
      </c>
      <c r="M24" s="3" t="n">
        <f aca="false">AVERAGE(M18:M23)</f>
        <v>0.05455</v>
      </c>
      <c r="N24" s="3"/>
      <c r="O24" s="3" t="n">
        <f aca="false">SUM(D24:N24)</f>
        <v>94.09265</v>
      </c>
    </row>
    <row r="25" customFormat="false" ht="15" hidden="false" customHeight="false" outlineLevel="0" collapsed="false">
      <c r="C25" s="1" t="s">
        <v>81</v>
      </c>
      <c r="D25" s="3" t="n">
        <f aca="false">_xlfn.STDEV.P(D18:D23)</f>
        <v>0.133155632625886</v>
      </c>
      <c r="E25" s="3" t="n">
        <f aca="false">_xlfn.STDEV.P(E18:E23)</f>
        <v>0.383062108396131</v>
      </c>
      <c r="F25" s="3" t="n">
        <f aca="false">_xlfn.STDEV.P(F18:F23)</f>
        <v>0.190493366026222</v>
      </c>
      <c r="G25" s="3" t="n">
        <f aca="false">_xlfn.STDEV.P(G18:G23)</f>
        <v>0.024242782431066</v>
      </c>
      <c r="H25" s="3" t="n">
        <f aca="false">_xlfn.STDEV.P(H18:H23)</f>
        <v>0.287981049241475</v>
      </c>
      <c r="I25" s="3" t="n">
        <f aca="false">_xlfn.STDEV.P(I18:I23)</f>
        <v>0.0647178598911374</v>
      </c>
      <c r="J25" s="3" t="n">
        <f aca="false">_xlfn.STDEV.P(J18:J23)</f>
        <v>0.0196444577991408</v>
      </c>
      <c r="K25" s="3" t="n">
        <f aca="false">_xlfn.STDEV.P(K18:K23)</f>
        <v>0.0264790325855509</v>
      </c>
      <c r="L25" s="3" t="n">
        <f aca="false">_xlfn.STDEV.P(L18:L23)</f>
        <v>0.00526743137908159</v>
      </c>
      <c r="M25" s="3" t="n">
        <f aca="false">_xlfn.STDEV.P(M18:M23)</f>
        <v>0.0274096546250891</v>
      </c>
      <c r="N25" s="3"/>
      <c r="O25" s="3"/>
    </row>
    <row r="26" customFormat="false" ht="15" hidden="false" customHeight="false" outlineLevel="0" collapsed="false">
      <c r="C26" s="1" t="s">
        <v>66</v>
      </c>
      <c r="D26" s="3" t="n">
        <f aca="false">D24/$O$24*100</f>
        <v>0.260753629534294</v>
      </c>
      <c r="E26" s="3" t="n">
        <f aca="false">E24/$O$24*100</f>
        <v>14.2282455997714</v>
      </c>
      <c r="F26" s="3" t="n">
        <f aca="false">F24/$O$24*100</f>
        <v>2.83874457781771</v>
      </c>
      <c r="G26" s="3" t="n">
        <f aca="false">G24/$O$24*100</f>
        <v>0.0181204376749937</v>
      </c>
      <c r="H26" s="3" t="n">
        <f aca="false">H24/$O$24*100</f>
        <v>80.6913363229399</v>
      </c>
      <c r="I26" s="3" t="n">
        <f aca="false">I24/$O$24*100</f>
        <v>1.14782256283213</v>
      </c>
      <c r="J26" s="3" t="n">
        <f aca="false">J24/$O$24*100</f>
        <v>0.701524862285559</v>
      </c>
      <c r="K26" s="3" t="n">
        <f aca="false">K24/$O$24*100</f>
        <v>0.0527671396224891</v>
      </c>
      <c r="L26" s="3" t="n">
        <f aca="false">L24/$O$24*100</f>
        <v>0.0027100947842366</v>
      </c>
      <c r="M26" s="3" t="n">
        <f aca="false">M24/$O$24*100</f>
        <v>0.0579747727372967</v>
      </c>
      <c r="N26" s="3"/>
      <c r="O26" s="3"/>
    </row>
    <row r="27" customFormat="false" ht="15" hidden="false" customHeight="false" outlineLevel="0" collapsed="false"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</row>
    <row r="28" customFormat="false" ht="15" hidden="false" customHeight="false" outlineLevel="0" collapsed="false">
      <c r="A28" s="16" t="s">
        <v>238</v>
      </c>
      <c r="B28" s="16" t="s">
        <v>82</v>
      </c>
      <c r="C28" s="17" t="s">
        <v>221</v>
      </c>
      <c r="D28" s="18" t="n">
        <v>30.6238</v>
      </c>
      <c r="E28" s="18" t="n">
        <v>0.1036</v>
      </c>
      <c r="F28" s="18" t="n">
        <v>0.0421</v>
      </c>
      <c r="G28" s="18" t="n">
        <v>0.0147</v>
      </c>
      <c r="H28" s="18" t="n">
        <v>54.4758</v>
      </c>
      <c r="I28" s="18" t="n">
        <v>3.1266</v>
      </c>
      <c r="J28" s="18" t="n">
        <v>9.1431</v>
      </c>
      <c r="K28" s="18" t="n">
        <v>0.5568</v>
      </c>
      <c r="L28" s="18" t="n">
        <v>0.0417</v>
      </c>
      <c r="M28" s="18" t="n">
        <v>0.0549</v>
      </c>
      <c r="N28" s="3"/>
      <c r="O28" s="3" t="n">
        <f aca="false">SUM(D28:N28)</f>
        <v>98.1831</v>
      </c>
    </row>
    <row r="29" customFormat="false" ht="15" hidden="false" customHeight="false" outlineLevel="0" collapsed="false">
      <c r="A29" s="16" t="s">
        <v>239</v>
      </c>
      <c r="B29" s="16" t="s">
        <v>82</v>
      </c>
      <c r="C29" s="17" t="s">
        <v>221</v>
      </c>
      <c r="D29" s="18" t="n">
        <v>30.8714</v>
      </c>
      <c r="E29" s="18" t="n">
        <v>0.0056</v>
      </c>
      <c r="F29" s="18" t="n">
        <v>0.028</v>
      </c>
      <c r="G29" s="18" t="n">
        <v>0</v>
      </c>
      <c r="H29" s="18" t="n">
        <v>54.7582</v>
      </c>
      <c r="I29" s="18" t="n">
        <v>3.2006</v>
      </c>
      <c r="J29" s="18" t="n">
        <v>9.297</v>
      </c>
      <c r="K29" s="18" t="n">
        <v>0.5476</v>
      </c>
      <c r="L29" s="18" t="n">
        <v>0.0416</v>
      </c>
      <c r="M29" s="18" t="n">
        <v>0.0424</v>
      </c>
      <c r="N29" s="3"/>
      <c r="O29" s="3" t="n">
        <f aca="false">SUM(D29:N29)</f>
        <v>98.7924</v>
      </c>
    </row>
    <row r="30" customFormat="false" ht="15" hidden="false" customHeight="false" outlineLevel="0" collapsed="false">
      <c r="A30" s="16" t="s">
        <v>240</v>
      </c>
      <c r="B30" s="16" t="s">
        <v>82</v>
      </c>
      <c r="C30" s="17" t="s">
        <v>221</v>
      </c>
      <c r="D30" s="18" t="n">
        <v>31.0108</v>
      </c>
      <c r="E30" s="18" t="n">
        <v>0.0038</v>
      </c>
      <c r="F30" s="18" t="n">
        <v>0.0148</v>
      </c>
      <c r="G30" s="18" t="n">
        <v>0.0037</v>
      </c>
      <c r="H30" s="18" t="n">
        <v>53.9282</v>
      </c>
      <c r="I30" s="18" t="n">
        <v>3.1124</v>
      </c>
      <c r="J30" s="18" t="n">
        <v>8.876</v>
      </c>
      <c r="K30" s="18" t="n">
        <v>0.5955</v>
      </c>
      <c r="L30" s="18" t="n">
        <v>0.0347</v>
      </c>
      <c r="M30" s="18" t="n">
        <v>0.0359</v>
      </c>
      <c r="N30" s="3"/>
      <c r="O30" s="3" t="n">
        <f aca="false">SUM(D30:N30)</f>
        <v>97.6158</v>
      </c>
    </row>
    <row r="31" customFormat="false" ht="15" hidden="false" customHeight="false" outlineLevel="0" collapsed="false">
      <c r="A31" s="16" t="s">
        <v>241</v>
      </c>
      <c r="B31" s="16" t="s">
        <v>82</v>
      </c>
      <c r="C31" s="17" t="s">
        <v>221</v>
      </c>
      <c r="D31" s="18" t="n">
        <v>31.085</v>
      </c>
      <c r="E31" s="18" t="n">
        <v>0.0226</v>
      </c>
      <c r="F31" s="18" t="n">
        <v>0.0271</v>
      </c>
      <c r="G31" s="18" t="n">
        <v>0</v>
      </c>
      <c r="H31" s="18" t="n">
        <v>54.0617</v>
      </c>
      <c r="I31" s="18" t="n">
        <v>3.1304</v>
      </c>
      <c r="J31" s="18" t="n">
        <v>8.9747</v>
      </c>
      <c r="K31" s="18" t="n">
        <v>0.514</v>
      </c>
      <c r="L31" s="18" t="n">
        <v>0.0121</v>
      </c>
      <c r="M31" s="18" t="n">
        <v>0.0663</v>
      </c>
      <c r="N31" s="3"/>
      <c r="O31" s="3" t="n">
        <f aca="false">SUM(D31:N31)</f>
        <v>97.8939</v>
      </c>
    </row>
    <row r="32" customFormat="false" ht="15" hidden="false" customHeight="false" outlineLevel="0" collapsed="false">
      <c r="A32" s="16" t="s">
        <v>242</v>
      </c>
      <c r="B32" s="16" t="s">
        <v>82</v>
      </c>
      <c r="C32" s="17" t="s">
        <v>221</v>
      </c>
      <c r="D32" s="18" t="n">
        <v>31.243</v>
      </c>
      <c r="E32" s="18" t="n">
        <v>0.0282</v>
      </c>
      <c r="F32" s="18" t="n">
        <v>0.0249</v>
      </c>
      <c r="G32" s="18" t="n">
        <v>0</v>
      </c>
      <c r="H32" s="18" t="n">
        <v>54.2801</v>
      </c>
      <c r="I32" s="18" t="n">
        <v>3.2207</v>
      </c>
      <c r="J32" s="18" t="n">
        <v>9.3646</v>
      </c>
      <c r="K32" s="18" t="n">
        <v>0.5644</v>
      </c>
      <c r="L32" s="18" t="n">
        <v>0</v>
      </c>
      <c r="M32" s="18" t="n">
        <v>0.0474</v>
      </c>
      <c r="N32" s="3" t="n">
        <v>0.2388</v>
      </c>
      <c r="O32" s="3" t="n">
        <f aca="false">SUM(D32:N32)</f>
        <v>99.0121</v>
      </c>
    </row>
    <row r="33" customFormat="false" ht="15" hidden="false" customHeight="false" outlineLevel="0" collapsed="false">
      <c r="A33" s="16" t="s">
        <v>243</v>
      </c>
      <c r="B33" s="16" t="s">
        <v>82</v>
      </c>
      <c r="C33" s="17" t="s">
        <v>221</v>
      </c>
      <c r="D33" s="18" t="n">
        <v>31.2636</v>
      </c>
      <c r="E33" s="18" t="n">
        <v>0.0734</v>
      </c>
      <c r="F33" s="18" t="n">
        <v>0.0066</v>
      </c>
      <c r="G33" s="18" t="n">
        <v>0.0129</v>
      </c>
      <c r="H33" s="18" t="n">
        <v>54.621</v>
      </c>
      <c r="I33" s="18" t="n">
        <v>3.2846</v>
      </c>
      <c r="J33" s="18" t="n">
        <v>8.877</v>
      </c>
      <c r="K33" s="18" t="n">
        <v>0.5858</v>
      </c>
      <c r="L33" s="18" t="n">
        <v>0.0494</v>
      </c>
      <c r="M33" s="18" t="n">
        <v>0.0157</v>
      </c>
      <c r="N33" s="3" t="n">
        <v>0.1713</v>
      </c>
      <c r="O33" s="3" t="n">
        <f aca="false">SUM(D33:N33)</f>
        <v>98.9613</v>
      </c>
    </row>
    <row r="34" customFormat="false" ht="15" hidden="false" customHeight="false" outlineLevel="0" collapsed="false">
      <c r="A34" s="16" t="s">
        <v>244</v>
      </c>
      <c r="B34" s="16" t="s">
        <v>82</v>
      </c>
      <c r="C34" s="17" t="s">
        <v>221</v>
      </c>
      <c r="D34" s="18" t="n">
        <v>31.2691</v>
      </c>
      <c r="E34" s="18" t="n">
        <v>0.0452</v>
      </c>
      <c r="F34" s="18" t="n">
        <v>0.0679</v>
      </c>
      <c r="G34" s="18" t="n">
        <v>0.0461</v>
      </c>
      <c r="H34" s="18" t="n">
        <v>54.1573</v>
      </c>
      <c r="I34" s="18" t="n">
        <v>3.0534</v>
      </c>
      <c r="J34" s="18" t="n">
        <v>9.1614</v>
      </c>
      <c r="K34" s="18" t="n">
        <v>0.5475</v>
      </c>
      <c r="L34" s="18" t="n">
        <v>0.0604</v>
      </c>
      <c r="M34" s="18" t="n">
        <v>0.0948</v>
      </c>
      <c r="N34" s="3" t="n">
        <v>0.3001</v>
      </c>
      <c r="O34" s="3" t="n">
        <f aca="false">SUM(D34:N34)</f>
        <v>98.8032</v>
      </c>
    </row>
    <row r="35" customFormat="false" ht="15" hidden="false" customHeight="false" outlineLevel="0" collapsed="false">
      <c r="A35" s="16" t="s">
        <v>245</v>
      </c>
      <c r="B35" s="16" t="s">
        <v>82</v>
      </c>
      <c r="C35" s="17" t="s">
        <v>221</v>
      </c>
      <c r="D35" s="18" t="n">
        <v>31.4458</v>
      </c>
      <c r="E35" s="18" t="n">
        <v>0.0472</v>
      </c>
      <c r="F35" s="18" t="n">
        <v>0.1041</v>
      </c>
      <c r="G35" s="18" t="n">
        <v>0.0628</v>
      </c>
      <c r="H35" s="18" t="n">
        <v>53.9488</v>
      </c>
      <c r="I35" s="18" t="n">
        <v>3.0163</v>
      </c>
      <c r="J35" s="18" t="n">
        <v>8.8781</v>
      </c>
      <c r="K35" s="18" t="n">
        <v>0.5273</v>
      </c>
      <c r="L35" s="18" t="n">
        <v>0.0104</v>
      </c>
      <c r="M35" s="18" t="n">
        <v>0.0946</v>
      </c>
      <c r="N35" s="3" t="n">
        <v>0.1916</v>
      </c>
      <c r="O35" s="3" t="n">
        <f aca="false">SUM(D35:N35)</f>
        <v>98.327</v>
      </c>
    </row>
    <row r="36" customFormat="false" ht="15" hidden="false" customHeight="false" outlineLevel="0" collapsed="false">
      <c r="C36" s="1" t="s">
        <v>32</v>
      </c>
      <c r="D36" s="3" t="n">
        <f aca="false">AVERAGE(D27:D35)</f>
        <v>31.1015625</v>
      </c>
      <c r="E36" s="3" t="n">
        <f aca="false">AVERAGE(E27:E35)</f>
        <v>0.0412</v>
      </c>
      <c r="F36" s="3" t="n">
        <f aca="false">AVERAGE(F27:F35)</f>
        <v>0.0394375</v>
      </c>
      <c r="G36" s="3" t="n">
        <f aca="false">AVERAGE(G27:G35)</f>
        <v>0.017525</v>
      </c>
      <c r="H36" s="3" t="n">
        <f aca="false">AVERAGE(H27:H35)</f>
        <v>54.2788875</v>
      </c>
      <c r="I36" s="3" t="n">
        <f aca="false">AVERAGE(I27:I35)</f>
        <v>3.143125</v>
      </c>
      <c r="J36" s="3" t="n">
        <f aca="false">AVERAGE(J27:J35)</f>
        <v>9.0714875</v>
      </c>
      <c r="K36" s="3" t="n">
        <f aca="false">AVERAGE(K27:K35)</f>
        <v>0.5548625</v>
      </c>
      <c r="L36" s="3" t="n">
        <f aca="false">AVERAGE(L27:L35)</f>
        <v>0.0312875</v>
      </c>
      <c r="M36" s="3" t="n">
        <f aca="false">AVERAGE(M27:M35)</f>
        <v>0.0565</v>
      </c>
      <c r="N36" s="3" t="n">
        <f aca="false">AVERAGE(N27:N35)</f>
        <v>0.22545</v>
      </c>
      <c r="O36" s="3" t="n">
        <f aca="false">SUM(D36:N36)</f>
        <v>98.561325</v>
      </c>
    </row>
    <row r="37" customFormat="false" ht="15" hidden="false" customHeight="false" outlineLevel="0" collapsed="false">
      <c r="C37" s="1" t="s">
        <v>81</v>
      </c>
      <c r="D37" s="3" t="n">
        <f aca="false">_xlfn.STDEV.P(D27:D35)</f>
        <v>0.245604590437048</v>
      </c>
      <c r="E37" s="3" t="n">
        <f aca="false">_xlfn.STDEV.P(E27:E35)</f>
        <v>0.0319446396129304</v>
      </c>
      <c r="F37" s="3" t="n">
        <f aca="false">_xlfn.STDEV.P(F27:F35)</f>
        <v>0.0299543793751431</v>
      </c>
      <c r="G37" s="3" t="n">
        <f aca="false">_xlfn.STDEV.P(G27:G35)</f>
        <v>0.0223836854650882</v>
      </c>
      <c r="H37" s="3" t="n">
        <f aca="false">_xlfn.STDEV.P(H27:H35)</f>
        <v>0.291429847637044</v>
      </c>
      <c r="I37" s="3" t="n">
        <f aca="false">_xlfn.STDEV.P(I27:I35)</f>
        <v>0.082802940014229</v>
      </c>
      <c r="J37" s="3" t="n">
        <f aca="false">_xlfn.STDEV.P(J27:J35)</f>
        <v>0.184658715184932</v>
      </c>
      <c r="K37" s="3" t="n">
        <f aca="false">_xlfn.STDEV.P(K27:K35)</f>
        <v>0.0255920855685894</v>
      </c>
      <c r="L37" s="3" t="n">
        <f aca="false">_xlfn.STDEV.P(L27:L35)</f>
        <v>0.0199542249598926</v>
      </c>
      <c r="M37" s="3" t="n">
        <f aca="false">_xlfn.STDEV.P(M27:M35)</f>
        <v>0.0259512042109803</v>
      </c>
      <c r="N37" s="3" t="n">
        <f aca="false">_xlfn.STDEV.P(N27:N35)</f>
        <v>0.0495703792601993</v>
      </c>
      <c r="O37" s="3"/>
    </row>
    <row r="38" customFormat="false" ht="15" hidden="false" customHeight="false" outlineLevel="0" collapsed="false">
      <c r="C38" s="1" t="s">
        <v>66</v>
      </c>
      <c r="D38" s="3" t="n">
        <f aca="false">D36/$O$36*100</f>
        <v>31.5555442258918</v>
      </c>
      <c r="E38" s="3" t="n">
        <f aca="false">E36/$O$36*100</f>
        <v>0.0418013860913497</v>
      </c>
      <c r="F38" s="3" t="n">
        <f aca="false">F36/$O$36*100</f>
        <v>0.0400131593198448</v>
      </c>
      <c r="G38" s="3" t="n">
        <f aca="false">G36/$O$36*100</f>
        <v>0.0177808080400705</v>
      </c>
      <c r="H38" s="3" t="n">
        <f aca="false">H36/$O$36*100</f>
        <v>55.0711828397193</v>
      </c>
      <c r="I38" s="3" t="n">
        <f aca="false">I36/$O$36*100</f>
        <v>3.18900440918383</v>
      </c>
      <c r="J38" s="3" t="n">
        <f aca="false">J36/$O$36*100</f>
        <v>9.20390173326099</v>
      </c>
      <c r="K38" s="3" t="n">
        <f aca="false">K36/$O$36*100</f>
        <v>0.562961689080377</v>
      </c>
      <c r="L38" s="3" t="n">
        <f aca="false">L36/$O$36*100</f>
        <v>0.0317441958090559</v>
      </c>
      <c r="M38" s="3" t="n">
        <f aca="false">M36/$O$36*100</f>
        <v>0.0573247163631374</v>
      </c>
      <c r="N38" s="3" t="n">
        <f aca="false">N36/$O$36*100</f>
        <v>0.228740837240165</v>
      </c>
      <c r="O38" s="3"/>
    </row>
    <row r="39" customFormat="false" ht="15" hidden="false" customHeight="false" outlineLevel="0" collapsed="false"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customFormat="false" ht="15" hidden="false" customHeight="false" outlineLevel="0" collapsed="false">
      <c r="A40" s="16" t="s">
        <v>246</v>
      </c>
      <c r="B40" s="16" t="s">
        <v>82</v>
      </c>
      <c r="C40" s="17" t="s">
        <v>221</v>
      </c>
      <c r="D40" s="18" t="n">
        <v>61.9975</v>
      </c>
      <c r="E40" s="18" t="n">
        <v>0.0539</v>
      </c>
      <c r="F40" s="18" t="n">
        <v>22.4977</v>
      </c>
      <c r="G40" s="18" t="n">
        <v>0</v>
      </c>
      <c r="H40" s="18" t="n">
        <v>0.5228</v>
      </c>
      <c r="I40" s="18" t="n">
        <v>0.0359</v>
      </c>
      <c r="J40" s="18" t="n">
        <v>0.0121</v>
      </c>
      <c r="K40" s="18" t="n">
        <v>3.8989</v>
      </c>
      <c r="L40" s="18" t="n">
        <v>7.0194</v>
      </c>
      <c r="M40" s="18" t="n">
        <v>3.0294</v>
      </c>
      <c r="N40" s="3"/>
      <c r="O40" s="3" t="n">
        <f aca="false">SUM(D40:N40)</f>
        <v>99.0676</v>
      </c>
    </row>
    <row r="41" customFormat="false" ht="15" hidden="false" customHeight="false" outlineLevel="0" collapsed="false">
      <c r="A41" s="16" t="s">
        <v>247</v>
      </c>
      <c r="B41" s="16" t="s">
        <v>82</v>
      </c>
      <c r="C41" s="17" t="s">
        <v>221</v>
      </c>
      <c r="D41" s="18" t="n">
        <v>62.0526</v>
      </c>
      <c r="E41" s="18" t="n">
        <v>0.0432</v>
      </c>
      <c r="F41" s="18" t="n">
        <v>22.6134</v>
      </c>
      <c r="G41" s="18" t="n">
        <v>0</v>
      </c>
      <c r="H41" s="18" t="n">
        <v>0.5321</v>
      </c>
      <c r="I41" s="18" t="n">
        <v>0</v>
      </c>
      <c r="J41" s="18" t="n">
        <v>0.0151</v>
      </c>
      <c r="K41" s="18" t="n">
        <v>4.0244</v>
      </c>
      <c r="L41" s="18" t="n">
        <v>6.8341</v>
      </c>
      <c r="M41" s="18" t="n">
        <v>3.0839</v>
      </c>
      <c r="N41" s="3"/>
      <c r="O41" s="3" t="n">
        <f aca="false">SUM(D41:N41)</f>
        <v>99.1988</v>
      </c>
    </row>
    <row r="42" customFormat="false" ht="15" hidden="false" customHeight="false" outlineLevel="0" collapsed="false">
      <c r="A42" s="16" t="s">
        <v>248</v>
      </c>
      <c r="B42" s="16" t="s">
        <v>82</v>
      </c>
      <c r="C42" s="17" t="s">
        <v>221</v>
      </c>
      <c r="D42" s="18" t="n">
        <v>62.356</v>
      </c>
      <c r="E42" s="18" t="n">
        <v>0.0604</v>
      </c>
      <c r="F42" s="18" t="n">
        <v>21.7146</v>
      </c>
      <c r="G42" s="18" t="n">
        <v>0.0182</v>
      </c>
      <c r="H42" s="18" t="n">
        <v>0.6145</v>
      </c>
      <c r="I42" s="18" t="n">
        <v>0.0288</v>
      </c>
      <c r="J42" s="18" t="n">
        <v>0</v>
      </c>
      <c r="K42" s="18" t="n">
        <v>2.9598</v>
      </c>
      <c r="L42" s="18" t="n">
        <v>7.259</v>
      </c>
      <c r="M42" s="18" t="n">
        <v>3.599</v>
      </c>
      <c r="N42" s="3"/>
      <c r="O42" s="3" t="n">
        <f aca="false">SUM(D42:N42)</f>
        <v>98.6103</v>
      </c>
    </row>
    <row r="43" customFormat="false" ht="15" hidden="false" customHeight="false" outlineLevel="0" collapsed="false">
      <c r="A43" s="16" t="s">
        <v>249</v>
      </c>
      <c r="B43" s="16" t="s">
        <v>82</v>
      </c>
      <c r="C43" s="17" t="s">
        <v>221</v>
      </c>
      <c r="D43" s="18" t="n">
        <v>62.6606</v>
      </c>
      <c r="E43" s="18" t="n">
        <v>0.0819</v>
      </c>
      <c r="F43" s="18" t="n">
        <v>21.8417</v>
      </c>
      <c r="G43" s="18" t="n">
        <v>0</v>
      </c>
      <c r="H43" s="18" t="n">
        <v>0.4725</v>
      </c>
      <c r="I43" s="18" t="n">
        <v>0</v>
      </c>
      <c r="J43" s="18" t="n">
        <v>0.005</v>
      </c>
      <c r="K43" s="18" t="n">
        <v>3.1124</v>
      </c>
      <c r="L43" s="18" t="n">
        <v>7.5166</v>
      </c>
      <c r="M43" s="18" t="n">
        <v>3.1675</v>
      </c>
      <c r="N43" s="3"/>
      <c r="O43" s="3" t="n">
        <f aca="false">SUM(D43:N43)</f>
        <v>98.8582</v>
      </c>
    </row>
    <row r="44" customFormat="false" ht="15" hidden="false" customHeight="false" outlineLevel="0" collapsed="false">
      <c r="A44" s="16" t="s">
        <v>250</v>
      </c>
      <c r="B44" s="16" t="s">
        <v>82</v>
      </c>
      <c r="C44" s="17" t="s">
        <v>221</v>
      </c>
      <c r="D44" s="18" t="n">
        <v>63.1666</v>
      </c>
      <c r="E44" s="18" t="n">
        <v>0.1036</v>
      </c>
      <c r="F44" s="18" t="n">
        <v>21.6293</v>
      </c>
      <c r="G44" s="18" t="n">
        <v>0.0183</v>
      </c>
      <c r="H44" s="18" t="n">
        <v>0.6185</v>
      </c>
      <c r="I44" s="18" t="n">
        <v>0.0562</v>
      </c>
      <c r="J44" s="18" t="n">
        <v>0.005</v>
      </c>
      <c r="K44" s="18" t="n">
        <v>2.8187</v>
      </c>
      <c r="L44" s="18" t="n">
        <v>7.2327</v>
      </c>
      <c r="M44" s="18" t="n">
        <v>3.7129</v>
      </c>
      <c r="N44" s="3"/>
      <c r="O44" s="3" t="n">
        <f aca="false">SUM(D44:N44)</f>
        <v>99.3618</v>
      </c>
    </row>
    <row r="45" customFormat="false" ht="15" hidden="false" customHeight="false" outlineLevel="0" collapsed="false">
      <c r="A45" s="16" t="s">
        <v>251</v>
      </c>
      <c r="B45" s="16" t="s">
        <v>82</v>
      </c>
      <c r="C45" s="17" t="s">
        <v>221</v>
      </c>
      <c r="D45" s="18" t="n">
        <v>63.8025</v>
      </c>
      <c r="E45" s="18" t="n">
        <v>0.0669</v>
      </c>
      <c r="F45" s="18" t="n">
        <v>21.6989</v>
      </c>
      <c r="G45" s="18" t="n">
        <v>0.0365</v>
      </c>
      <c r="H45" s="18" t="n">
        <v>0.5179</v>
      </c>
      <c r="I45" s="18" t="n">
        <v>0</v>
      </c>
      <c r="J45" s="18" t="n">
        <v>0.001</v>
      </c>
      <c r="K45" s="18" t="n">
        <v>2.7067</v>
      </c>
      <c r="L45" s="18" t="n">
        <v>7.5351</v>
      </c>
      <c r="M45" s="18" t="n">
        <v>3.5298</v>
      </c>
      <c r="N45" s="3"/>
      <c r="O45" s="3" t="n">
        <f aca="false">SUM(D45:N45)</f>
        <v>99.8953</v>
      </c>
    </row>
    <row r="46" customFormat="false" ht="15" hidden="false" customHeight="false" outlineLevel="0" collapsed="false">
      <c r="A46" s="16" t="s">
        <v>252</v>
      </c>
      <c r="B46" s="16" t="s">
        <v>82</v>
      </c>
      <c r="C46" s="17" t="s">
        <v>221</v>
      </c>
      <c r="D46" s="18" t="n">
        <v>63.9762</v>
      </c>
      <c r="E46" s="18" t="n">
        <v>0.0043</v>
      </c>
      <c r="F46" s="18" t="n">
        <v>21.7029</v>
      </c>
      <c r="G46" s="18" t="n">
        <v>0</v>
      </c>
      <c r="H46" s="18" t="n">
        <v>0.4436</v>
      </c>
      <c r="I46" s="18" t="n">
        <v>0.0502</v>
      </c>
      <c r="J46" s="18" t="n">
        <v>0.0211</v>
      </c>
      <c r="K46" s="18" t="n">
        <v>2.8087</v>
      </c>
      <c r="L46" s="18" t="n">
        <v>7.492</v>
      </c>
      <c r="M46" s="18" t="n">
        <v>3.7043</v>
      </c>
      <c r="N46" s="3"/>
      <c r="O46" s="3" t="n">
        <f aca="false">SUM(D46:N46)</f>
        <v>100.2033</v>
      </c>
    </row>
    <row r="47" customFormat="false" ht="15" hidden="false" customHeight="false" outlineLevel="0" collapsed="false">
      <c r="C47" s="1" t="s">
        <v>34</v>
      </c>
      <c r="D47" s="3" t="n">
        <f aca="false">AVERAGE(D39:D46)</f>
        <v>62.8588571428571</v>
      </c>
      <c r="E47" s="3" t="n">
        <f aca="false">AVERAGE(E39:E46)</f>
        <v>0.0591714285714286</v>
      </c>
      <c r="F47" s="3" t="n">
        <f aca="false">AVERAGE(F39:F46)</f>
        <v>21.9569285714286</v>
      </c>
      <c r="G47" s="3" t="n">
        <f aca="false">AVERAGE(G39:G46)</f>
        <v>0.0104285714285714</v>
      </c>
      <c r="H47" s="3" t="n">
        <f aca="false">AVERAGE(H39:H46)</f>
        <v>0.5317</v>
      </c>
      <c r="I47" s="3" t="n">
        <f aca="false">AVERAGE(I39:I46)</f>
        <v>0.0244428571428571</v>
      </c>
      <c r="J47" s="3" t="n">
        <f aca="false">AVERAGE(J39:J46)</f>
        <v>0.00847142857142857</v>
      </c>
      <c r="K47" s="3" t="n">
        <f aca="false">AVERAGE(K39:K46)</f>
        <v>3.18994285714286</v>
      </c>
      <c r="L47" s="3" t="n">
        <f aca="false">AVERAGE(L39:L46)</f>
        <v>7.26984285714286</v>
      </c>
      <c r="M47" s="3" t="n">
        <f aca="false">AVERAGE(M39:M46)</f>
        <v>3.40382857142857</v>
      </c>
      <c r="N47" s="3"/>
      <c r="O47" s="3" t="n">
        <f aca="false">SUM(D47:N47)</f>
        <v>99.3136142857143</v>
      </c>
    </row>
    <row r="48" customFormat="false" ht="15" hidden="false" customHeight="false" outlineLevel="0" collapsed="false">
      <c r="C48" s="1" t="s">
        <v>81</v>
      </c>
      <c r="D48" s="3" t="n">
        <f aca="false">_xlfn.STDEV.P(D39:D46)</f>
        <v>0.748119592916883</v>
      </c>
      <c r="E48" s="3" t="n">
        <f aca="false">_xlfn.STDEV.P(E39:E46)</f>
        <v>0.0288975389108145</v>
      </c>
      <c r="F48" s="3" t="n">
        <f aca="false">_xlfn.STDEV.P(F39:F46)</f>
        <v>0.384306234714994</v>
      </c>
      <c r="G48" s="3" t="n">
        <f aca="false">_xlfn.STDEV.P(G39:G46)</f>
        <v>0.0132938991684923</v>
      </c>
      <c r="H48" s="3" t="n">
        <f aca="false">_xlfn.STDEV.P(H39:H46)</f>
        <v>0.0608583132013556</v>
      </c>
      <c r="I48" s="3" t="n">
        <f aca="false">_xlfn.STDEV.P(I39:I46)</f>
        <v>0.0227236728132239</v>
      </c>
      <c r="J48" s="3" t="n">
        <f aca="false">_xlfn.STDEV.P(J39:J46)</f>
        <v>0.00725331732691311</v>
      </c>
      <c r="K48" s="3" t="n">
        <f aca="false">_xlfn.STDEV.P(K39:K46)</f>
        <v>0.503503244016058</v>
      </c>
      <c r="L48" s="3" t="n">
        <f aca="false">_xlfn.STDEV.P(L39:L46)</f>
        <v>0.249197241770695</v>
      </c>
      <c r="M48" s="3" t="n">
        <f aca="false">_xlfn.STDEV.P(M39:M46)</f>
        <v>0.277275302667561</v>
      </c>
      <c r="N48" s="3"/>
      <c r="O48" s="3"/>
    </row>
    <row r="49" customFormat="false" ht="15" hidden="false" customHeight="false" outlineLevel="0" collapsed="false">
      <c r="C49" s="1" t="s">
        <v>66</v>
      </c>
      <c r="D49" s="3" t="n">
        <f aca="false">D47/$O$36*100</f>
        <v>63.7763921526594</v>
      </c>
      <c r="E49" s="3" t="n">
        <f aca="false">E47/$O$36*100</f>
        <v>0.0600351391090051</v>
      </c>
      <c r="F49" s="3" t="n">
        <f aca="false">F47/$O$36*100</f>
        <v>22.2774283639435</v>
      </c>
      <c r="G49" s="3" t="n">
        <f aca="false">G47/$O$36*100</f>
        <v>0.0105807946763819</v>
      </c>
      <c r="H49" s="3" t="n">
        <f aca="false">H47/$O$36*100</f>
        <v>0.539461091863365</v>
      </c>
      <c r="I49" s="3" t="n">
        <f aca="false">I47/$O$36*100</f>
        <v>0.0247996434127252</v>
      </c>
      <c r="J49" s="3" t="n">
        <f aca="false">J47/$O$36*100</f>
        <v>0.00859508389464992</v>
      </c>
      <c r="K49" s="3" t="n">
        <f aca="false">K47/$O$36*100</f>
        <v>3.2365056548731</v>
      </c>
      <c r="L49" s="3" t="n">
        <f aca="false">L47/$O$36*100</f>
        <v>7.37595893434149</v>
      </c>
      <c r="M49" s="3" t="n">
        <f aca="false">M47/$O$36*100</f>
        <v>3.45351340541391</v>
      </c>
      <c r="N49" s="3"/>
      <c r="O49" s="3"/>
    </row>
    <row r="50" customFormat="false" ht="15" hidden="false" customHeight="false" outlineLevel="0" collapsed="false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/>
      <c r="AL50" s="16"/>
      <c r="AM50" s="16"/>
      <c r="AN50" s="16"/>
      <c r="AO50" s="16"/>
      <c r="AP50" s="16"/>
      <c r="AQ50" s="16"/>
      <c r="AR50" s="16"/>
      <c r="AS50" s="16"/>
      <c r="AT50" s="16"/>
      <c r="AU50" s="16"/>
      <c r="AV50" s="16"/>
      <c r="AW50" s="16"/>
      <c r="AX50" s="16"/>
      <c r="AY50" s="16"/>
      <c r="AZ50" s="16"/>
      <c r="BA50" s="16"/>
      <c r="BB50" s="16"/>
      <c r="BC50" s="16"/>
      <c r="BD50" s="16"/>
      <c r="BE50" s="16"/>
      <c r="BF50" s="16"/>
      <c r="BG50" s="16"/>
      <c r="BH50" s="16"/>
      <c r="BI50" s="16"/>
      <c r="BJ50" s="16"/>
      <c r="BK50" s="16"/>
      <c r="BL50" s="16"/>
      <c r="BM50" s="16"/>
      <c r="BN50" s="16"/>
      <c r="BO50" s="16"/>
      <c r="BP50" s="16"/>
      <c r="BQ50" s="16"/>
      <c r="BR50" s="16"/>
    </row>
    <row r="51" customFormat="false" ht="15" hidden="false" customHeight="false" outlineLevel="0" collapsed="false"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</row>
    <row r="52" customFormat="false" ht="15" hidden="false" customHeight="false" outlineLevel="0" collapsed="false">
      <c r="A52" s="16" t="s">
        <v>93</v>
      </c>
      <c r="B52" s="16" t="s">
        <v>82</v>
      </c>
      <c r="C52" s="16" t="s">
        <v>253</v>
      </c>
      <c r="D52" s="18" t="n">
        <v>9.6935</v>
      </c>
      <c r="E52" s="18" t="n">
        <v>0.0741</v>
      </c>
      <c r="F52" s="18" t="n">
        <v>3.9512</v>
      </c>
      <c r="G52" s="18" t="n">
        <v>0</v>
      </c>
      <c r="H52" s="18" t="n">
        <v>1.8907</v>
      </c>
      <c r="I52" s="18" t="n">
        <v>0.2325</v>
      </c>
      <c r="J52" s="18" t="n">
        <v>0.181</v>
      </c>
      <c r="K52" s="18" t="n">
        <v>45.1791</v>
      </c>
      <c r="L52" s="18" t="n">
        <v>1.5231</v>
      </c>
      <c r="M52" s="18" t="n">
        <v>0.937</v>
      </c>
      <c r="N52" s="18"/>
      <c r="O52" s="18"/>
      <c r="P52" s="18" t="n">
        <v>63.6621</v>
      </c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6"/>
      <c r="AU52" s="16"/>
      <c r="AV52" s="16"/>
      <c r="AW52" s="16"/>
      <c r="AX52" s="16"/>
      <c r="AY52" s="16"/>
      <c r="AZ52" s="16"/>
      <c r="BA52" s="16"/>
      <c r="BB52" s="16"/>
      <c r="BC52" s="16"/>
      <c r="BD52" s="16"/>
      <c r="BE52" s="16"/>
      <c r="BF52" s="16"/>
      <c r="BG52" s="16"/>
      <c r="BH52" s="16"/>
      <c r="BI52" s="16"/>
      <c r="BJ52" s="16"/>
      <c r="BK52" s="16"/>
      <c r="BL52" s="16"/>
      <c r="BM52" s="16"/>
      <c r="BN52" s="16"/>
      <c r="BO52" s="16"/>
      <c r="BP52" s="16"/>
      <c r="BQ52" s="16"/>
      <c r="BR52" s="16"/>
      <c r="BS52" s="16"/>
      <c r="BT52" s="16"/>
      <c r="BU52" s="16"/>
      <c r="BV52" s="16"/>
      <c r="BW52" s="16"/>
      <c r="BX52" s="16"/>
      <c r="BY52" s="16"/>
      <c r="BZ52" s="16"/>
      <c r="CA52" s="16"/>
      <c r="CB52" s="16"/>
      <c r="CC52" s="16"/>
      <c r="CD52" s="16"/>
      <c r="CE52" s="16"/>
    </row>
    <row r="53" customFormat="false" ht="15" hidden="false" customHeight="false" outlineLevel="0" collapsed="false">
      <c r="A53" s="16"/>
      <c r="B53" s="16"/>
      <c r="C53" s="16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16"/>
      <c r="AF53" s="16"/>
      <c r="AG53" s="16"/>
      <c r="AH53" s="16"/>
      <c r="AI53" s="16"/>
      <c r="AJ53" s="16"/>
      <c r="AK53" s="16"/>
      <c r="AL53" s="16"/>
      <c r="AM53" s="16"/>
      <c r="AN53" s="16"/>
      <c r="AO53" s="16"/>
      <c r="AP53" s="16"/>
      <c r="AQ53" s="16"/>
      <c r="AR53" s="16"/>
      <c r="AS53" s="16"/>
      <c r="AT53" s="16"/>
      <c r="AU53" s="16"/>
      <c r="AV53" s="16"/>
      <c r="AW53" s="16"/>
      <c r="AX53" s="16"/>
      <c r="AY53" s="16"/>
      <c r="AZ53" s="16"/>
      <c r="BA53" s="16"/>
      <c r="BB53" s="16"/>
      <c r="BC53" s="16"/>
      <c r="BD53" s="16"/>
      <c r="BE53" s="16"/>
      <c r="BF53" s="16"/>
      <c r="BG53" s="16"/>
      <c r="BH53" s="16"/>
      <c r="BI53" s="16"/>
      <c r="BJ53" s="16"/>
      <c r="BK53" s="16"/>
      <c r="BL53" s="16"/>
      <c r="BM53" s="16"/>
      <c r="BN53" s="16"/>
      <c r="BO53" s="16"/>
      <c r="BP53" s="16"/>
      <c r="BQ53" s="16"/>
      <c r="BR53" s="16"/>
      <c r="BS53" s="16"/>
      <c r="BT53" s="16"/>
      <c r="BU53" s="16"/>
      <c r="BV53" s="16"/>
      <c r="BW53" s="16"/>
      <c r="BX53" s="16"/>
      <c r="BY53" s="16"/>
      <c r="BZ53" s="16"/>
      <c r="CA53" s="16"/>
      <c r="CB53" s="16"/>
      <c r="CC53" s="16"/>
      <c r="CD53" s="16"/>
      <c r="CE53" s="16"/>
    </row>
    <row r="54" customFormat="false" ht="15" hidden="false" customHeight="false" outlineLevel="0" collapsed="false">
      <c r="A54" s="16"/>
      <c r="B54" s="16"/>
      <c r="C54" s="16"/>
      <c r="D54" s="16" t="s">
        <v>65</v>
      </c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6"/>
      <c r="AO54" s="16"/>
      <c r="AP54" s="16"/>
      <c r="AQ54" s="16"/>
      <c r="AR54" s="16"/>
      <c r="AS54" s="16"/>
      <c r="AT54" s="16"/>
      <c r="AU54" s="16"/>
      <c r="AV54" s="16"/>
      <c r="AW54" s="16"/>
      <c r="AX54" s="16"/>
      <c r="AY54" s="16"/>
      <c r="AZ54" s="16"/>
      <c r="BA54" s="16"/>
      <c r="BB54" s="16"/>
      <c r="BC54" s="16"/>
      <c r="BD54" s="16"/>
      <c r="BE54" s="16"/>
      <c r="BF54" s="16"/>
      <c r="BG54" s="16"/>
      <c r="BH54" s="16"/>
      <c r="BI54" s="16"/>
      <c r="BJ54" s="16"/>
      <c r="BK54" s="16"/>
      <c r="BL54" s="16"/>
      <c r="BM54" s="16"/>
      <c r="BN54" s="16"/>
      <c r="BO54" s="16"/>
      <c r="BP54" s="16"/>
      <c r="BQ54" s="16"/>
      <c r="BR54" s="16"/>
    </row>
    <row r="55" customFormat="false" ht="15" hidden="false" customHeight="false" outlineLevel="0" collapsed="false">
      <c r="A55" s="16"/>
      <c r="B55" s="16"/>
      <c r="C55" s="16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  <c r="AE55" s="16"/>
      <c r="AF55" s="16"/>
      <c r="AG55" s="16"/>
      <c r="AH55" s="16"/>
      <c r="AI55" s="16"/>
      <c r="AJ55" s="16"/>
      <c r="AK55" s="16"/>
      <c r="AL55" s="16"/>
      <c r="AM55" s="16"/>
      <c r="AN55" s="16"/>
      <c r="AO55" s="16"/>
      <c r="AP55" s="16"/>
      <c r="AQ55" s="16"/>
      <c r="AR55" s="16"/>
      <c r="AS55" s="16"/>
      <c r="AT55" s="16"/>
      <c r="AU55" s="16"/>
      <c r="AV55" s="16"/>
      <c r="AW55" s="16"/>
      <c r="AX55" s="16"/>
      <c r="AY55" s="16"/>
      <c r="AZ55" s="16"/>
      <c r="BA55" s="16"/>
      <c r="BB55" s="16"/>
      <c r="BC55" s="16"/>
      <c r="BD55" s="16"/>
      <c r="BE55" s="16"/>
      <c r="BF55" s="16"/>
      <c r="BG55" s="16"/>
      <c r="BH55" s="16"/>
      <c r="BI55" s="16"/>
      <c r="BJ55" s="16"/>
      <c r="BK55" s="16"/>
      <c r="BL55" s="16"/>
      <c r="BM55" s="16"/>
      <c r="BN55" s="16"/>
      <c r="BO55" s="16"/>
      <c r="BP55" s="16"/>
      <c r="BQ55" s="16"/>
      <c r="BR55" s="16"/>
    </row>
    <row r="56" customFormat="false" ht="15" hidden="false" customHeight="false" outlineLevel="0" collapsed="false">
      <c r="A56" s="16"/>
      <c r="B56" s="16"/>
      <c r="C56" s="16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16"/>
      <c r="AD56" s="16"/>
      <c r="AE56" s="16"/>
      <c r="AF56" s="16"/>
      <c r="AG56" s="16"/>
      <c r="AH56" s="16"/>
      <c r="AI56" s="16"/>
      <c r="AJ56" s="16"/>
      <c r="AK56" s="16"/>
      <c r="AL56" s="16"/>
      <c r="AM56" s="16"/>
      <c r="AN56" s="16"/>
      <c r="AO56" s="16"/>
      <c r="AP56" s="16"/>
      <c r="AQ56" s="16"/>
      <c r="AR56" s="16"/>
      <c r="AS56" s="16"/>
      <c r="AT56" s="16"/>
      <c r="AU56" s="16"/>
      <c r="AV56" s="16"/>
      <c r="AW56" s="16"/>
      <c r="AX56" s="16"/>
      <c r="AY56" s="16"/>
      <c r="AZ56" s="16"/>
      <c r="BA56" s="16"/>
      <c r="BB56" s="16"/>
      <c r="BC56" s="16"/>
      <c r="BD56" s="16"/>
      <c r="BE56" s="16"/>
      <c r="BF56" s="16"/>
      <c r="BG56" s="16"/>
      <c r="BH56" s="16"/>
      <c r="BI56" s="16"/>
      <c r="BJ56" s="16"/>
      <c r="BK56" s="16"/>
      <c r="BL56" s="16"/>
      <c r="BM56" s="16"/>
      <c r="BN56" s="16"/>
      <c r="BO56" s="16"/>
      <c r="BP56" s="16"/>
      <c r="BQ56" s="16"/>
      <c r="BR56" s="16"/>
    </row>
    <row r="57" customFormat="false" ht="15" hidden="false" customHeight="false" outlineLevel="0" collapsed="false">
      <c r="A57" s="16"/>
      <c r="B57" s="16"/>
      <c r="C57" s="16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6"/>
      <c r="AD57" s="16"/>
      <c r="AE57" s="16"/>
      <c r="AF57" s="16"/>
      <c r="AG57" s="16"/>
      <c r="AH57" s="16"/>
      <c r="AI57" s="16"/>
      <c r="AJ57" s="16"/>
      <c r="AK57" s="16"/>
      <c r="AL57" s="16"/>
      <c r="AM57" s="16"/>
      <c r="AN57" s="16"/>
      <c r="AO57" s="16"/>
      <c r="AP57" s="16"/>
      <c r="AQ57" s="16"/>
      <c r="AR57" s="16"/>
      <c r="AS57" s="16"/>
      <c r="AT57" s="16"/>
      <c r="AU57" s="16"/>
      <c r="AV57" s="16"/>
      <c r="AW57" s="16"/>
      <c r="AX57" s="16"/>
      <c r="AY57" s="16"/>
      <c r="AZ57" s="16"/>
      <c r="BA57" s="16"/>
      <c r="BB57" s="16"/>
      <c r="BC57" s="16"/>
      <c r="BD57" s="16"/>
      <c r="BE57" s="16"/>
      <c r="BF57" s="16"/>
      <c r="BG57" s="16"/>
      <c r="BH57" s="16"/>
      <c r="BI57" s="16"/>
      <c r="BJ57" s="16"/>
      <c r="BK57" s="16"/>
      <c r="BL57" s="16"/>
      <c r="BM57" s="16"/>
      <c r="BN57" s="16"/>
      <c r="BO57" s="16"/>
      <c r="BP57" s="16"/>
      <c r="BQ57" s="16"/>
      <c r="BR57" s="16"/>
    </row>
    <row r="58" customFormat="false" ht="15" hidden="false" customHeight="false" outlineLevel="0" collapsed="false">
      <c r="A58" s="16"/>
      <c r="B58" s="16"/>
      <c r="C58" s="16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6"/>
      <c r="AD58" s="16"/>
      <c r="AE58" s="16"/>
      <c r="AF58" s="16"/>
      <c r="AG58" s="16"/>
      <c r="AH58" s="16"/>
      <c r="AI58" s="16"/>
      <c r="AJ58" s="16"/>
      <c r="AK58" s="16"/>
      <c r="AL58" s="16"/>
      <c r="AM58" s="16"/>
      <c r="AN58" s="16"/>
      <c r="AO58" s="16"/>
      <c r="AP58" s="16"/>
      <c r="AQ58" s="16"/>
      <c r="AR58" s="16"/>
      <c r="AS58" s="16"/>
      <c r="AT58" s="16"/>
      <c r="AU58" s="16"/>
      <c r="AV58" s="16"/>
      <c r="AW58" s="16"/>
      <c r="AX58" s="16"/>
      <c r="AY58" s="16"/>
      <c r="AZ58" s="16"/>
      <c r="BA58" s="16"/>
      <c r="BB58" s="16"/>
      <c r="BC58" s="16"/>
      <c r="BD58" s="16"/>
      <c r="BE58" s="16"/>
      <c r="BF58" s="16"/>
      <c r="BG58" s="16"/>
      <c r="BH58" s="16"/>
      <c r="BI58" s="16"/>
      <c r="BJ58" s="16"/>
      <c r="BK58" s="16"/>
      <c r="BL58" s="16"/>
      <c r="BM58" s="16"/>
      <c r="BN58" s="16"/>
      <c r="BO58" s="16"/>
      <c r="BP58" s="16"/>
      <c r="BQ58" s="16"/>
      <c r="BR58" s="16"/>
    </row>
    <row r="59" customFormat="false" ht="15" hidden="false" customHeight="false" outlineLevel="0" collapsed="false">
      <c r="A59" s="16"/>
      <c r="B59" s="16"/>
      <c r="C59" s="16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6"/>
      <c r="AL59" s="16"/>
      <c r="AM59" s="16"/>
      <c r="AN59" s="16"/>
      <c r="AO59" s="16"/>
      <c r="AP59" s="16"/>
      <c r="AQ59" s="16"/>
      <c r="AR59" s="16"/>
      <c r="AS59" s="16"/>
      <c r="AT59" s="16"/>
      <c r="AU59" s="16"/>
      <c r="AV59" s="16"/>
      <c r="AW59" s="16"/>
      <c r="AX59" s="16"/>
      <c r="AY59" s="16"/>
      <c r="AZ59" s="16"/>
      <c r="BA59" s="16"/>
      <c r="BB59" s="16"/>
      <c r="BC59" s="16"/>
      <c r="BD59" s="16"/>
      <c r="BE59" s="16"/>
      <c r="BF59" s="16"/>
      <c r="BG59" s="16"/>
      <c r="BH59" s="16"/>
      <c r="BI59" s="16"/>
      <c r="BJ59" s="16"/>
      <c r="BK59" s="16"/>
      <c r="BL59" s="16"/>
      <c r="BM59" s="16"/>
      <c r="BN59" s="16"/>
      <c r="BO59" s="16"/>
      <c r="BP59" s="16"/>
      <c r="BQ59" s="16"/>
      <c r="BR59" s="16"/>
    </row>
    <row r="60" customFormat="false" ht="15" hidden="false" customHeight="false" outlineLevel="0" collapsed="false">
      <c r="A60" s="16"/>
      <c r="B60" s="16"/>
      <c r="C60" s="16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6"/>
      <c r="AD60" s="16"/>
      <c r="AE60" s="16"/>
      <c r="AF60" s="16"/>
      <c r="AG60" s="16"/>
      <c r="AH60" s="16"/>
      <c r="AI60" s="16"/>
      <c r="AJ60" s="16"/>
      <c r="AK60" s="16"/>
      <c r="AL60" s="16"/>
      <c r="AM60" s="16"/>
      <c r="AN60" s="16"/>
      <c r="AO60" s="16"/>
      <c r="AP60" s="16"/>
      <c r="AQ60" s="16"/>
      <c r="AR60" s="16"/>
      <c r="AS60" s="16"/>
      <c r="AT60" s="16"/>
      <c r="AU60" s="16"/>
      <c r="AV60" s="16"/>
      <c r="AW60" s="16"/>
      <c r="AX60" s="16"/>
      <c r="AY60" s="16"/>
      <c r="AZ60" s="16"/>
      <c r="BA60" s="16"/>
      <c r="BB60" s="16"/>
      <c r="BC60" s="16"/>
      <c r="BD60" s="16"/>
      <c r="BE60" s="16"/>
      <c r="BF60" s="16"/>
      <c r="BG60" s="16"/>
      <c r="BH60" s="16"/>
      <c r="BI60" s="16"/>
      <c r="BJ60" s="16"/>
      <c r="BK60" s="16"/>
      <c r="BL60" s="16"/>
      <c r="BM60" s="16"/>
      <c r="BN60" s="16"/>
      <c r="BO60" s="16"/>
      <c r="BP60" s="16"/>
      <c r="BQ60" s="16"/>
      <c r="BR60" s="16"/>
    </row>
    <row r="61" customFormat="false" ht="15" hidden="false" customHeight="false" outlineLevel="0" collapsed="false">
      <c r="A61" s="16"/>
      <c r="B61" s="16"/>
      <c r="C61" s="16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16"/>
      <c r="AE61" s="16"/>
      <c r="AF61" s="16"/>
      <c r="AG61" s="16"/>
      <c r="AH61" s="16"/>
      <c r="AI61" s="16"/>
      <c r="AJ61" s="16"/>
      <c r="AK61" s="16"/>
      <c r="AL61" s="16"/>
      <c r="AM61" s="16"/>
      <c r="AN61" s="16"/>
      <c r="AO61" s="16"/>
      <c r="AP61" s="16"/>
      <c r="AQ61" s="16"/>
      <c r="AR61" s="16"/>
      <c r="AS61" s="16"/>
      <c r="AT61" s="16"/>
      <c r="AU61" s="16"/>
      <c r="AV61" s="16"/>
      <c r="AW61" s="16"/>
      <c r="AX61" s="16"/>
      <c r="AY61" s="16"/>
      <c r="AZ61" s="16"/>
      <c r="BA61" s="16"/>
      <c r="BB61" s="16"/>
      <c r="BC61" s="16"/>
      <c r="BD61" s="16"/>
      <c r="BE61" s="16"/>
      <c r="BF61" s="16"/>
      <c r="BG61" s="16"/>
      <c r="BH61" s="16"/>
      <c r="BI61" s="16"/>
      <c r="BJ61" s="16"/>
      <c r="BK61" s="16"/>
      <c r="BL61" s="16"/>
      <c r="BM61" s="16"/>
      <c r="BN61" s="16"/>
      <c r="BO61" s="16"/>
      <c r="BP61" s="16"/>
      <c r="BQ61" s="16"/>
      <c r="BR61" s="16"/>
    </row>
    <row r="62" customFormat="false" ht="15" hidden="false" customHeight="false" outlineLevel="0" collapsed="false">
      <c r="A62" s="16"/>
      <c r="B62" s="16"/>
      <c r="C62" s="16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6"/>
      <c r="AD62" s="16"/>
      <c r="AE62" s="16"/>
      <c r="AF62" s="16"/>
      <c r="AG62" s="16"/>
      <c r="AH62" s="16"/>
      <c r="AI62" s="16"/>
      <c r="AJ62" s="16"/>
      <c r="AK62" s="16"/>
      <c r="AL62" s="16"/>
      <c r="AM62" s="16"/>
      <c r="AN62" s="16"/>
      <c r="AO62" s="16"/>
      <c r="AP62" s="16"/>
      <c r="AQ62" s="16"/>
      <c r="AR62" s="16"/>
      <c r="AS62" s="16"/>
      <c r="AT62" s="16"/>
      <c r="AU62" s="16"/>
      <c r="AV62" s="16"/>
      <c r="AW62" s="16"/>
      <c r="AX62" s="16"/>
      <c r="AY62" s="16"/>
      <c r="AZ62" s="16"/>
      <c r="BA62" s="16"/>
      <c r="BB62" s="16"/>
      <c r="BC62" s="16"/>
      <c r="BD62" s="16"/>
      <c r="BE62" s="16"/>
      <c r="BF62" s="16"/>
      <c r="BG62" s="16"/>
      <c r="BH62" s="16"/>
      <c r="BI62" s="16"/>
      <c r="BJ62" s="16"/>
      <c r="BK62" s="16"/>
      <c r="BL62" s="16"/>
      <c r="BM62" s="16"/>
      <c r="BN62" s="16"/>
      <c r="BO62" s="16"/>
      <c r="BP62" s="16"/>
      <c r="BQ62" s="16"/>
      <c r="BR62" s="16"/>
    </row>
    <row r="63" customFormat="false" ht="15" hidden="false" customHeight="false" outlineLevel="0" collapsed="false">
      <c r="A63" s="16"/>
      <c r="B63" s="16"/>
      <c r="C63" s="16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  <c r="AC63" s="16"/>
      <c r="AD63" s="16"/>
      <c r="AE63" s="16"/>
      <c r="AF63" s="16"/>
      <c r="AG63" s="16"/>
      <c r="AH63" s="16"/>
      <c r="AI63" s="16"/>
      <c r="AJ63" s="16"/>
      <c r="AK63" s="16"/>
      <c r="AL63" s="16"/>
      <c r="AM63" s="16"/>
      <c r="AN63" s="16"/>
      <c r="AO63" s="16"/>
      <c r="AP63" s="16"/>
      <c r="AQ63" s="16"/>
      <c r="AR63" s="16"/>
      <c r="AS63" s="16"/>
      <c r="AT63" s="16"/>
      <c r="AU63" s="16"/>
      <c r="AV63" s="16"/>
      <c r="AW63" s="16"/>
      <c r="AX63" s="16"/>
      <c r="AY63" s="16"/>
      <c r="AZ63" s="16"/>
      <c r="BA63" s="16"/>
      <c r="BB63" s="16"/>
      <c r="BC63" s="16"/>
      <c r="BD63" s="16"/>
      <c r="BE63" s="16"/>
      <c r="BF63" s="16"/>
      <c r="BG63" s="16"/>
      <c r="BH63" s="16"/>
      <c r="BI63" s="16"/>
      <c r="BJ63" s="16"/>
      <c r="BK63" s="16"/>
      <c r="BL63" s="16"/>
      <c r="BM63" s="16"/>
      <c r="BN63" s="16"/>
      <c r="BO63" s="16"/>
      <c r="BP63" s="16"/>
      <c r="BQ63" s="16"/>
      <c r="BR63" s="16"/>
    </row>
    <row r="64" customFormat="false" ht="15" hidden="false" customHeight="false" outlineLevel="0" collapsed="false">
      <c r="A64" s="16"/>
      <c r="B64" s="16"/>
      <c r="C64" s="16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  <c r="AC64" s="16"/>
      <c r="AD64" s="16"/>
      <c r="AE64" s="16"/>
      <c r="AF64" s="16"/>
      <c r="AG64" s="16"/>
      <c r="AH64" s="16"/>
      <c r="AI64" s="16"/>
      <c r="AJ64" s="16"/>
      <c r="AK64" s="16"/>
      <c r="AL64" s="16"/>
      <c r="AM64" s="16"/>
      <c r="AN64" s="16"/>
      <c r="AO64" s="16"/>
      <c r="AP64" s="16"/>
      <c r="AQ64" s="16"/>
      <c r="AR64" s="16"/>
      <c r="AS64" s="16"/>
      <c r="AT64" s="16"/>
      <c r="AU64" s="16"/>
      <c r="AV64" s="16"/>
      <c r="AW64" s="16"/>
      <c r="AX64" s="16"/>
      <c r="AY64" s="16"/>
      <c r="AZ64" s="16"/>
      <c r="BA64" s="16"/>
      <c r="BB64" s="16"/>
      <c r="BC64" s="16"/>
      <c r="BD64" s="16"/>
      <c r="BE64" s="16"/>
      <c r="BF64" s="16"/>
      <c r="BG64" s="16"/>
      <c r="BH64" s="16"/>
      <c r="BI64" s="16"/>
      <c r="BJ64" s="16"/>
      <c r="BK64" s="16"/>
      <c r="BL64" s="16"/>
      <c r="BM64" s="16"/>
      <c r="BN64" s="16"/>
      <c r="BO64" s="16"/>
      <c r="BP64" s="16"/>
      <c r="BQ64" s="16"/>
      <c r="BR64" s="16"/>
    </row>
    <row r="65" customFormat="false" ht="15" hidden="false" customHeight="false" outlineLevel="0" collapsed="false">
      <c r="A65" s="16"/>
      <c r="B65" s="16"/>
      <c r="C65" s="16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  <c r="AB65" s="16"/>
      <c r="AC65" s="16"/>
      <c r="AD65" s="16"/>
      <c r="AE65" s="16"/>
      <c r="AF65" s="16"/>
      <c r="AG65" s="16"/>
      <c r="AH65" s="16"/>
      <c r="AI65" s="16"/>
      <c r="AJ65" s="16"/>
      <c r="AK65" s="16"/>
      <c r="AL65" s="16"/>
      <c r="AM65" s="16"/>
      <c r="AN65" s="16"/>
      <c r="AO65" s="16"/>
      <c r="AP65" s="16"/>
      <c r="AQ65" s="16"/>
      <c r="AR65" s="16"/>
      <c r="AS65" s="16"/>
      <c r="AT65" s="16"/>
      <c r="AU65" s="16"/>
      <c r="AV65" s="16"/>
      <c r="AW65" s="16"/>
      <c r="AX65" s="16"/>
      <c r="AY65" s="16"/>
      <c r="AZ65" s="16"/>
      <c r="BA65" s="16"/>
      <c r="BB65" s="16"/>
      <c r="BC65" s="16"/>
      <c r="BD65" s="16"/>
      <c r="BE65" s="16"/>
      <c r="BF65" s="16"/>
      <c r="BG65" s="16"/>
      <c r="BH65" s="16"/>
      <c r="BI65" s="16"/>
      <c r="BJ65" s="16"/>
      <c r="BK65" s="16"/>
      <c r="BL65" s="16"/>
      <c r="BM65" s="16"/>
      <c r="BN65" s="16"/>
      <c r="BO65" s="16"/>
      <c r="BP65" s="16"/>
      <c r="BQ65" s="16"/>
      <c r="BR65" s="16"/>
    </row>
    <row r="66" customFormat="false" ht="15" hidden="false" customHeight="false" outlineLevel="0" collapsed="false">
      <c r="A66" s="16"/>
      <c r="B66" s="16"/>
      <c r="C66" s="16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  <c r="AC66" s="16"/>
      <c r="AD66" s="16"/>
      <c r="AE66" s="16"/>
      <c r="AF66" s="16"/>
      <c r="AG66" s="16"/>
      <c r="AH66" s="16"/>
      <c r="AI66" s="16"/>
      <c r="AJ66" s="16"/>
      <c r="AK66" s="16"/>
      <c r="AL66" s="16"/>
      <c r="AM66" s="16"/>
      <c r="AN66" s="16"/>
      <c r="AO66" s="16"/>
      <c r="AP66" s="16"/>
      <c r="AQ66" s="16"/>
      <c r="AR66" s="16"/>
      <c r="AS66" s="16"/>
      <c r="AT66" s="16"/>
      <c r="AU66" s="16"/>
      <c r="AV66" s="16"/>
      <c r="AW66" s="16"/>
      <c r="AX66" s="16"/>
      <c r="AY66" s="16"/>
      <c r="AZ66" s="16"/>
      <c r="BA66" s="16"/>
      <c r="BB66" s="16"/>
      <c r="BC66" s="16"/>
      <c r="BD66" s="16"/>
      <c r="BE66" s="16"/>
      <c r="BF66" s="16"/>
      <c r="BG66" s="16"/>
      <c r="BH66" s="16"/>
      <c r="BI66" s="16"/>
      <c r="BJ66" s="16"/>
      <c r="BK66" s="16"/>
      <c r="BL66" s="16"/>
      <c r="BM66" s="16"/>
      <c r="BN66" s="16"/>
      <c r="BO66" s="16"/>
      <c r="BP66" s="16"/>
      <c r="BQ66" s="16"/>
      <c r="BR66" s="16"/>
    </row>
    <row r="67" customFormat="false" ht="15" hidden="false" customHeight="false" outlineLevel="0" collapsed="false">
      <c r="A67" s="16"/>
      <c r="B67" s="16"/>
      <c r="C67" s="16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6"/>
      <c r="AC67" s="16"/>
      <c r="AD67" s="16"/>
      <c r="AE67" s="16"/>
      <c r="AF67" s="16"/>
      <c r="AG67" s="16"/>
      <c r="AH67" s="16"/>
      <c r="AI67" s="16"/>
      <c r="AJ67" s="16"/>
      <c r="AK67" s="16"/>
      <c r="AL67" s="16"/>
      <c r="AM67" s="16"/>
      <c r="AN67" s="16"/>
      <c r="AO67" s="16"/>
      <c r="AP67" s="16"/>
      <c r="AQ67" s="16"/>
      <c r="AR67" s="16"/>
      <c r="AS67" s="16"/>
      <c r="AT67" s="16"/>
      <c r="AU67" s="16"/>
      <c r="AV67" s="16"/>
      <c r="AW67" s="16"/>
      <c r="AX67" s="16"/>
      <c r="AY67" s="16"/>
      <c r="AZ67" s="16"/>
      <c r="BA67" s="16"/>
      <c r="BB67" s="16"/>
      <c r="BC67" s="16"/>
      <c r="BD67" s="16"/>
      <c r="BE67" s="16"/>
      <c r="BF67" s="16"/>
      <c r="BG67" s="16"/>
      <c r="BH67" s="16"/>
      <c r="BI67" s="16"/>
      <c r="BJ67" s="16"/>
      <c r="BK67" s="16"/>
      <c r="BL67" s="16"/>
      <c r="BM67" s="16"/>
      <c r="BN67" s="16"/>
      <c r="BO67" s="16"/>
      <c r="BP67" s="16"/>
      <c r="BQ67" s="16"/>
      <c r="BR67" s="16"/>
    </row>
    <row r="68" customFormat="false" ht="15" hidden="false" customHeight="false" outlineLevel="0" collapsed="false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  <c r="AC68" s="16"/>
      <c r="AD68" s="16"/>
      <c r="AE68" s="16"/>
      <c r="AF68" s="16"/>
      <c r="AG68" s="16"/>
      <c r="AH68" s="16"/>
      <c r="AI68" s="16"/>
      <c r="AJ68" s="16"/>
      <c r="AK68" s="16"/>
      <c r="AL68" s="16"/>
      <c r="AM68" s="16"/>
      <c r="AN68" s="16"/>
      <c r="AO68" s="16"/>
      <c r="AP68" s="16"/>
      <c r="AQ68" s="16"/>
      <c r="AR68" s="16"/>
      <c r="AS68" s="16"/>
      <c r="AT68" s="16"/>
      <c r="AU68" s="16"/>
      <c r="AV68" s="16"/>
      <c r="AW68" s="16"/>
      <c r="AX68" s="16"/>
      <c r="AY68" s="16"/>
      <c r="AZ68" s="16"/>
      <c r="BA68" s="16"/>
      <c r="BB68" s="16"/>
      <c r="BC68" s="16"/>
      <c r="BD68" s="16"/>
      <c r="BE68" s="16"/>
      <c r="BF68" s="16"/>
      <c r="BG68" s="16"/>
      <c r="BH68" s="16"/>
      <c r="BI68" s="16"/>
      <c r="BJ68" s="16"/>
      <c r="BK68" s="16"/>
      <c r="BL68" s="16"/>
      <c r="BM68" s="16"/>
      <c r="BN68" s="16"/>
      <c r="BO68" s="16"/>
      <c r="BP68" s="16"/>
      <c r="BQ68" s="16"/>
      <c r="BR68" s="16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E70"/>
  <sheetViews>
    <sheetView showFormulas="false" showGridLines="true" showRowColHeaders="true" showZeros="true" rightToLeft="false" tabSelected="false" showOutlineSymbols="true" defaultGridColor="true" view="normal" topLeftCell="A1" colorId="64" zoomScale="55" zoomScaleNormal="55" zoomScalePageLayoutView="100" workbookViewId="0">
      <selection pane="topLeft" activeCell="A1" activeCellId="0" sqref="A1"/>
    </sheetView>
  </sheetViews>
  <sheetFormatPr defaultColWidth="10.6445312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15" min="4" style="1" width="6.7"/>
    <col collapsed="false" customWidth="true" hidden="false" outlineLevel="0" max="24" min="16" style="1" width="6.9"/>
    <col collapsed="false" customWidth="true" hidden="false" outlineLevel="0" max="26" min="25" style="1" width="6.5"/>
  </cols>
  <sheetData>
    <row r="1" customFormat="false" ht="15" hidden="false" customHeight="false" outlineLevel="0" collapsed="false">
      <c r="A1" s="20" t="n">
        <v>44158</v>
      </c>
      <c r="D1" s="3" t="s">
        <v>65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1" t="s">
        <v>66</v>
      </c>
    </row>
    <row r="2" customFormat="false" ht="15" hidden="false" customHeight="false" outlineLevel="0" collapsed="false">
      <c r="B2" s="1" t="s">
        <v>67</v>
      </c>
      <c r="C2" s="1" t="s">
        <v>68</v>
      </c>
      <c r="D2" s="3" t="s">
        <v>15</v>
      </c>
      <c r="E2" s="3" t="s">
        <v>16</v>
      </c>
      <c r="F2" s="3" t="s">
        <v>17</v>
      </c>
      <c r="G2" s="3" t="s">
        <v>31</v>
      </c>
      <c r="H2" s="3" t="s">
        <v>18</v>
      </c>
      <c r="I2" s="3" t="s">
        <v>19</v>
      </c>
      <c r="J2" s="3" t="s">
        <v>20</v>
      </c>
      <c r="K2" s="3" t="s">
        <v>21</v>
      </c>
      <c r="L2" s="3" t="s">
        <v>22</v>
      </c>
      <c r="M2" s="3" t="s">
        <v>23</v>
      </c>
      <c r="N2" s="3" t="s">
        <v>24</v>
      </c>
      <c r="O2" s="3" t="s">
        <v>69</v>
      </c>
      <c r="P2" s="3" t="s">
        <v>15</v>
      </c>
      <c r="Q2" s="3" t="s">
        <v>16</v>
      </c>
      <c r="R2" s="3" t="s">
        <v>17</v>
      </c>
      <c r="S2" s="3" t="s">
        <v>31</v>
      </c>
      <c r="T2" s="3" t="s">
        <v>18</v>
      </c>
      <c r="U2" s="3" t="s">
        <v>19</v>
      </c>
      <c r="V2" s="3" t="s">
        <v>20</v>
      </c>
      <c r="W2" s="3" t="s">
        <v>21</v>
      </c>
      <c r="X2" s="3" t="s">
        <v>22</v>
      </c>
      <c r="Y2" s="3" t="s">
        <v>23</v>
      </c>
      <c r="Z2" s="3" t="s">
        <v>24</v>
      </c>
    </row>
    <row r="3" customFormat="false" ht="15" hidden="false" customHeight="false" outlineLevel="0" collapsed="false">
      <c r="A3" s="16" t="s">
        <v>148</v>
      </c>
      <c r="B3" s="16" t="s">
        <v>71</v>
      </c>
      <c r="C3" s="16" t="s">
        <v>253</v>
      </c>
      <c r="D3" s="18" t="n">
        <v>57.7519</v>
      </c>
      <c r="E3" s="18" t="n">
        <v>0.2154</v>
      </c>
      <c r="F3" s="18" t="n">
        <v>17.8872</v>
      </c>
      <c r="G3" s="18" t="n">
        <v>0</v>
      </c>
      <c r="H3" s="18" t="n">
        <v>5.584</v>
      </c>
      <c r="I3" s="18" t="n">
        <v>0.2557</v>
      </c>
      <c r="J3" s="18" t="n">
        <v>0.2679</v>
      </c>
      <c r="K3" s="18" t="n">
        <v>1.2776</v>
      </c>
      <c r="L3" s="18" t="n">
        <v>7.4152</v>
      </c>
      <c r="M3" s="18" t="n">
        <v>5.6811</v>
      </c>
      <c r="N3" s="18" t="n">
        <v>0.1554</v>
      </c>
      <c r="O3" s="18" t="n">
        <f aca="false">SUM(D3:N3)</f>
        <v>96.4914</v>
      </c>
      <c r="P3" s="3" t="n">
        <f aca="false">D3/$O3*100</f>
        <v>59.8518624457724</v>
      </c>
      <c r="Q3" s="3" t="n">
        <f aca="false">E3/$O3*100</f>
        <v>0.223232329513304</v>
      </c>
      <c r="R3" s="3" t="n">
        <f aca="false">F3/$O3*100</f>
        <v>18.537610605712</v>
      </c>
      <c r="S3" s="3" t="n">
        <f aca="false">G3/$O3*100</f>
        <v>0</v>
      </c>
      <c r="T3" s="3" t="n">
        <f aca="false">H3/$O3*100</f>
        <v>5.78704423399391</v>
      </c>
      <c r="U3" s="3" t="n">
        <f aca="false">I3/$O3*100</f>
        <v>0.264997709640445</v>
      </c>
      <c r="V3" s="3" t="n">
        <f aca="false">J3/$O3*100</f>
        <v>0.27764132347546</v>
      </c>
      <c r="W3" s="3" t="n">
        <f aca="false">K3/$O3*100</f>
        <v>1.32405582259144</v>
      </c>
      <c r="X3" s="3" t="n">
        <f aca="false">L3/$O3*100</f>
        <v>7.68482994339392</v>
      </c>
      <c r="Y3" s="3" t="n">
        <f aca="false">M3/$O3*100</f>
        <v>5.88767496377916</v>
      </c>
      <c r="Z3" s="3" t="n">
        <f aca="false">N3/$O3*100</f>
        <v>0.161050622127982</v>
      </c>
    </row>
    <row r="4" customFormat="false" ht="15" hidden="false" customHeight="false" outlineLevel="0" collapsed="false">
      <c r="A4" s="16" t="s">
        <v>112</v>
      </c>
      <c r="B4" s="16" t="s">
        <v>71</v>
      </c>
      <c r="C4" s="16" t="s">
        <v>253</v>
      </c>
      <c r="D4" s="18" t="n">
        <v>57.4923</v>
      </c>
      <c r="E4" s="18" t="n">
        <v>0.2273</v>
      </c>
      <c r="F4" s="18" t="n">
        <v>17.5375</v>
      </c>
      <c r="G4" s="18" t="n">
        <v>0</v>
      </c>
      <c r="H4" s="18" t="n">
        <v>5.4994</v>
      </c>
      <c r="I4" s="18" t="n">
        <v>0.2698</v>
      </c>
      <c r="J4" s="18" t="n">
        <v>0.3095</v>
      </c>
      <c r="K4" s="18" t="n">
        <v>1.2078</v>
      </c>
      <c r="L4" s="18" t="n">
        <v>7.4451</v>
      </c>
      <c r="M4" s="18" t="n">
        <v>5.6896</v>
      </c>
      <c r="N4" s="18" t="n">
        <v>0.0887</v>
      </c>
      <c r="O4" s="18" t="n">
        <f aca="false">SUM(D4:N4)</f>
        <v>95.767</v>
      </c>
      <c r="P4" s="3" t="n">
        <f aca="false">D4/$O4*100</f>
        <v>60.0335188530496</v>
      </c>
      <c r="Q4" s="3" t="n">
        <f aca="false">E4/$O4*100</f>
        <v>0.237346894024038</v>
      </c>
      <c r="R4" s="3" t="n">
        <f aca="false">F4/$O4*100</f>
        <v>18.3126755562981</v>
      </c>
      <c r="S4" s="3" t="n">
        <f aca="false">G4/$O4*100</f>
        <v>0</v>
      </c>
      <c r="T4" s="3" t="n">
        <f aca="false">H4/$O4*100</f>
        <v>5.74247914208443</v>
      </c>
      <c r="U4" s="3" t="n">
        <f aca="false">I4/$O4*100</f>
        <v>0.281725437781282</v>
      </c>
      <c r="V4" s="3" t="n">
        <f aca="false">J4/$O4*100</f>
        <v>0.323180218655696</v>
      </c>
      <c r="W4" s="3" t="n">
        <f aca="false">K4/$O4*100</f>
        <v>1.2611860035294</v>
      </c>
      <c r="X4" s="3" t="n">
        <f aca="false">L4/$O4*100</f>
        <v>7.77418108534255</v>
      </c>
      <c r="Y4" s="3" t="n">
        <f aca="false">M4/$O4*100</f>
        <v>5.94108617791097</v>
      </c>
      <c r="Z4" s="3" t="n">
        <f aca="false">N4/$O4*100</f>
        <v>0.0926206313239425</v>
      </c>
    </row>
    <row r="5" customFormat="false" ht="15" hidden="false" customHeight="false" outlineLevel="0" collapsed="false">
      <c r="A5" s="16" t="s">
        <v>149</v>
      </c>
      <c r="B5" s="16" t="s">
        <v>71</v>
      </c>
      <c r="C5" s="16" t="s">
        <v>253</v>
      </c>
      <c r="D5" s="18" t="n">
        <v>58.1144</v>
      </c>
      <c r="E5" s="18" t="n">
        <v>0.2752</v>
      </c>
      <c r="F5" s="18" t="n">
        <v>17.8528</v>
      </c>
      <c r="G5" s="18" t="n">
        <v>0.0599</v>
      </c>
      <c r="H5" s="18" t="n">
        <v>5.2854</v>
      </c>
      <c r="I5" s="18" t="n">
        <v>0.19</v>
      </c>
      <c r="J5" s="18" t="n">
        <v>0.2568</v>
      </c>
      <c r="K5" s="18" t="n">
        <v>1.1804</v>
      </c>
      <c r="L5" s="18" t="n">
        <v>7.521</v>
      </c>
      <c r="M5" s="18" t="n">
        <v>5.724</v>
      </c>
      <c r="N5" s="18" t="n">
        <v>0.1297</v>
      </c>
      <c r="O5" s="18" t="n">
        <f aca="false">SUM(D5:N5)</f>
        <v>96.5896</v>
      </c>
      <c r="P5" s="3" t="n">
        <f aca="false">D5/$O5*100</f>
        <v>60.1663119010742</v>
      </c>
      <c r="Q5" s="3" t="n">
        <f aca="false">E5/$O5*100</f>
        <v>0.284916802637137</v>
      </c>
      <c r="R5" s="3" t="n">
        <f aca="false">F5/$O5*100</f>
        <v>18.483149324565</v>
      </c>
      <c r="S5" s="3" t="n">
        <f aca="false">G5/$O5*100</f>
        <v>0.0620149581321384</v>
      </c>
      <c r="T5" s="3" t="n">
        <f aca="false">H5/$O5*100</f>
        <v>5.47201769134565</v>
      </c>
      <c r="U5" s="3" t="n">
        <f aca="false">I5/$O5*100</f>
        <v>0.196708548332326</v>
      </c>
      <c r="V5" s="3" t="n">
        <f aca="false">J5/$O5*100</f>
        <v>0.265867132693375</v>
      </c>
      <c r="W5" s="3" t="n">
        <f aca="false">K5/$O5*100</f>
        <v>1.2220777392183</v>
      </c>
      <c r="X5" s="3" t="n">
        <f aca="false">L5/$O5*100</f>
        <v>7.78655258951274</v>
      </c>
      <c r="Y5" s="3" t="n">
        <f aca="false">M5/$O5*100</f>
        <v>5.92610384554859</v>
      </c>
      <c r="Z5" s="3" t="n">
        <f aca="false">N5/$O5*100</f>
        <v>0.13427946694054</v>
      </c>
    </row>
    <row r="6" customFormat="false" ht="15" hidden="false" customHeight="false" outlineLevel="0" collapsed="false">
      <c r="A6" s="16" t="s">
        <v>139</v>
      </c>
      <c r="B6" s="16" t="s">
        <v>71</v>
      </c>
      <c r="C6" s="16" t="s">
        <v>253</v>
      </c>
      <c r="D6" s="18" t="n">
        <v>57.798</v>
      </c>
      <c r="E6" s="18" t="n">
        <v>0.2268</v>
      </c>
      <c r="F6" s="18" t="n">
        <v>18.1415</v>
      </c>
      <c r="G6" s="18" t="n">
        <v>0</v>
      </c>
      <c r="H6" s="18" t="n">
        <v>5.4205</v>
      </c>
      <c r="I6" s="18" t="n">
        <v>0.2875</v>
      </c>
      <c r="J6" s="18" t="n">
        <v>0.2697</v>
      </c>
      <c r="K6" s="18" t="n">
        <v>1.1407</v>
      </c>
      <c r="L6" s="18" t="n">
        <v>7.4033</v>
      </c>
      <c r="M6" s="18" t="n">
        <v>5.7487</v>
      </c>
      <c r="N6" s="18" t="n">
        <v>0.1856</v>
      </c>
      <c r="O6" s="18" t="n">
        <f aca="false">SUM(D6:N6)</f>
        <v>96.6223</v>
      </c>
      <c r="P6" s="3" t="n">
        <f aca="false">D6/$O6*100</f>
        <v>59.818489106552</v>
      </c>
      <c r="Q6" s="3" t="n">
        <f aca="false">E6/$O6*100</f>
        <v>0.234728421906744</v>
      </c>
      <c r="R6" s="3" t="n">
        <f aca="false">F6/$O6*100</f>
        <v>18.7756863581182</v>
      </c>
      <c r="S6" s="3" t="n">
        <f aca="false">G6/$O6*100</f>
        <v>0</v>
      </c>
      <c r="T6" s="3" t="n">
        <f aca="false">H6/$O6*100</f>
        <v>5.60998858441581</v>
      </c>
      <c r="U6" s="3" t="n">
        <f aca="false">I6/$O6*100</f>
        <v>0.297550358457623</v>
      </c>
      <c r="V6" s="3" t="n">
        <f aca="false">J6/$O6*100</f>
        <v>0.279128110177464</v>
      </c>
      <c r="W6" s="3" t="n">
        <f aca="false">K6/$O6*100</f>
        <v>1.18057632658299</v>
      </c>
      <c r="X6" s="3" t="n">
        <f aca="false">L6/$O6*100</f>
        <v>7.66210284789329</v>
      </c>
      <c r="Y6" s="3" t="n">
        <f aca="false">M6/$O6*100</f>
        <v>5.94966172405335</v>
      </c>
      <c r="Z6" s="3" t="n">
        <f aca="false">N6/$O6*100</f>
        <v>0.192088161842556</v>
      </c>
    </row>
    <row r="7" customFormat="false" ht="15" hidden="false" customHeight="false" outlineLevel="0" collapsed="false">
      <c r="A7" s="16" t="s">
        <v>120</v>
      </c>
      <c r="B7" s="16" t="s">
        <v>71</v>
      </c>
      <c r="C7" s="16" t="s">
        <v>253</v>
      </c>
      <c r="D7" s="18" t="n">
        <v>57.4159</v>
      </c>
      <c r="E7" s="18" t="n">
        <v>0.2781</v>
      </c>
      <c r="F7" s="18" t="n">
        <v>18.0226</v>
      </c>
      <c r="G7" s="18" t="n">
        <v>0.0231</v>
      </c>
      <c r="H7" s="18" t="n">
        <v>5.3728</v>
      </c>
      <c r="I7" s="18" t="n">
        <v>0.266</v>
      </c>
      <c r="J7" s="18" t="n">
        <v>0.226</v>
      </c>
      <c r="K7" s="18" t="n">
        <v>1.4007</v>
      </c>
      <c r="L7" s="18" t="n">
        <v>7.1541</v>
      </c>
      <c r="M7" s="18" t="n">
        <v>5.7553</v>
      </c>
      <c r="N7" s="18" t="n">
        <v>0.1539</v>
      </c>
      <c r="O7" s="18" t="n">
        <f aca="false">SUM(D7:N7)</f>
        <v>96.0685</v>
      </c>
      <c r="P7" s="3" t="n">
        <f aca="false">D7/$O7*100</f>
        <v>59.7655839322983</v>
      </c>
      <c r="Q7" s="3" t="n">
        <f aca="false">E7/$O7*100</f>
        <v>0.28948094328526</v>
      </c>
      <c r="R7" s="3" t="n">
        <f aca="false">F7/$O7*100</f>
        <v>18.7601555140343</v>
      </c>
      <c r="S7" s="3" t="n">
        <f aca="false">G7/$O7*100</f>
        <v>0.0240453426461327</v>
      </c>
      <c r="T7" s="3" t="n">
        <f aca="false">H7/$O7*100</f>
        <v>5.59267605927021</v>
      </c>
      <c r="U7" s="3" t="n">
        <f aca="false">I7/$O7*100</f>
        <v>0.276885763803952</v>
      </c>
      <c r="V7" s="3" t="n">
        <f aca="false">J7/$O7*100</f>
        <v>0.235248806840952</v>
      </c>
      <c r="W7" s="3" t="n">
        <f aca="false">K7/$O7*100</f>
        <v>1.45802214045187</v>
      </c>
      <c r="X7" s="3" t="n">
        <f aca="false">L7/$O7*100</f>
        <v>7.44687384522502</v>
      </c>
      <c r="Y7" s="3" t="n">
        <f aca="false">M7/$O7*100</f>
        <v>5.9908294602289</v>
      </c>
      <c r="Z7" s="3" t="n">
        <f aca="false">N7/$O7*100</f>
        <v>0.160198191915144</v>
      </c>
    </row>
    <row r="8" customFormat="false" ht="15" hidden="false" customHeight="false" outlineLevel="0" collapsed="false">
      <c r="A8" s="16" t="s">
        <v>183</v>
      </c>
      <c r="B8" s="16" t="s">
        <v>71</v>
      </c>
      <c r="C8" s="16" t="s">
        <v>253</v>
      </c>
      <c r="D8" s="18" t="n">
        <v>57.091</v>
      </c>
      <c r="E8" s="18" t="n">
        <v>0.2455</v>
      </c>
      <c r="F8" s="18" t="n">
        <v>17.8195</v>
      </c>
      <c r="G8" s="18" t="n">
        <v>0.0508</v>
      </c>
      <c r="H8" s="18" t="n">
        <v>5.2921</v>
      </c>
      <c r="I8" s="18" t="n">
        <v>0.2699</v>
      </c>
      <c r="J8" s="18" t="n">
        <v>0.249</v>
      </c>
      <c r="K8" s="18" t="n">
        <v>1.3153</v>
      </c>
      <c r="L8" s="18" t="n">
        <v>7.329</v>
      </c>
      <c r="M8" s="18" t="n">
        <v>5.7616</v>
      </c>
      <c r="N8" s="18" t="n">
        <v>0.1892</v>
      </c>
      <c r="O8" s="18" t="n">
        <f aca="false">SUM(D8:N8)</f>
        <v>95.6129</v>
      </c>
      <c r="P8" s="3" t="n">
        <f aca="false">D8/$O8*100</f>
        <v>59.7105620685075</v>
      </c>
      <c r="Q8" s="3" t="n">
        <f aca="false">E8/$O8*100</f>
        <v>0.256764516085173</v>
      </c>
      <c r="R8" s="3" t="n">
        <f aca="false">F8/$O8*100</f>
        <v>18.6371295086751</v>
      </c>
      <c r="S8" s="3" t="n">
        <f aca="false">G8/$O8*100</f>
        <v>0.0531309059760765</v>
      </c>
      <c r="T8" s="3" t="n">
        <f aca="false">H8/$O8*100</f>
        <v>5.53492258889752</v>
      </c>
      <c r="U8" s="3" t="n">
        <f aca="false">I8/$O8*100</f>
        <v>0.282284085097304</v>
      </c>
      <c r="V8" s="3" t="n">
        <f aca="false">J8/$O8*100</f>
        <v>0.260425110000847</v>
      </c>
      <c r="W8" s="3" t="n">
        <f aca="false">K8/$O8*100</f>
        <v>1.3756511935105</v>
      </c>
      <c r="X8" s="3" t="n">
        <f aca="false">L8/$O8*100</f>
        <v>7.66528365942253</v>
      </c>
      <c r="Y8" s="3" t="n">
        <f aca="false">M8/$O8*100</f>
        <v>6.02596511558587</v>
      </c>
      <c r="Z8" s="3" t="n">
        <f aca="false">N8/$O8*100</f>
        <v>0.197881248241608</v>
      </c>
    </row>
    <row r="9" customFormat="false" ht="15" hidden="false" customHeight="false" outlineLevel="0" collapsed="false">
      <c r="A9" s="16" t="s">
        <v>105</v>
      </c>
      <c r="B9" s="16" t="s">
        <v>71</v>
      </c>
      <c r="C9" s="16" t="s">
        <v>253</v>
      </c>
      <c r="D9" s="18" t="n">
        <v>57.0684</v>
      </c>
      <c r="E9" s="18" t="n">
        <v>0.2367</v>
      </c>
      <c r="F9" s="18" t="n">
        <v>17.774</v>
      </c>
      <c r="G9" s="18" t="n">
        <v>0</v>
      </c>
      <c r="H9" s="18" t="n">
        <v>5.4399</v>
      </c>
      <c r="I9" s="18" t="n">
        <v>0.2096</v>
      </c>
      <c r="J9" s="18" t="n">
        <v>0.2859</v>
      </c>
      <c r="K9" s="18" t="n">
        <v>1.3447</v>
      </c>
      <c r="L9" s="18" t="n">
        <v>7.3023</v>
      </c>
      <c r="M9" s="18" t="n">
        <v>5.7631</v>
      </c>
      <c r="N9" s="18" t="n">
        <v>0.1418</v>
      </c>
      <c r="O9" s="18" t="n">
        <f aca="false">SUM(D9:N9)</f>
        <v>95.5664</v>
      </c>
      <c r="P9" s="3" t="n">
        <f aca="false">D9/$O9*100</f>
        <v>59.7159671181503</v>
      </c>
      <c r="Q9" s="3" t="n">
        <f aca="false">E9/$O9*100</f>
        <v>0.247681193390145</v>
      </c>
      <c r="R9" s="3" t="n">
        <f aca="false">F9/$O9*100</f>
        <v>18.5985869510623</v>
      </c>
      <c r="S9" s="3" t="n">
        <f aca="false">G9/$O9*100</f>
        <v>0</v>
      </c>
      <c r="T9" s="3" t="n">
        <f aca="false">H9/$O9*100</f>
        <v>5.69227259790052</v>
      </c>
      <c r="U9" s="3" t="n">
        <f aca="false">I9/$O9*100</f>
        <v>0.219323946491654</v>
      </c>
      <c r="V9" s="3" t="n">
        <f aca="false">J9/$O9*100</f>
        <v>0.299163722814713</v>
      </c>
      <c r="W9" s="3" t="n">
        <f aca="false">K9/$O9*100</f>
        <v>1.4070844983174</v>
      </c>
      <c r="X9" s="3" t="n">
        <f aca="false">L9/$O9*100</f>
        <v>7.64107468733781</v>
      </c>
      <c r="Y9" s="3" t="n">
        <f aca="false">M9/$O9*100</f>
        <v>6.03046677493345</v>
      </c>
      <c r="Z9" s="3" t="n">
        <f aca="false">N9/$O9*100</f>
        <v>0.148378509601701</v>
      </c>
    </row>
    <row r="10" customFormat="false" ht="15" hidden="false" customHeight="false" outlineLevel="0" collapsed="false">
      <c r="A10" s="16" t="s">
        <v>147</v>
      </c>
      <c r="B10" s="16" t="s">
        <v>71</v>
      </c>
      <c r="C10" s="16" t="s">
        <v>253</v>
      </c>
      <c r="D10" s="18" t="n">
        <v>58.1397</v>
      </c>
      <c r="E10" s="18" t="n">
        <v>0.2302</v>
      </c>
      <c r="F10" s="18" t="n">
        <v>17.9903</v>
      </c>
      <c r="G10" s="18" t="n">
        <v>0</v>
      </c>
      <c r="H10" s="18" t="n">
        <v>5.3167</v>
      </c>
      <c r="I10" s="18" t="n">
        <v>0.1963</v>
      </c>
      <c r="J10" s="18" t="n">
        <v>0.2374</v>
      </c>
      <c r="K10" s="18" t="n">
        <v>1.4736</v>
      </c>
      <c r="L10" s="18" t="n">
        <v>7.2435</v>
      </c>
      <c r="M10" s="18" t="n">
        <v>5.7643</v>
      </c>
      <c r="N10" s="18" t="n">
        <v>0.1889</v>
      </c>
      <c r="O10" s="18" t="n">
        <f aca="false">SUM(D10:N10)</f>
        <v>96.7809</v>
      </c>
      <c r="P10" s="3" t="n">
        <f aca="false">D10/$O10*100</f>
        <v>60.0735269045855</v>
      </c>
      <c r="Q10" s="3" t="n">
        <f aca="false">E10/$O10*100</f>
        <v>0.237856849853638</v>
      </c>
      <c r="R10" s="3" t="n">
        <f aca="false">F10/$O10*100</f>
        <v>18.5886884705557</v>
      </c>
      <c r="S10" s="3" t="n">
        <f aca="false">G10/$O10*100</f>
        <v>0</v>
      </c>
      <c r="T10" s="3" t="n">
        <f aca="false">H10/$O10*100</f>
        <v>5.49354263082902</v>
      </c>
      <c r="U10" s="3" t="n">
        <f aca="false">I10/$O10*100</f>
        <v>0.202829277264419</v>
      </c>
      <c r="V10" s="3" t="n">
        <f aca="false">J10/$O10*100</f>
        <v>0.245296334297366</v>
      </c>
      <c r="W10" s="3" t="n">
        <f aca="false">K10/$O10*100</f>
        <v>1.52261448281634</v>
      </c>
      <c r="X10" s="3" t="n">
        <f aca="false">L10/$O10*100</f>
        <v>7.48443132890891</v>
      </c>
      <c r="Y10" s="3" t="n">
        <f aca="false">M10/$O10*100</f>
        <v>5.95603058041411</v>
      </c>
      <c r="Z10" s="3" t="n">
        <f aca="false">N10/$O10*100</f>
        <v>0.195183140475032</v>
      </c>
    </row>
    <row r="11" customFormat="false" ht="15" hidden="false" customHeight="false" outlineLevel="0" collapsed="false">
      <c r="A11" s="16" t="s">
        <v>143</v>
      </c>
      <c r="B11" s="16" t="s">
        <v>71</v>
      </c>
      <c r="C11" s="16" t="s">
        <v>253</v>
      </c>
      <c r="D11" s="18" t="n">
        <v>57.9519</v>
      </c>
      <c r="E11" s="18" t="n">
        <v>0.2308</v>
      </c>
      <c r="F11" s="18" t="n">
        <v>17.7054</v>
      </c>
      <c r="G11" s="18" t="n">
        <v>0</v>
      </c>
      <c r="H11" s="18" t="n">
        <v>5.1326</v>
      </c>
      <c r="I11" s="18" t="n">
        <v>0.2023</v>
      </c>
      <c r="J11" s="18" t="n">
        <v>0.2575</v>
      </c>
      <c r="K11" s="18" t="n">
        <v>1.1803</v>
      </c>
      <c r="L11" s="18" t="n">
        <v>7.4341</v>
      </c>
      <c r="M11" s="18" t="n">
        <v>5.7712</v>
      </c>
      <c r="N11" s="18" t="n">
        <v>0.1729</v>
      </c>
      <c r="O11" s="18" t="n">
        <f aca="false">SUM(D11:N11)</f>
        <v>96.039</v>
      </c>
      <c r="P11" s="3" t="n">
        <f aca="false">D11/$O11*100</f>
        <v>60.3420485427795</v>
      </c>
      <c r="Q11" s="3" t="n">
        <f aca="false">E11/$O11*100</f>
        <v>0.240319037057862</v>
      </c>
      <c r="R11" s="3" t="n">
        <f aca="false">F11/$O11*100</f>
        <v>18.4356355230688</v>
      </c>
      <c r="S11" s="3" t="n">
        <f aca="false">G11/$O11*100</f>
        <v>0</v>
      </c>
      <c r="T11" s="3" t="n">
        <f aca="false">H11/$O11*100</f>
        <v>5.34428721665157</v>
      </c>
      <c r="U11" s="3" t="n">
        <f aca="false">I11/$O11*100</f>
        <v>0.210643592707129</v>
      </c>
      <c r="V11" s="3" t="n">
        <f aca="false">J11/$O11*100</f>
        <v>0.268120242818022</v>
      </c>
      <c r="W11" s="3" t="n">
        <f aca="false">K11/$O11*100</f>
        <v>1.2289798935849</v>
      </c>
      <c r="X11" s="3" t="n">
        <f aca="false">L11/$O11*100</f>
        <v>7.7407095034309</v>
      </c>
      <c r="Y11" s="3" t="n">
        <f aca="false">M11/$O11*100</f>
        <v>6.00922541884026</v>
      </c>
      <c r="Z11" s="3" t="n">
        <f aca="false">N11/$O11*100</f>
        <v>0.180031029061111</v>
      </c>
    </row>
    <row r="12" customFormat="false" ht="15" hidden="false" customHeight="false" outlineLevel="0" collapsed="false">
      <c r="A12" s="16" t="s">
        <v>103</v>
      </c>
      <c r="B12" s="16" t="s">
        <v>71</v>
      </c>
      <c r="C12" s="16" t="s">
        <v>253</v>
      </c>
      <c r="D12" s="18" t="n">
        <v>57.5168</v>
      </c>
      <c r="E12" s="18" t="n">
        <v>0.2257</v>
      </c>
      <c r="F12" s="18" t="n">
        <v>17.7939</v>
      </c>
      <c r="G12" s="18" t="n">
        <v>0</v>
      </c>
      <c r="H12" s="18" t="n">
        <v>5.2052</v>
      </c>
      <c r="I12" s="18" t="n">
        <v>0.2507</v>
      </c>
      <c r="J12" s="18" t="n">
        <v>0.2871</v>
      </c>
      <c r="K12" s="18" t="n">
        <v>1.0468</v>
      </c>
      <c r="L12" s="18" t="n">
        <v>7.2784</v>
      </c>
      <c r="M12" s="18" t="n">
        <v>5.7786</v>
      </c>
      <c r="N12" s="18" t="n">
        <v>0.1656</v>
      </c>
      <c r="O12" s="18" t="n">
        <f aca="false">SUM(D12:N12)</f>
        <v>95.5488</v>
      </c>
      <c r="P12" s="3" t="n">
        <f aca="false">D12/$O12*100</f>
        <v>60.1962557352892</v>
      </c>
      <c r="Q12" s="3" t="n">
        <f aca="false">E12/$O12*100</f>
        <v>0.236214374225527</v>
      </c>
      <c r="R12" s="3" t="n">
        <f aca="false">F12/$O12*100</f>
        <v>18.6228398472822</v>
      </c>
      <c r="S12" s="3" t="n">
        <f aca="false">G12/$O12*100</f>
        <v>0</v>
      </c>
      <c r="T12" s="3" t="n">
        <f aca="false">H12/$O12*100</f>
        <v>5.44768746441609</v>
      </c>
      <c r="U12" s="3" t="n">
        <f aca="false">I12/$O12*100</f>
        <v>0.262379014702435</v>
      </c>
      <c r="V12" s="3" t="n">
        <f aca="false">J12/$O12*100</f>
        <v>0.300474731236813</v>
      </c>
      <c r="W12" s="3" t="n">
        <f aca="false">K12/$O12*100</f>
        <v>1.0955658260491</v>
      </c>
      <c r="X12" s="3" t="n">
        <f aca="false">L12/$O12*100</f>
        <v>7.61746876988513</v>
      </c>
      <c r="Y12" s="3" t="n">
        <f aca="false">M12/$O12*100</f>
        <v>6.04779965839445</v>
      </c>
      <c r="Z12" s="3" t="n">
        <f aca="false">N12/$O12*100</f>
        <v>0.173314578519039</v>
      </c>
    </row>
    <row r="13" customFormat="false" ht="15" hidden="false" customHeight="false" outlineLevel="0" collapsed="false">
      <c r="A13" s="16" t="s">
        <v>155</v>
      </c>
      <c r="B13" s="16" t="s">
        <v>71</v>
      </c>
      <c r="C13" s="16" t="s">
        <v>253</v>
      </c>
      <c r="D13" s="18" t="n">
        <v>57.4078</v>
      </c>
      <c r="E13" s="18" t="n">
        <v>0.2352</v>
      </c>
      <c r="F13" s="18" t="n">
        <v>17.902</v>
      </c>
      <c r="G13" s="18" t="n">
        <v>0.0416</v>
      </c>
      <c r="H13" s="18" t="n">
        <v>5.3179</v>
      </c>
      <c r="I13" s="18" t="n">
        <v>0.2429</v>
      </c>
      <c r="J13" s="18" t="n">
        <v>0.284</v>
      </c>
      <c r="K13" s="18" t="n">
        <v>1.2644</v>
      </c>
      <c r="L13" s="18" t="n">
        <v>7.3085</v>
      </c>
      <c r="M13" s="18" t="n">
        <v>5.7796</v>
      </c>
      <c r="N13" s="18" t="n">
        <v>0.1773</v>
      </c>
      <c r="O13" s="18" t="n">
        <f aca="false">SUM(D13:N13)</f>
        <v>95.9612</v>
      </c>
      <c r="P13" s="3" t="n">
        <f aca="false">D13/$O13*100</f>
        <v>59.8239705214191</v>
      </c>
      <c r="Q13" s="3" t="n">
        <f aca="false">E13/$O13*100</f>
        <v>0.245099060870435</v>
      </c>
      <c r="R13" s="3" t="n">
        <f aca="false">F13/$O13*100</f>
        <v>18.6554565803679</v>
      </c>
      <c r="S13" s="3" t="n">
        <f aca="false">G13/$O13*100</f>
        <v>0.0433508543036144</v>
      </c>
      <c r="T13" s="3" t="n">
        <f aca="false">H13/$O13*100</f>
        <v>5.54171894474017</v>
      </c>
      <c r="U13" s="3" t="n">
        <f aca="false">I13/$O13*100</f>
        <v>0.253123137267979</v>
      </c>
      <c r="V13" s="3" t="n">
        <f aca="false">J13/$O13*100</f>
        <v>0.295952947649675</v>
      </c>
      <c r="W13" s="3" t="n">
        <f aca="false">K13/$O13*100</f>
        <v>1.31761586974736</v>
      </c>
      <c r="X13" s="3" t="n">
        <f aca="false">L13/$O13*100</f>
        <v>7.61609900668187</v>
      </c>
      <c r="Y13" s="3" t="n">
        <f aca="false">M13/$O13*100</f>
        <v>6.02285090223965</v>
      </c>
      <c r="Z13" s="3" t="n">
        <f aca="false">N13/$O13*100</f>
        <v>0.18476217471228</v>
      </c>
    </row>
    <row r="14" customFormat="false" ht="15" hidden="false" customHeight="false" outlineLevel="0" collapsed="false">
      <c r="A14" s="16" t="s">
        <v>135</v>
      </c>
      <c r="B14" s="16" t="s">
        <v>71</v>
      </c>
      <c r="C14" s="16" t="s">
        <v>253</v>
      </c>
      <c r="D14" s="18" t="n">
        <v>57.7815</v>
      </c>
      <c r="E14" s="18" t="n">
        <v>0.2016</v>
      </c>
      <c r="F14" s="18" t="n">
        <v>17.6528</v>
      </c>
      <c r="G14" s="18" t="n">
        <v>0</v>
      </c>
      <c r="H14" s="18" t="n">
        <v>5.4213</v>
      </c>
      <c r="I14" s="18" t="n">
        <v>0.2766</v>
      </c>
      <c r="J14" s="18" t="n">
        <v>0.2738</v>
      </c>
      <c r="K14" s="18" t="n">
        <v>1.2896</v>
      </c>
      <c r="L14" s="18" t="n">
        <v>7.2171</v>
      </c>
      <c r="M14" s="18" t="n">
        <v>5.7838</v>
      </c>
      <c r="N14" s="18" t="n">
        <v>0.1598</v>
      </c>
      <c r="O14" s="18" t="n">
        <f aca="false">SUM(D14:N14)</f>
        <v>96.0579</v>
      </c>
      <c r="P14" s="3" t="n">
        <f aca="false">D14/$O14*100</f>
        <v>60.1527828528419</v>
      </c>
      <c r="Q14" s="3" t="n">
        <f aca="false">E14/$O14*100</f>
        <v>0.209873420093506</v>
      </c>
      <c r="R14" s="3" t="n">
        <f aca="false">F14/$O14*100</f>
        <v>18.3772495546957</v>
      </c>
      <c r="S14" s="3" t="n">
        <f aca="false">G14/$O14*100</f>
        <v>0</v>
      </c>
      <c r="T14" s="3" t="n">
        <f aca="false">H14/$O14*100</f>
        <v>5.64378359302046</v>
      </c>
      <c r="U14" s="3" t="n">
        <f aca="false">I14/$O14*100</f>
        <v>0.287951329354483</v>
      </c>
      <c r="V14" s="3" t="n">
        <f aca="false">J14/$O14*100</f>
        <v>0.285036420742073</v>
      </c>
      <c r="W14" s="3" t="n">
        <f aca="false">K14/$O14*100</f>
        <v>1.34252362377275</v>
      </c>
      <c r="X14" s="3" t="n">
        <f aca="false">L14/$O14*100</f>
        <v>7.51328105236529</v>
      </c>
      <c r="Y14" s="3" t="n">
        <f aca="false">M14/$O14*100</f>
        <v>6.02116015444851</v>
      </c>
      <c r="Z14" s="3" t="n">
        <f aca="false">N14/$O14*100</f>
        <v>0.166357998665388</v>
      </c>
    </row>
    <row r="15" customFormat="false" ht="15" hidden="false" customHeight="false" outlineLevel="0" collapsed="false">
      <c r="A15" s="16" t="s">
        <v>140</v>
      </c>
      <c r="B15" s="16" t="s">
        <v>71</v>
      </c>
      <c r="C15" s="16" t="s">
        <v>253</v>
      </c>
      <c r="D15" s="18" t="n">
        <v>57.4402</v>
      </c>
      <c r="E15" s="18" t="n">
        <v>0.2205</v>
      </c>
      <c r="F15" s="18" t="n">
        <v>17.9969</v>
      </c>
      <c r="G15" s="18" t="n">
        <v>0</v>
      </c>
      <c r="H15" s="18" t="n">
        <v>5.5095</v>
      </c>
      <c r="I15" s="18" t="n">
        <v>0.2709</v>
      </c>
      <c r="J15" s="18" t="n">
        <v>0.2907</v>
      </c>
      <c r="K15" s="18" t="n">
        <v>1.2681</v>
      </c>
      <c r="L15" s="18" t="n">
        <v>7.3537</v>
      </c>
      <c r="M15" s="18" t="n">
        <v>5.7978</v>
      </c>
      <c r="N15" s="18" t="n">
        <v>0.1828</v>
      </c>
      <c r="O15" s="18" t="n">
        <f aca="false">SUM(D15:N15)</f>
        <v>96.3311</v>
      </c>
      <c r="P15" s="3" t="n">
        <f aca="false">D15/$O15*100</f>
        <v>59.6278875669436</v>
      </c>
      <c r="Q15" s="3" t="n">
        <f aca="false">E15/$O15*100</f>
        <v>0.22889804019678</v>
      </c>
      <c r="R15" s="3" t="n">
        <f aca="false">F15/$O15*100</f>
        <v>18.6823362340926</v>
      </c>
      <c r="S15" s="3" t="n">
        <f aca="false">G15/$O15*100</f>
        <v>0</v>
      </c>
      <c r="T15" s="3" t="n">
        <f aca="false">H15/$O15*100</f>
        <v>5.7193367458692</v>
      </c>
      <c r="U15" s="3" t="n">
        <f aca="false">I15/$O15*100</f>
        <v>0.281217592241758</v>
      </c>
      <c r="V15" s="3" t="n">
        <f aca="false">J15/$O15*100</f>
        <v>0.301771701973714</v>
      </c>
      <c r="W15" s="3" t="n">
        <f aca="false">K15/$O15*100</f>
        <v>1.31639730056026</v>
      </c>
      <c r="X15" s="3" t="n">
        <f aca="false">L15/$O15*100</f>
        <v>7.63377559272135</v>
      </c>
      <c r="Y15" s="3" t="n">
        <f aca="false">M15/$O15*100</f>
        <v>6.01861704060267</v>
      </c>
      <c r="Z15" s="3" t="n">
        <f aca="false">N15/$O15*100</f>
        <v>0.189762184798056</v>
      </c>
    </row>
    <row r="16" customFormat="false" ht="15" hidden="false" customHeight="false" outlineLevel="0" collapsed="false">
      <c r="A16" s="16" t="s">
        <v>113</v>
      </c>
      <c r="B16" s="16" t="s">
        <v>71</v>
      </c>
      <c r="C16" s="16" t="s">
        <v>253</v>
      </c>
      <c r="D16" s="18" t="n">
        <v>56.9472</v>
      </c>
      <c r="E16" s="18" t="n">
        <v>0.2194</v>
      </c>
      <c r="F16" s="18" t="n">
        <v>17.8963</v>
      </c>
      <c r="G16" s="18" t="n">
        <v>0.0046</v>
      </c>
      <c r="H16" s="18" t="n">
        <v>5.1858</v>
      </c>
      <c r="I16" s="18" t="n">
        <v>0.2345</v>
      </c>
      <c r="J16" s="18" t="n">
        <v>0.2887</v>
      </c>
      <c r="K16" s="18" t="n">
        <v>1.167</v>
      </c>
      <c r="L16" s="18" t="n">
        <v>7.2411</v>
      </c>
      <c r="M16" s="18" t="n">
        <v>5.8133</v>
      </c>
      <c r="N16" s="18" t="n">
        <v>0.1714</v>
      </c>
      <c r="O16" s="18" t="n">
        <f aca="false">SUM(D16:N16)</f>
        <v>95.1693</v>
      </c>
      <c r="P16" s="3" t="n">
        <f aca="false">D16/$O16*100</f>
        <v>59.8377838231446</v>
      </c>
      <c r="Q16" s="3" t="n">
        <f aca="false">E16/$O16*100</f>
        <v>0.230536528061045</v>
      </c>
      <c r="R16" s="3" t="n">
        <f aca="false">F16/$O16*100</f>
        <v>18.8046985740149</v>
      </c>
      <c r="S16" s="3" t="n">
        <f aca="false">G16/$O16*100</f>
        <v>0.00483349147256521</v>
      </c>
      <c r="T16" s="3" t="n">
        <f aca="false">H16/$O16*100</f>
        <v>5.44902610400623</v>
      </c>
      <c r="U16" s="3" t="n">
        <f aca="false">I16/$O16*100</f>
        <v>0.246402989199248</v>
      </c>
      <c r="V16" s="3" t="n">
        <f aca="false">J16/$O16*100</f>
        <v>0.303354127854256</v>
      </c>
      <c r="W16" s="3" t="n">
        <f aca="false">K16/$O16*100</f>
        <v>1.22623577140948</v>
      </c>
      <c r="X16" s="3" t="n">
        <f aca="false">L16/$O16*100</f>
        <v>7.60865110912868</v>
      </c>
      <c r="Y16" s="3" t="n">
        <f aca="false">M16/$O16*100</f>
        <v>6.10837738640507</v>
      </c>
      <c r="Z16" s="3" t="n">
        <f aca="false">N16/$O16*100</f>
        <v>0.180100095303843</v>
      </c>
    </row>
    <row r="17" customFormat="false" ht="15" hidden="false" customHeight="false" outlineLevel="0" collapsed="false">
      <c r="A17" s="16" t="s">
        <v>154</v>
      </c>
      <c r="B17" s="16" t="s">
        <v>71</v>
      </c>
      <c r="C17" s="16" t="s">
        <v>253</v>
      </c>
      <c r="D17" s="18" t="n">
        <v>57.5516</v>
      </c>
      <c r="E17" s="18" t="n">
        <v>0.2065</v>
      </c>
      <c r="F17" s="18" t="n">
        <v>17.9178</v>
      </c>
      <c r="G17" s="18" t="n">
        <v>0</v>
      </c>
      <c r="H17" s="18" t="n">
        <v>5.283</v>
      </c>
      <c r="I17" s="18" t="n">
        <v>0.2158</v>
      </c>
      <c r="J17" s="18" t="n">
        <v>0.264</v>
      </c>
      <c r="K17" s="18" t="n">
        <v>1.4162</v>
      </c>
      <c r="L17" s="18" t="n">
        <v>7.3686</v>
      </c>
      <c r="M17" s="18" t="n">
        <v>5.8156</v>
      </c>
      <c r="N17" s="18" t="n">
        <v>0.23</v>
      </c>
      <c r="O17" s="18" t="n">
        <f aca="false">SUM(D17:N17)</f>
        <v>96.2691</v>
      </c>
      <c r="P17" s="3" t="n">
        <f aca="false">D17/$O17*100</f>
        <v>59.7820068952551</v>
      </c>
      <c r="Q17" s="3" t="n">
        <f aca="false">E17/$O17*100</f>
        <v>0.214502888258018</v>
      </c>
      <c r="R17" s="3" t="n">
        <f aca="false">F17/$O17*100</f>
        <v>18.6122026693924</v>
      </c>
      <c r="S17" s="3" t="n">
        <f aca="false">G17/$O17*100</f>
        <v>0</v>
      </c>
      <c r="T17" s="3" t="n">
        <f aca="false">H17/$O17*100</f>
        <v>5.48774217272209</v>
      </c>
      <c r="U17" s="3" t="n">
        <f aca="false">I17/$O17*100</f>
        <v>0.22416330889143</v>
      </c>
      <c r="V17" s="3" t="n">
        <f aca="false">J17/$O17*100</f>
        <v>0.274231295400082</v>
      </c>
      <c r="W17" s="3" t="n">
        <f aca="false">K17/$O17*100</f>
        <v>1.47108469903635</v>
      </c>
      <c r="X17" s="3" t="n">
        <f aca="false">L17/$O17*100</f>
        <v>7.65416940638273</v>
      </c>
      <c r="Y17" s="3" t="n">
        <f aca="false">M17/$O17*100</f>
        <v>6.04098303609362</v>
      </c>
      <c r="Z17" s="3" t="n">
        <f aca="false">N17/$O17*100</f>
        <v>0.238913628568253</v>
      </c>
    </row>
    <row r="18" customFormat="false" ht="15" hidden="false" customHeight="false" outlineLevel="0" collapsed="false">
      <c r="A18" s="16" t="s">
        <v>185</v>
      </c>
      <c r="B18" s="16" t="s">
        <v>71</v>
      </c>
      <c r="C18" s="16" t="s">
        <v>253</v>
      </c>
      <c r="D18" s="18" t="n">
        <v>57.5017</v>
      </c>
      <c r="E18" s="18" t="n">
        <v>0.2486</v>
      </c>
      <c r="F18" s="18" t="n">
        <v>17.9135</v>
      </c>
      <c r="G18" s="18" t="n">
        <v>0.0185</v>
      </c>
      <c r="H18" s="18" t="n">
        <v>5.2333</v>
      </c>
      <c r="I18" s="18" t="n">
        <v>0.2025</v>
      </c>
      <c r="J18" s="18" t="n">
        <v>0.2676</v>
      </c>
      <c r="K18" s="18" t="n">
        <v>1.3015</v>
      </c>
      <c r="L18" s="18" t="n">
        <v>7.2152</v>
      </c>
      <c r="M18" s="18" t="n">
        <v>5.8255</v>
      </c>
      <c r="N18" s="18" t="n">
        <v>0.2718</v>
      </c>
      <c r="O18" s="18" t="n">
        <f aca="false">SUM(D18:N18)</f>
        <v>95.9997</v>
      </c>
      <c r="P18" s="3" t="n">
        <f aca="false">D18/$O18*100</f>
        <v>59.8977913472646</v>
      </c>
      <c r="Q18" s="3" t="n">
        <f aca="false">E18/$O18*100</f>
        <v>0.258959142580654</v>
      </c>
      <c r="R18" s="3" t="n">
        <f aca="false">F18/$O18*100</f>
        <v>18.65995414569</v>
      </c>
      <c r="S18" s="3" t="n">
        <f aca="false">G18/$O18*100</f>
        <v>0.0192708935548757</v>
      </c>
      <c r="T18" s="3" t="n">
        <f aca="false">H18/$O18*100</f>
        <v>5.45137120220167</v>
      </c>
      <c r="U18" s="3" t="n">
        <f aca="false">I18/$O18*100</f>
        <v>0.210938159181747</v>
      </c>
      <c r="V18" s="3" t="n">
        <f aca="false">J18/$O18*100</f>
        <v>0.278750871096472</v>
      </c>
      <c r="W18" s="3" t="n">
        <f aca="false">K18/$O18*100</f>
        <v>1.35573340333355</v>
      </c>
      <c r="X18" s="3" t="n">
        <f aca="false">L18/$O18*100</f>
        <v>7.5158568203859</v>
      </c>
      <c r="Y18" s="3" t="n">
        <f aca="false">M18/$O18*100</f>
        <v>6.06824812994207</v>
      </c>
      <c r="Z18" s="3" t="n">
        <f aca="false">N18/$O18*100</f>
        <v>0.28312588476839</v>
      </c>
    </row>
    <row r="19" customFormat="false" ht="15" hidden="false" customHeight="false" outlineLevel="0" collapsed="false">
      <c r="A19" s="16" t="s">
        <v>134</v>
      </c>
      <c r="B19" s="16" t="s">
        <v>71</v>
      </c>
      <c r="C19" s="16" t="s">
        <v>253</v>
      </c>
      <c r="D19" s="18" t="n">
        <v>57.524</v>
      </c>
      <c r="E19" s="18" t="n">
        <v>0.2112</v>
      </c>
      <c r="F19" s="18" t="n">
        <v>17.9019</v>
      </c>
      <c r="G19" s="18" t="n">
        <v>0</v>
      </c>
      <c r="H19" s="18" t="n">
        <v>5.405</v>
      </c>
      <c r="I19" s="18" t="n">
        <v>0.1993</v>
      </c>
      <c r="J19" s="18" t="n">
        <v>0.3131</v>
      </c>
      <c r="K19" s="18" t="n">
        <v>1.5255</v>
      </c>
      <c r="L19" s="18" t="n">
        <v>7.4668</v>
      </c>
      <c r="M19" s="18" t="n">
        <v>5.8365</v>
      </c>
      <c r="N19" s="18" t="n">
        <v>0.213</v>
      </c>
      <c r="O19" s="18" t="n">
        <f aca="false">SUM(D19:N19)</f>
        <v>96.5963</v>
      </c>
      <c r="P19" s="3" t="n">
        <f aca="false">D19/$O19*100</f>
        <v>59.5509351807471</v>
      </c>
      <c r="Q19" s="3" t="n">
        <f aca="false">E19/$O19*100</f>
        <v>0.218641914855952</v>
      </c>
      <c r="R19" s="3" t="n">
        <f aca="false">F19/$O19*100</f>
        <v>18.532697422158</v>
      </c>
      <c r="S19" s="3" t="n">
        <f aca="false">G19/$O19*100</f>
        <v>0</v>
      </c>
      <c r="T19" s="3" t="n">
        <f aca="false">H19/$O19*100</f>
        <v>5.59545241380881</v>
      </c>
      <c r="U19" s="3" t="n">
        <f aca="false">I19/$O19*100</f>
        <v>0.206322602418519</v>
      </c>
      <c r="V19" s="3" t="n">
        <f aca="false">J19/$O19*100</f>
        <v>0.324132497828592</v>
      </c>
      <c r="W19" s="3" t="n">
        <f aca="false">K19/$O19*100</f>
        <v>1.57925303557176</v>
      </c>
      <c r="X19" s="3" t="n">
        <f aca="false">L19/$O19*100</f>
        <v>7.72990269813647</v>
      </c>
      <c r="Y19" s="3" t="n">
        <f aca="false">M19/$O19*100</f>
        <v>6.04215689420816</v>
      </c>
      <c r="Z19" s="3" t="n">
        <f aca="false">N19/$O19*100</f>
        <v>0.220505340266656</v>
      </c>
    </row>
    <row r="20" customFormat="false" ht="15" hidden="false" customHeight="false" outlineLevel="0" collapsed="false">
      <c r="A20" s="16" t="s">
        <v>133</v>
      </c>
      <c r="B20" s="16" t="s">
        <v>71</v>
      </c>
      <c r="C20" s="16" t="s">
        <v>253</v>
      </c>
      <c r="D20" s="18" t="n">
        <v>57.6462</v>
      </c>
      <c r="E20" s="18" t="n">
        <v>0.24</v>
      </c>
      <c r="F20" s="18" t="n">
        <v>17.9825</v>
      </c>
      <c r="G20" s="18" t="n">
        <v>0</v>
      </c>
      <c r="H20" s="18" t="n">
        <v>5.4165</v>
      </c>
      <c r="I20" s="18" t="n">
        <v>0.1894</v>
      </c>
      <c r="J20" s="18" t="n">
        <v>0.2689</v>
      </c>
      <c r="K20" s="18" t="n">
        <v>1.5649</v>
      </c>
      <c r="L20" s="18" t="n">
        <v>7.2626</v>
      </c>
      <c r="M20" s="18" t="n">
        <v>5.8434</v>
      </c>
      <c r="N20" s="18" t="n">
        <v>0.1897</v>
      </c>
      <c r="O20" s="18" t="n">
        <f aca="false">SUM(D20:N20)</f>
        <v>96.6041</v>
      </c>
      <c r="P20" s="3" t="n">
        <f aca="false">D20/$O20*100</f>
        <v>59.6726225905526</v>
      </c>
      <c r="Q20" s="3" t="n">
        <f aca="false">E20/$O20*100</f>
        <v>0.248436660555815</v>
      </c>
      <c r="R20" s="3" t="n">
        <f aca="false">F20/$O20*100</f>
        <v>18.6146343685206</v>
      </c>
      <c r="S20" s="3" t="n">
        <f aca="false">G20/$O20*100</f>
        <v>0</v>
      </c>
      <c r="T20" s="3" t="n">
        <f aca="false">H20/$O20*100</f>
        <v>5.60690488291905</v>
      </c>
      <c r="U20" s="3" t="n">
        <f aca="false">I20/$O20*100</f>
        <v>0.196057931288631</v>
      </c>
      <c r="V20" s="3" t="n">
        <f aca="false">J20/$O20*100</f>
        <v>0.278352575097744</v>
      </c>
      <c r="W20" s="3" t="n">
        <f aca="false">K20/$O20*100</f>
        <v>1.61991054209914</v>
      </c>
      <c r="X20" s="3" t="n">
        <f aca="false">L20/$O20*100</f>
        <v>7.51790037896942</v>
      </c>
      <c r="Y20" s="3" t="n">
        <f aca="false">M20/$O20*100</f>
        <v>6.0488115928827</v>
      </c>
      <c r="Z20" s="3" t="n">
        <f aca="false">N20/$O20*100</f>
        <v>0.196368477114325</v>
      </c>
    </row>
    <row r="21" customFormat="false" ht="15" hidden="false" customHeight="false" outlineLevel="0" collapsed="false">
      <c r="A21" s="16" t="s">
        <v>131</v>
      </c>
      <c r="B21" s="16" t="s">
        <v>71</v>
      </c>
      <c r="C21" s="16" t="s">
        <v>253</v>
      </c>
      <c r="D21" s="18" t="n">
        <v>57.7013</v>
      </c>
      <c r="E21" s="18" t="n">
        <v>0.2571</v>
      </c>
      <c r="F21" s="18" t="n">
        <v>17.8399</v>
      </c>
      <c r="G21" s="18" t="n">
        <v>0.0046</v>
      </c>
      <c r="H21" s="18" t="n">
        <v>5.1957</v>
      </c>
      <c r="I21" s="18" t="n">
        <v>0.271</v>
      </c>
      <c r="J21" s="18" t="n">
        <v>0.2963</v>
      </c>
      <c r="K21" s="18" t="n">
        <v>1.4823</v>
      </c>
      <c r="L21" s="18" t="n">
        <v>7.1565</v>
      </c>
      <c r="M21" s="18" t="n">
        <v>5.8577</v>
      </c>
      <c r="N21" s="18" t="n">
        <v>0.4141</v>
      </c>
      <c r="O21" s="18" t="n">
        <f aca="false">SUM(D21:N21)</f>
        <v>96.4765</v>
      </c>
      <c r="P21" s="3" t="n">
        <f aca="false">D21/$O21*100</f>
        <v>59.8086580669904</v>
      </c>
      <c r="Q21" s="3" t="n">
        <f aca="false">E21/$O21*100</f>
        <v>0.266489766938063</v>
      </c>
      <c r="R21" s="3" t="n">
        <f aca="false">F21/$O21*100</f>
        <v>18.4914461034552</v>
      </c>
      <c r="S21" s="3" t="n">
        <f aca="false">G21/$O21*100</f>
        <v>0.00476800049753049</v>
      </c>
      <c r="T21" s="3" t="n">
        <f aca="false">H21/$O21*100</f>
        <v>5.38545656196069</v>
      </c>
      <c r="U21" s="3" t="n">
        <f aca="false">I21/$O21*100</f>
        <v>0.280897420615383</v>
      </c>
      <c r="V21" s="3" t="n">
        <f aca="false">J21/$O21*100</f>
        <v>0.307121423351801</v>
      </c>
      <c r="W21" s="3" t="n">
        <f aca="false">K21/$O21*100</f>
        <v>1.53643633423683</v>
      </c>
      <c r="X21" s="3" t="n">
        <f aca="false">L21/$O21*100</f>
        <v>7.41786860012542</v>
      </c>
      <c r="Y21" s="3" t="n">
        <f aca="false">M21/$O21*100</f>
        <v>6.07163402486616</v>
      </c>
      <c r="Z21" s="3" t="n">
        <f aca="false">N21/$O21*100</f>
        <v>0.429223696962473</v>
      </c>
    </row>
    <row r="22" customFormat="false" ht="15" hidden="false" customHeight="false" outlineLevel="0" collapsed="false">
      <c r="A22" s="16" t="s">
        <v>101</v>
      </c>
      <c r="B22" s="16" t="s">
        <v>71</v>
      </c>
      <c r="C22" s="16" t="s">
        <v>253</v>
      </c>
      <c r="D22" s="18" t="n">
        <v>59.9652</v>
      </c>
      <c r="E22" s="18" t="n">
        <v>0.2607</v>
      </c>
      <c r="F22" s="18" t="n">
        <v>18.7904</v>
      </c>
      <c r="G22" s="18" t="n">
        <v>0</v>
      </c>
      <c r="H22" s="18" t="n">
        <v>5.6699</v>
      </c>
      <c r="I22" s="18" t="n">
        <v>0.2013</v>
      </c>
      <c r="J22" s="18" t="n">
        <v>0.2695</v>
      </c>
      <c r="K22" s="18" t="n">
        <v>1.3364</v>
      </c>
      <c r="L22" s="18" t="n">
        <v>7.6811</v>
      </c>
      <c r="M22" s="18" t="n">
        <v>5.8735</v>
      </c>
      <c r="N22" s="18" t="n">
        <v>0.0716</v>
      </c>
      <c r="O22" s="18" t="n">
        <f aca="false">SUM(D22:N22)</f>
        <v>100.1196</v>
      </c>
      <c r="P22" s="3" t="n">
        <f aca="false">D22/$O22*100</f>
        <v>59.893567293517</v>
      </c>
      <c r="Q22" s="3" t="n">
        <f aca="false">E22/$O22*100</f>
        <v>0.260388575263984</v>
      </c>
      <c r="R22" s="3" t="n">
        <f aca="false">F22/$O22*100</f>
        <v>18.767953527581</v>
      </c>
      <c r="S22" s="3" t="n">
        <f aca="false">G22/$O22*100</f>
        <v>0</v>
      </c>
      <c r="T22" s="3" t="n">
        <f aca="false">H22/$O22*100</f>
        <v>5.66312690022733</v>
      </c>
      <c r="U22" s="3" t="n">
        <f aca="false">I22/$O22*100</f>
        <v>0.201059532798773</v>
      </c>
      <c r="V22" s="3" t="n">
        <f aca="false">J22/$O22*100</f>
        <v>0.269178063036608</v>
      </c>
      <c r="W22" s="3" t="n">
        <f aca="false">K22/$O22*100</f>
        <v>1.33480357492439</v>
      </c>
      <c r="X22" s="3" t="n">
        <f aca="false">L22/$O22*100</f>
        <v>7.67192437844338</v>
      </c>
      <c r="Y22" s="3" t="n">
        <f aca="false">M22/$O22*100</f>
        <v>5.86648368551213</v>
      </c>
      <c r="Z22" s="3" t="n">
        <f aca="false">N22/$O22*100</f>
        <v>0.0715144686954402</v>
      </c>
    </row>
    <row r="23" customFormat="false" ht="15" hidden="false" customHeight="false" outlineLevel="0" collapsed="false">
      <c r="A23" s="16" t="s">
        <v>145</v>
      </c>
      <c r="B23" s="16" t="s">
        <v>71</v>
      </c>
      <c r="C23" s="16" t="s">
        <v>253</v>
      </c>
      <c r="D23" s="18" t="n">
        <v>57.7404</v>
      </c>
      <c r="E23" s="18" t="n">
        <v>0.2231</v>
      </c>
      <c r="F23" s="18" t="n">
        <v>17.9334</v>
      </c>
      <c r="G23" s="18" t="n">
        <v>0.1104</v>
      </c>
      <c r="H23" s="18" t="n">
        <v>5.2231</v>
      </c>
      <c r="I23" s="18" t="n">
        <v>0.2608</v>
      </c>
      <c r="J23" s="18" t="n">
        <v>0.3352</v>
      </c>
      <c r="K23" s="18" t="n">
        <v>1.3288</v>
      </c>
      <c r="L23" s="18" t="n">
        <v>7.3911</v>
      </c>
      <c r="M23" s="18" t="n">
        <v>5.8799</v>
      </c>
      <c r="N23" s="18" t="n">
        <v>0.1764</v>
      </c>
      <c r="O23" s="18" t="n">
        <f aca="false">SUM(D23:N23)</f>
        <v>96.6026</v>
      </c>
      <c r="P23" s="3" t="n">
        <f aca="false">D23/$O23*100</f>
        <v>59.7710620625118</v>
      </c>
      <c r="Q23" s="3" t="n">
        <f aca="false">E23/$O23*100</f>
        <v>0.230946165010051</v>
      </c>
      <c r="R23" s="3" t="n">
        <f aca="false">F23/$O23*100</f>
        <v>18.5640966185175</v>
      </c>
      <c r="S23" s="3" t="n">
        <f aca="false">G23/$O23*100</f>
        <v>0.114282638355489</v>
      </c>
      <c r="T23" s="3" t="n">
        <f aca="false">H23/$O23*100</f>
        <v>5.40679029342896</v>
      </c>
      <c r="U23" s="3" t="n">
        <f aca="false">I23/$O23*100</f>
        <v>0.26997202973833</v>
      </c>
      <c r="V23" s="3" t="n">
        <f aca="false">J23/$O23*100</f>
        <v>0.346988590369203</v>
      </c>
      <c r="W23" s="3" t="n">
        <f aca="false">K23/$O23*100</f>
        <v>1.37553233556861</v>
      </c>
      <c r="X23" s="3" t="n">
        <f aca="false">L23/$O23*100</f>
        <v>7.65103630751139</v>
      </c>
      <c r="Y23" s="3" t="n">
        <f aca="false">M23/$O23*100</f>
        <v>6.08668917813806</v>
      </c>
      <c r="Z23" s="3" t="n">
        <f aca="false">N23/$O23*100</f>
        <v>0.182603780850619</v>
      </c>
    </row>
    <row r="24" customFormat="false" ht="15" hidden="false" customHeight="false" outlineLevel="0" collapsed="false">
      <c r="A24" s="16" t="s">
        <v>104</v>
      </c>
      <c r="B24" s="16" t="s">
        <v>71</v>
      </c>
      <c r="C24" s="16" t="s">
        <v>253</v>
      </c>
      <c r="D24" s="18" t="n">
        <v>57.5172</v>
      </c>
      <c r="E24" s="18" t="n">
        <v>0.2213</v>
      </c>
      <c r="F24" s="18" t="n">
        <v>17.8409</v>
      </c>
      <c r="G24" s="18" t="n">
        <v>0</v>
      </c>
      <c r="H24" s="18" t="n">
        <v>5.1936</v>
      </c>
      <c r="I24" s="18" t="n">
        <v>0.2552</v>
      </c>
      <c r="J24" s="18" t="n">
        <v>0.2929</v>
      </c>
      <c r="K24" s="18" t="n">
        <v>1.2159</v>
      </c>
      <c r="L24" s="18" t="n">
        <v>7.4164</v>
      </c>
      <c r="M24" s="18" t="n">
        <v>5.8886</v>
      </c>
      <c r="N24" s="18" t="n">
        <v>0.2366</v>
      </c>
      <c r="O24" s="18" t="n">
        <f aca="false">SUM(D24:N24)</f>
        <v>96.0786</v>
      </c>
      <c r="P24" s="3" t="n">
        <f aca="false">D24/$O24*100</f>
        <v>59.8647357476066</v>
      </c>
      <c r="Q24" s="3" t="n">
        <f aca="false">E24/$O24*100</f>
        <v>0.230332248804625</v>
      </c>
      <c r="R24" s="3" t="n">
        <f aca="false">F24/$O24*100</f>
        <v>18.5690674093919</v>
      </c>
      <c r="S24" s="3" t="n">
        <f aca="false">G24/$O24*100</f>
        <v>0</v>
      </c>
      <c r="T24" s="3" t="n">
        <f aca="false">H24/$O24*100</f>
        <v>5.4055741861351</v>
      </c>
      <c r="U24" s="3" t="n">
        <f aca="false">I24/$O24*100</f>
        <v>0.265615860347674</v>
      </c>
      <c r="V24" s="3" t="n">
        <f aca="false">J24/$O24*100</f>
        <v>0.304854566989944</v>
      </c>
      <c r="W24" s="3" t="n">
        <f aca="false">K24/$O24*100</f>
        <v>1.26552635030069</v>
      </c>
      <c r="X24" s="3" t="n">
        <f aca="false">L24/$O24*100</f>
        <v>7.71909665627934</v>
      </c>
      <c r="Y24" s="3" t="n">
        <f aca="false">M24/$O24*100</f>
        <v>6.1289402634926</v>
      </c>
      <c r="Z24" s="3" t="n">
        <f aca="false">N24/$O24*100</f>
        <v>0.246256710651487</v>
      </c>
    </row>
    <row r="25" customFormat="false" ht="15" hidden="false" customHeight="false" outlineLevel="0" collapsed="false">
      <c r="A25" s="16" t="s">
        <v>106</v>
      </c>
      <c r="B25" s="16" t="s">
        <v>71</v>
      </c>
      <c r="C25" s="16" t="s">
        <v>253</v>
      </c>
      <c r="D25" s="18" t="n">
        <v>59.2326</v>
      </c>
      <c r="E25" s="18" t="n">
        <v>0.2301</v>
      </c>
      <c r="F25" s="18" t="n">
        <v>18.5461</v>
      </c>
      <c r="G25" s="18" t="n">
        <v>0</v>
      </c>
      <c r="H25" s="18" t="n">
        <v>5.6484</v>
      </c>
      <c r="I25" s="18" t="n">
        <v>0.255</v>
      </c>
      <c r="J25" s="18" t="n">
        <v>0.2691</v>
      </c>
      <c r="K25" s="18" t="n">
        <v>1.5535</v>
      </c>
      <c r="L25" s="18" t="n">
        <v>7.7067</v>
      </c>
      <c r="M25" s="18" t="n">
        <v>5.9197</v>
      </c>
      <c r="N25" s="18" t="n">
        <v>0.6481</v>
      </c>
      <c r="O25" s="18" t="n">
        <f aca="false">SUM(D25:N25)</f>
        <v>100.0093</v>
      </c>
      <c r="P25" s="3" t="n">
        <f aca="false">D25/$O25*100</f>
        <v>59.2270918804551</v>
      </c>
      <c r="Q25" s="3" t="n">
        <f aca="false">E25/$O25*100</f>
        <v>0.23007860268995</v>
      </c>
      <c r="R25" s="3" t="n">
        <f aca="false">F25/$O25*100</f>
        <v>18.5443753730903</v>
      </c>
      <c r="S25" s="3" t="n">
        <f aca="false">G25/$O25*100</f>
        <v>0</v>
      </c>
      <c r="T25" s="3" t="n">
        <f aca="false">H25/$O25*100</f>
        <v>5.64787474764847</v>
      </c>
      <c r="U25" s="3" t="n">
        <f aca="false">I25/$O25*100</f>
        <v>0.25497628720529</v>
      </c>
      <c r="V25" s="3" t="n">
        <f aca="false">J25/$O25*100</f>
        <v>0.269074976027229</v>
      </c>
      <c r="W25" s="3" t="n">
        <f aca="false">K25/$O25*100</f>
        <v>1.55335553793497</v>
      </c>
      <c r="X25" s="3" t="n">
        <f aca="false">L25/$O25*100</f>
        <v>7.70598334354905</v>
      </c>
      <c r="Y25" s="3" t="n">
        <f aca="false">M25/$O25*100</f>
        <v>5.91914951909472</v>
      </c>
      <c r="Z25" s="3" t="n">
        <f aca="false">N25/$O25*100</f>
        <v>0.648039732304896</v>
      </c>
    </row>
    <row r="26" customFormat="false" ht="15" hidden="false" customHeight="false" outlineLevel="0" collapsed="false">
      <c r="A26" s="16" t="s">
        <v>132</v>
      </c>
      <c r="B26" s="16" t="s">
        <v>71</v>
      </c>
      <c r="C26" s="16" t="s">
        <v>253</v>
      </c>
      <c r="D26" s="18" t="n">
        <v>57.0648</v>
      </c>
      <c r="E26" s="18" t="n">
        <v>0.2187</v>
      </c>
      <c r="F26" s="18" t="n">
        <v>17.437</v>
      </c>
      <c r="G26" s="18" t="n">
        <v>0.0416</v>
      </c>
      <c r="H26" s="18" t="n">
        <v>5.3388</v>
      </c>
      <c r="I26" s="18" t="n">
        <v>0.2364</v>
      </c>
      <c r="J26" s="18" t="n">
        <v>0.2822</v>
      </c>
      <c r="K26" s="18" t="n">
        <v>1.4292</v>
      </c>
      <c r="L26" s="18" t="n">
        <v>7.1325</v>
      </c>
      <c r="M26" s="18" t="n">
        <v>5.9539</v>
      </c>
      <c r="N26" s="18" t="n">
        <v>0.1476</v>
      </c>
      <c r="O26" s="18" t="n">
        <f aca="false">SUM(D26:N26)</f>
        <v>95.2827</v>
      </c>
      <c r="P26" s="3" t="n">
        <f aca="false">D26/$O26*100</f>
        <v>59.8899905229386</v>
      </c>
      <c r="Q26" s="3" t="n">
        <f aca="false">E26/$O26*100</f>
        <v>0.229527500795003</v>
      </c>
      <c r="R26" s="3" t="n">
        <f aca="false">F26/$O26*100</f>
        <v>18.3002790643002</v>
      </c>
      <c r="S26" s="3" t="n">
        <f aca="false">G26/$O26*100</f>
        <v>0.0436595520487979</v>
      </c>
      <c r="T26" s="3" t="n">
        <f aca="false">H26/$O26*100</f>
        <v>5.6031157807241</v>
      </c>
      <c r="U26" s="3" t="n">
        <f aca="false">I26/$O26*100</f>
        <v>0.248103800584996</v>
      </c>
      <c r="V26" s="3" t="n">
        <f aca="false">J26/$O26*100</f>
        <v>0.296171288177182</v>
      </c>
      <c r="W26" s="3" t="n">
        <f aca="false">K26/$O26*100</f>
        <v>1.49995749490726</v>
      </c>
      <c r="X26" s="3" t="n">
        <f aca="false">L26/$O26*100</f>
        <v>7.4856191102897</v>
      </c>
      <c r="Y26" s="3" t="n">
        <f aca="false">M26/$O26*100</f>
        <v>6.24866843613793</v>
      </c>
      <c r="Z26" s="3" t="n">
        <f aca="false">N26/$O26*100</f>
        <v>0.154907449096216</v>
      </c>
    </row>
    <row r="27" customFormat="false" ht="15" hidden="false" customHeight="false" outlineLevel="0" collapsed="false">
      <c r="A27" s="16" t="s">
        <v>151</v>
      </c>
      <c r="B27" s="16" t="s">
        <v>71</v>
      </c>
      <c r="C27" s="16" t="s">
        <v>253</v>
      </c>
      <c r="D27" s="18" t="n">
        <v>59.7575</v>
      </c>
      <c r="E27" s="18" t="n">
        <v>0.2305</v>
      </c>
      <c r="F27" s="18" t="n">
        <v>18.8008</v>
      </c>
      <c r="G27" s="18" t="n">
        <v>0.0128</v>
      </c>
      <c r="H27" s="18" t="n">
        <v>5.647</v>
      </c>
      <c r="I27" s="18" t="n">
        <v>0.2325</v>
      </c>
      <c r="J27" s="18" t="n">
        <v>0.3323</v>
      </c>
      <c r="K27" s="18" t="n">
        <v>1.2196</v>
      </c>
      <c r="L27" s="18" t="n">
        <v>7.6437</v>
      </c>
      <c r="M27" s="18" t="n">
        <v>6.0353</v>
      </c>
      <c r="N27" s="18" t="n">
        <v>0.1865</v>
      </c>
      <c r="O27" s="18" t="n">
        <f aca="false">SUM(D27:N27)</f>
        <v>100.0985</v>
      </c>
      <c r="P27" s="3" t="n">
        <f aca="false">D27/$O27*100</f>
        <v>59.6986967836681</v>
      </c>
      <c r="Q27" s="3" t="n">
        <f aca="false">E27/$O27*100</f>
        <v>0.230273180916797</v>
      </c>
      <c r="R27" s="3" t="n">
        <f aca="false">F27/$O27*100</f>
        <v>18.7822994350565</v>
      </c>
      <c r="S27" s="3" t="n">
        <f aca="false">G27/$O27*100</f>
        <v>0.0127874044066594</v>
      </c>
      <c r="T27" s="3" t="n">
        <f aca="false">H27/$O27*100</f>
        <v>5.64144317846921</v>
      </c>
      <c r="U27" s="3" t="n">
        <f aca="false">I27/$O27*100</f>
        <v>0.232271212855338</v>
      </c>
      <c r="V27" s="3" t="n">
        <f aca="false">J27/$O27*100</f>
        <v>0.33197300658851</v>
      </c>
      <c r="W27" s="3" t="n">
        <f aca="false">K27/$O27*100</f>
        <v>1.21839987612202</v>
      </c>
      <c r="X27" s="3" t="n">
        <f aca="false">L27/$O27*100</f>
        <v>7.63617836431115</v>
      </c>
      <c r="Y27" s="3" t="n">
        <f aca="false">M27/$O27*100</f>
        <v>6.02936107933685</v>
      </c>
      <c r="Z27" s="3" t="n">
        <f aca="false">N27/$O27*100</f>
        <v>0.186316478268905</v>
      </c>
    </row>
    <row r="28" customFormat="false" ht="15" hidden="false" customHeight="false" outlineLevel="0" collapsed="false">
      <c r="C28" s="1" t="s">
        <v>14</v>
      </c>
      <c r="D28" s="3" t="n">
        <f aca="false">AVERAGE(D3:D27)</f>
        <v>57.80478</v>
      </c>
      <c r="E28" s="3" t="n">
        <f aca="false">AVERAGE(E3:E27)</f>
        <v>0.232648</v>
      </c>
      <c r="F28" s="3" t="n">
        <f aca="false">AVERAGE(F3:F27)</f>
        <v>17.955076</v>
      </c>
      <c r="G28" s="3" t="n">
        <f aca="false">AVERAGE(G3:G27)</f>
        <v>0.014716</v>
      </c>
      <c r="H28" s="3" t="n">
        <f aca="false">AVERAGE(H3:H27)</f>
        <v>5.369496</v>
      </c>
      <c r="I28" s="3" t="n">
        <f aca="false">AVERAGE(I3:I27)</f>
        <v>0.237676</v>
      </c>
      <c r="J28" s="3" t="n">
        <f aca="false">AVERAGE(J3:J27)</f>
        <v>0.279004</v>
      </c>
      <c r="K28" s="3" t="n">
        <f aca="false">AVERAGE(K3:K27)</f>
        <v>1.317232</v>
      </c>
      <c r="L28" s="3" t="n">
        <f aca="false">AVERAGE(L3:L27)</f>
        <v>7.363504</v>
      </c>
      <c r="M28" s="3" t="n">
        <f aca="false">AVERAGE(M3:M27)</f>
        <v>5.813664</v>
      </c>
      <c r="N28" s="3" t="n">
        <f aca="false">AVERAGE(N3:N27)</f>
        <v>0.201936</v>
      </c>
      <c r="O28" s="18" t="n">
        <f aca="false">SUM(D28:N28)</f>
        <v>96.589732</v>
      </c>
      <c r="P28" s="3" t="n">
        <f aca="false">AVERAGE(P3:P27)</f>
        <v>59.8469483897566</v>
      </c>
      <c r="Q28" s="3" t="n">
        <f aca="false">AVERAGE(Q3:Q27)</f>
        <v>0.24086100231478</v>
      </c>
      <c r="R28" s="3" t="n">
        <f aca="false">AVERAGE(R3:R27)</f>
        <v>18.5884361895879</v>
      </c>
      <c r="S28" s="3" t="n">
        <f aca="false">AVERAGE(S3:S27)</f>
        <v>0.0152857616557552</v>
      </c>
      <c r="T28" s="3" t="n">
        <f aca="false">AVERAGE(T3:T27)</f>
        <v>5.55862543670745</v>
      </c>
      <c r="U28" s="3" t="n">
        <f aca="false">AVERAGE(U3:U27)</f>
        <v>0.246176037130726</v>
      </c>
      <c r="V28" s="3" t="n">
        <f aca="false">AVERAGE(V3:V27)</f>
        <v>0.288859603407752</v>
      </c>
      <c r="W28" s="3" t="n">
        <f aca="false">AVERAGE(W3:W27)</f>
        <v>1.36354318704711</v>
      </c>
      <c r="X28" s="3" t="n">
        <f aca="false">AVERAGE(X3:X27)</f>
        <v>7.62323404342536</v>
      </c>
      <c r="Y28" s="3" t="n">
        <f aca="false">AVERAGE(Y3:Y27)</f>
        <v>6.0194790017236</v>
      </c>
      <c r="Z28" s="3" t="n">
        <f aca="false">AVERAGE(Z3:Z27)</f>
        <v>0.208551347243035</v>
      </c>
    </row>
    <row r="29" customFormat="false" ht="15" hidden="false" customHeight="false" outlineLevel="0" collapsed="false">
      <c r="C29" s="1" t="s">
        <v>81</v>
      </c>
      <c r="D29" s="3" t="n">
        <f aca="false">_xlfn.STDEV.P(D3:D27)</f>
        <v>0.750115431117105</v>
      </c>
      <c r="E29" s="3" t="n">
        <f aca="false">_xlfn.STDEV.P(E3:E27)</f>
        <v>0.019007748314832</v>
      </c>
      <c r="F29" s="3" t="n">
        <f aca="false">_xlfn.STDEV.P(F3:F27)</f>
        <v>0.318312110080656</v>
      </c>
      <c r="G29" s="3" t="n">
        <f aca="false">_xlfn.STDEV.P(G3:G27)</f>
        <v>0.0264468777741343</v>
      </c>
      <c r="H29" s="3" t="n">
        <f aca="false">_xlfn.STDEV.P(H3:H27)</f>
        <v>0.153123162140807</v>
      </c>
      <c r="I29" s="3" t="n">
        <f aca="false">_xlfn.STDEV.P(I3:I27)</f>
        <v>0.0307595485012378</v>
      </c>
      <c r="J29" s="3" t="n">
        <f aca="false">_xlfn.STDEV.P(J3:J27)</f>
        <v>0.0254879968612678</v>
      </c>
      <c r="K29" s="3" t="n">
        <f aca="false">_xlfn.STDEV.P(K3:K27)</f>
        <v>0.133670684056004</v>
      </c>
      <c r="L29" s="3" t="n">
        <f aca="false">_xlfn.STDEV.P(L3:L27)</f>
        <v>0.153684967332527</v>
      </c>
      <c r="M29" s="3" t="n">
        <f aca="false">_xlfn.STDEV.P(M3:M27)</f>
        <v>0.0796934721542486</v>
      </c>
      <c r="N29" s="3" t="n">
        <f aca="false">_xlfn.STDEV.P(N3:N27)</f>
        <v>0.110385078266947</v>
      </c>
      <c r="O29" s="3"/>
      <c r="P29" s="3" t="n">
        <f aca="false">_xlfn.STDEV.P(P3:P27)</f>
        <v>0.226557601254913</v>
      </c>
      <c r="Q29" s="3" t="n">
        <f aca="false">_xlfn.STDEV.P(Q3:Q27)</f>
        <v>0.0193920447516752</v>
      </c>
      <c r="R29" s="3" t="n">
        <f aca="false">_xlfn.STDEV.P(R3:R27)</f>
        <v>0.135731997765387</v>
      </c>
      <c r="S29" s="3" t="n">
        <f aca="false">_xlfn.STDEV.P(S3:S27)</f>
        <v>0.0274463257809818</v>
      </c>
      <c r="T29" s="3" t="n">
        <f aca="false">_xlfn.STDEV.P(T3:T27)</f>
        <v>0.117977329407544</v>
      </c>
      <c r="U29" s="3" t="n">
        <f aca="false">_xlfn.STDEV.P(U3:U27)</f>
        <v>0.0324862045070405</v>
      </c>
      <c r="V29" s="3" t="n">
        <f aca="false">_xlfn.STDEV.P(V3:V27)</f>
        <v>0.0260388485169165</v>
      </c>
      <c r="W29" s="3" t="n">
        <f aca="false">_xlfn.STDEV.P(W3:W27)</f>
        <v>0.134966467546916</v>
      </c>
      <c r="X29" s="3" t="n">
        <f aca="false">_xlfn.STDEV.P(X3:X27)</f>
        <v>0.099787350869281</v>
      </c>
      <c r="Y29" s="3" t="n">
        <f aca="false">_xlfn.STDEV.P(Y3:Y27)</f>
        <v>0.0801196987436349</v>
      </c>
      <c r="Z29" s="3" t="n">
        <f aca="false">_xlfn.STDEV.P(Z3:Z27)</f>
        <v>0.11066448664696</v>
      </c>
    </row>
    <row r="30" customFormat="false" ht="15" hidden="false" customHeight="false" outlineLevel="0" collapsed="false">
      <c r="C30" s="1" t="s">
        <v>66</v>
      </c>
      <c r="D30" s="3" t="n">
        <f aca="false">D28/$O$28*100</f>
        <v>59.8456780064366</v>
      </c>
      <c r="E30" s="3" t="n">
        <f aca="false">E28/$O$28*100</f>
        <v>0.240862041112196</v>
      </c>
      <c r="F30" s="3" t="n">
        <f aca="false">F28/$O$28*100</f>
        <v>18.5890110969559</v>
      </c>
      <c r="G30" s="3" t="n">
        <f aca="false">G28/$O$28*100</f>
        <v>0.0152355739013749</v>
      </c>
      <c r="H30" s="3" t="n">
        <f aca="false">H28/$O$28*100</f>
        <v>5.55907536838388</v>
      </c>
      <c r="I30" s="3" t="n">
        <f aca="false">I28/$O$28*100</f>
        <v>0.246067563372057</v>
      </c>
      <c r="J30" s="3" t="n">
        <f aca="false">J28/$O$28*100</f>
        <v>0.288854720085568</v>
      </c>
      <c r="K30" s="3" t="n">
        <f aca="false">K28/$O$28*100</f>
        <v>1.3637391601832</v>
      </c>
      <c r="L30" s="3" t="n">
        <f aca="false">L28/$O$28*100</f>
        <v>7.62348527895284</v>
      </c>
      <c r="M30" s="3" t="n">
        <f aca="false">M28/$O$28*100</f>
        <v>6.01892548992682</v>
      </c>
      <c r="N30" s="3" t="n">
        <f aca="false">N28/$O$28*100</f>
        <v>0.209065700689593</v>
      </c>
      <c r="O30" s="3"/>
    </row>
    <row r="31" customFormat="false" ht="15" hidden="false" customHeight="false" outlineLevel="0" collapsed="false"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</row>
    <row r="32" customFormat="false" ht="15" hidden="false" customHeight="false" outlineLevel="0" collapsed="false">
      <c r="A32" s="16" t="s">
        <v>99</v>
      </c>
      <c r="B32" s="17" t="s">
        <v>82</v>
      </c>
      <c r="C32" s="17" t="s">
        <v>253</v>
      </c>
      <c r="D32" s="18" t="n">
        <v>0.1622</v>
      </c>
      <c r="E32" s="18" t="n">
        <v>18.1769</v>
      </c>
      <c r="F32" s="18" t="n">
        <v>2.8111</v>
      </c>
      <c r="G32" s="18" t="n">
        <v>0</v>
      </c>
      <c r="H32" s="18" t="n">
        <v>73.4734</v>
      </c>
      <c r="I32" s="18" t="n">
        <v>1.3646</v>
      </c>
      <c r="J32" s="18" t="n">
        <v>0.79</v>
      </c>
      <c r="K32" s="18" t="n">
        <v>0.0187</v>
      </c>
      <c r="L32" s="18" t="n">
        <v>0</v>
      </c>
      <c r="M32" s="18" t="n">
        <v>0</v>
      </c>
      <c r="N32" s="3"/>
      <c r="O32" s="3" t="n">
        <f aca="false">SUM(D32:N32)</f>
        <v>96.7969</v>
      </c>
    </row>
    <row r="33" customFormat="false" ht="15" hidden="false" customHeight="false" outlineLevel="0" collapsed="false">
      <c r="A33" s="16" t="s">
        <v>100</v>
      </c>
      <c r="B33" s="17" t="s">
        <v>82</v>
      </c>
      <c r="C33" s="17" t="s">
        <v>253</v>
      </c>
      <c r="D33" s="18" t="n">
        <v>0.1636</v>
      </c>
      <c r="E33" s="18" t="n">
        <v>18.4484</v>
      </c>
      <c r="F33" s="18" t="n">
        <v>2.7526</v>
      </c>
      <c r="G33" s="18" t="n">
        <v>0</v>
      </c>
      <c r="H33" s="18" t="n">
        <v>73.0995</v>
      </c>
      <c r="I33" s="18" t="n">
        <v>1.3195</v>
      </c>
      <c r="J33" s="18" t="n">
        <v>0.8286</v>
      </c>
      <c r="K33" s="18" t="n">
        <v>0.0581</v>
      </c>
      <c r="L33" s="18" t="n">
        <v>0.0095</v>
      </c>
      <c r="M33" s="18" t="n">
        <v>0.0025</v>
      </c>
      <c r="N33" s="3"/>
      <c r="O33" s="3" t="n">
        <f aca="false">SUM(D33:N33)</f>
        <v>96.6823</v>
      </c>
    </row>
    <row r="34" customFormat="false" ht="15" hidden="false" customHeight="false" outlineLevel="0" collapsed="false">
      <c r="A34" s="16" t="s">
        <v>109</v>
      </c>
      <c r="B34" s="17" t="s">
        <v>82</v>
      </c>
      <c r="C34" s="17" t="s">
        <v>253</v>
      </c>
      <c r="D34" s="18" t="n">
        <v>0.1694</v>
      </c>
      <c r="E34" s="18" t="n">
        <v>18.3485</v>
      </c>
      <c r="F34" s="18" t="n">
        <v>2.9351</v>
      </c>
      <c r="G34" s="18" t="n">
        <v>0</v>
      </c>
      <c r="H34" s="18" t="n">
        <v>72.5503</v>
      </c>
      <c r="I34" s="18" t="n">
        <v>1.3019</v>
      </c>
      <c r="J34" s="18" t="n">
        <v>0.8779</v>
      </c>
      <c r="K34" s="18" t="n">
        <v>0.046</v>
      </c>
      <c r="L34" s="18" t="n">
        <v>0</v>
      </c>
      <c r="M34" s="18" t="n">
        <v>0.0176</v>
      </c>
      <c r="N34" s="3"/>
      <c r="O34" s="3" t="n">
        <f aca="false">SUM(D34:N34)</f>
        <v>96.2467</v>
      </c>
    </row>
    <row r="35" customFormat="false" ht="15" hidden="false" customHeight="false" outlineLevel="0" collapsed="false">
      <c r="C35" s="1" t="s">
        <v>30</v>
      </c>
      <c r="D35" s="3" t="n">
        <f aca="false">AVERAGE(D32:D34)</f>
        <v>0.165066666666667</v>
      </c>
      <c r="E35" s="3" t="n">
        <f aca="false">AVERAGE(E32:E34)</f>
        <v>18.3246</v>
      </c>
      <c r="F35" s="3" t="n">
        <f aca="false">AVERAGE(F32:F34)</f>
        <v>2.83293333333333</v>
      </c>
      <c r="G35" s="3" t="n">
        <f aca="false">AVERAGE(G32:G34)</f>
        <v>0</v>
      </c>
      <c r="H35" s="3" t="n">
        <f aca="false">AVERAGE(H32:H34)</f>
        <v>73.0410666666667</v>
      </c>
      <c r="I35" s="3" t="n">
        <f aca="false">AVERAGE(I32:I34)</f>
        <v>1.32866666666667</v>
      </c>
      <c r="J35" s="3" t="n">
        <f aca="false">AVERAGE(J32:J34)</f>
        <v>0.832166666666667</v>
      </c>
      <c r="K35" s="3" t="n">
        <f aca="false">AVERAGE(K32:K34)</f>
        <v>0.0409333333333333</v>
      </c>
      <c r="L35" s="3" t="n">
        <f aca="false">AVERAGE(L32:L34)</f>
        <v>0.00316666666666667</v>
      </c>
      <c r="M35" s="3" t="n">
        <f aca="false">AVERAGE(M32:M34)</f>
        <v>0.0067</v>
      </c>
      <c r="N35" s="3"/>
      <c r="O35" s="3" t="n">
        <f aca="false">SUM(D35:N35)</f>
        <v>96.5753</v>
      </c>
    </row>
    <row r="36" customFormat="false" ht="15" hidden="false" customHeight="false" outlineLevel="0" collapsed="false">
      <c r="C36" s="1" t="s">
        <v>81</v>
      </c>
      <c r="D36" s="3" t="n">
        <f aca="false">_xlfn.STDEV.P(D32:D34)</f>
        <v>0.00311697859401625</v>
      </c>
      <c r="E36" s="3" t="n">
        <f aca="false">_xlfn.STDEV.P(E32:E34)</f>
        <v>0.112120381733207</v>
      </c>
      <c r="F36" s="3" t="n">
        <f aca="false">_xlfn.STDEV.P(F32:F34)</f>
        <v>0.0760880338087985</v>
      </c>
      <c r="G36" s="3" t="n">
        <f aca="false">_xlfn.STDEV.P(G32:G34)</f>
        <v>0</v>
      </c>
      <c r="H36" s="3" t="n">
        <f aca="false">_xlfn.STDEV.P(H32:H34)</f>
        <v>0.379112334568824</v>
      </c>
      <c r="I36" s="3" t="n">
        <f aca="false">_xlfn.STDEV.P(I32:I34)</f>
        <v>0.0264050921015036</v>
      </c>
      <c r="J36" s="3" t="n">
        <f aca="false">_xlfn.STDEV.P(J32:J34)</f>
        <v>0.035973539658415</v>
      </c>
      <c r="K36" s="3" t="n">
        <f aca="false">_xlfn.STDEV.P(K32:K34)</f>
        <v>0.0164791450695181</v>
      </c>
      <c r="L36" s="3" t="n">
        <f aca="false">_xlfn.STDEV.P(L32:L34)</f>
        <v>0.0044783429475148</v>
      </c>
      <c r="M36" s="3" t="n">
        <f aca="false">_xlfn.STDEV.P(M32:M34)</f>
        <v>0.00777474544063448</v>
      </c>
      <c r="N36" s="3"/>
      <c r="O36" s="3"/>
    </row>
    <row r="37" customFormat="false" ht="15" hidden="false" customHeight="false" outlineLevel="0" collapsed="false">
      <c r="C37" s="1" t="s">
        <v>66</v>
      </c>
      <c r="D37" s="3" t="n">
        <f aca="false">D35/$O$35*100</f>
        <v>0.170920169719034</v>
      </c>
      <c r="E37" s="3" t="n">
        <f aca="false">E35/$O$35*100</f>
        <v>18.9744168539989</v>
      </c>
      <c r="F37" s="3" t="n">
        <f aca="false">F35/$O$35*100</f>
        <v>2.9333932520358</v>
      </c>
      <c r="G37" s="3" t="n">
        <f aca="false">G35/$O$35*100</f>
        <v>0</v>
      </c>
      <c r="H37" s="3" t="n">
        <f aca="false">H35/$O$35*100</f>
        <v>75.6312086699877</v>
      </c>
      <c r="I37" s="3" t="n">
        <f aca="false">I35/$O$35*100</f>
        <v>1.37578311086444</v>
      </c>
      <c r="J37" s="3" t="n">
        <f aca="false">J35/$O$35*100</f>
        <v>0.861676501824656</v>
      </c>
      <c r="K37" s="3" t="n">
        <f aca="false">K35/$O$35*100</f>
        <v>0.0423848886136862</v>
      </c>
      <c r="L37" s="3" t="n">
        <f aca="false">L35/$O$35*100</f>
        <v>0.00327896125268745</v>
      </c>
      <c r="M37" s="3" t="n">
        <f aca="false">M35/$O$35*100</f>
        <v>0.00693759170305451</v>
      </c>
      <c r="N37" s="3"/>
      <c r="O37" s="3"/>
    </row>
    <row r="38" customFormat="false" ht="15" hidden="false" customHeight="false" outlineLevel="0" collapsed="false"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customFormat="false" ht="15" hidden="false" customHeight="false" outlineLevel="0" collapsed="false">
      <c r="A39" s="16" t="s">
        <v>70</v>
      </c>
      <c r="B39" s="16" t="s">
        <v>254</v>
      </c>
      <c r="C39" s="17" t="s">
        <v>253</v>
      </c>
      <c r="D39" s="18" t="n">
        <v>31.664</v>
      </c>
      <c r="E39" s="18" t="n">
        <v>0.0576</v>
      </c>
      <c r="F39" s="18" t="n">
        <v>0.0213</v>
      </c>
      <c r="G39" s="18" t="n">
        <v>0</v>
      </c>
      <c r="H39" s="18" t="n">
        <v>54.931</v>
      </c>
      <c r="I39" s="18" t="n">
        <v>3.2044</v>
      </c>
      <c r="J39" s="18" t="n">
        <v>9.164</v>
      </c>
      <c r="K39" s="18" t="n">
        <v>0.5002</v>
      </c>
      <c r="L39" s="18" t="n">
        <v>0.0471</v>
      </c>
      <c r="M39" s="18" t="n">
        <v>0.0336</v>
      </c>
      <c r="N39" s="3" t="n">
        <v>0.0979</v>
      </c>
      <c r="O39" s="3" t="n">
        <f aca="false">SUM(D39:N39)</f>
        <v>99.7211</v>
      </c>
    </row>
    <row r="40" customFormat="false" ht="15" hidden="false" customHeight="false" outlineLevel="0" collapsed="false">
      <c r="A40" s="16" t="s">
        <v>186</v>
      </c>
      <c r="B40" s="16" t="s">
        <v>82</v>
      </c>
      <c r="C40" s="17" t="s">
        <v>253</v>
      </c>
      <c r="D40" s="18" t="n">
        <v>31.7983</v>
      </c>
      <c r="E40" s="18" t="n">
        <v>0.0283</v>
      </c>
      <c r="F40" s="18" t="n">
        <v>0.0444</v>
      </c>
      <c r="G40" s="18" t="n">
        <v>0</v>
      </c>
      <c r="H40" s="18" t="n">
        <v>53.7347</v>
      </c>
      <c r="I40" s="18" t="n">
        <v>3.1106</v>
      </c>
      <c r="J40" s="18" t="n">
        <v>9.2976</v>
      </c>
      <c r="K40" s="18" t="n">
        <v>0.6756</v>
      </c>
      <c r="L40" s="18" t="n">
        <v>0.0821</v>
      </c>
      <c r="M40" s="18" t="n">
        <v>0.0807</v>
      </c>
      <c r="N40" s="3"/>
      <c r="O40" s="3" t="n">
        <f aca="false">SUM(D40:N40)</f>
        <v>98.8523</v>
      </c>
    </row>
    <row r="41" customFormat="false" ht="15" hidden="false" customHeight="false" outlineLevel="0" collapsed="false">
      <c r="A41" s="16" t="s">
        <v>182</v>
      </c>
      <c r="B41" s="16" t="s">
        <v>254</v>
      </c>
      <c r="C41" s="17" t="s">
        <v>253</v>
      </c>
      <c r="D41" s="18" t="n">
        <v>31.8584</v>
      </c>
      <c r="E41" s="18" t="n">
        <v>0.0368</v>
      </c>
      <c r="F41" s="18" t="n">
        <v>0.0559</v>
      </c>
      <c r="G41" s="18" t="n">
        <v>0</v>
      </c>
      <c r="H41" s="18" t="n">
        <v>54.4266</v>
      </c>
      <c r="I41" s="18" t="n">
        <v>2.9972</v>
      </c>
      <c r="J41" s="18" t="n">
        <v>9.1372</v>
      </c>
      <c r="K41" s="18" t="n">
        <v>0.6675</v>
      </c>
      <c r="L41" s="18" t="n">
        <v>0.0461</v>
      </c>
      <c r="M41" s="18" t="n">
        <v>0.0503</v>
      </c>
      <c r="N41" s="3" t="n">
        <v>0.2388</v>
      </c>
      <c r="O41" s="3" t="n">
        <f aca="false">SUM(D41:N41)</f>
        <v>99.5148</v>
      </c>
    </row>
    <row r="42" customFormat="false" ht="15" hidden="false" customHeight="false" outlineLevel="0" collapsed="false">
      <c r="A42" s="16" t="s">
        <v>118</v>
      </c>
      <c r="B42" s="16" t="s">
        <v>254</v>
      </c>
      <c r="C42" s="17" t="s">
        <v>253</v>
      </c>
      <c r="D42" s="18" t="n">
        <v>31.8939</v>
      </c>
      <c r="E42" s="18" t="n">
        <v>0.0364</v>
      </c>
      <c r="F42" s="18" t="n">
        <v>0.0197</v>
      </c>
      <c r="G42" s="18" t="n">
        <v>0.0529</v>
      </c>
      <c r="H42" s="18" t="n">
        <v>54.7713</v>
      </c>
      <c r="I42" s="18" t="n">
        <v>3.2059</v>
      </c>
      <c r="J42" s="18" t="n">
        <v>9.4983</v>
      </c>
      <c r="K42" s="18" t="n">
        <v>0.57</v>
      </c>
      <c r="L42" s="18" t="n">
        <v>0.0099</v>
      </c>
      <c r="M42" s="18" t="n">
        <v>0.0529</v>
      </c>
      <c r="N42" s="3" t="n">
        <v>0.1713</v>
      </c>
      <c r="O42" s="3" t="n">
        <f aca="false">SUM(D42:N42)</f>
        <v>100.2825</v>
      </c>
    </row>
    <row r="43" customFormat="false" ht="15" hidden="false" customHeight="false" outlineLevel="0" collapsed="false">
      <c r="A43" s="16" t="s">
        <v>111</v>
      </c>
      <c r="B43" s="16" t="s">
        <v>254</v>
      </c>
      <c r="C43" s="17" t="s">
        <v>253</v>
      </c>
      <c r="D43" s="18" t="n">
        <v>32.0304</v>
      </c>
      <c r="E43" s="18" t="n">
        <v>0.0407</v>
      </c>
      <c r="F43" s="18" t="n">
        <v>0.0551</v>
      </c>
      <c r="G43" s="18" t="n">
        <v>0.0488</v>
      </c>
      <c r="H43" s="18" t="n">
        <v>54.3263</v>
      </c>
      <c r="I43" s="18" t="n">
        <v>3.1647</v>
      </c>
      <c r="J43" s="18" t="n">
        <v>9.4766</v>
      </c>
      <c r="K43" s="18" t="n">
        <v>0.5438</v>
      </c>
      <c r="L43" s="18" t="n">
        <v>0.0794</v>
      </c>
      <c r="M43" s="18" t="n">
        <v>0.0629</v>
      </c>
      <c r="N43" s="3" t="n">
        <v>0.3001</v>
      </c>
      <c r="O43" s="3" t="n">
        <f aca="false">SUM(D43:N43)</f>
        <v>100.1288</v>
      </c>
    </row>
    <row r="44" customFormat="false" ht="15" hidden="false" customHeight="false" outlineLevel="0" collapsed="false">
      <c r="A44" s="16" t="s">
        <v>150</v>
      </c>
      <c r="B44" s="16" t="s">
        <v>254</v>
      </c>
      <c r="C44" s="17" t="s">
        <v>253</v>
      </c>
      <c r="D44" s="18" t="n">
        <v>32.2439</v>
      </c>
      <c r="E44" s="18" t="n">
        <v>0.0462</v>
      </c>
      <c r="F44" s="18" t="n">
        <v>0.0407</v>
      </c>
      <c r="G44" s="18" t="n">
        <v>0.0084</v>
      </c>
      <c r="H44" s="18" t="n">
        <v>54.9899</v>
      </c>
      <c r="I44" s="18" t="n">
        <v>2.9767</v>
      </c>
      <c r="J44" s="18" t="n">
        <v>9.3133</v>
      </c>
      <c r="K44" s="18" t="n">
        <v>0.658</v>
      </c>
      <c r="L44" s="18" t="n">
        <v>0.0216</v>
      </c>
      <c r="M44" s="18" t="n">
        <v>0.0187</v>
      </c>
      <c r="N44" s="3" t="n">
        <v>0.1916</v>
      </c>
      <c r="O44" s="3" t="n">
        <f aca="false">SUM(D44:N44)</f>
        <v>100.509</v>
      </c>
    </row>
    <row r="45" customFormat="false" ht="15" hidden="false" customHeight="false" outlineLevel="0" collapsed="false">
      <c r="C45" s="1" t="s">
        <v>32</v>
      </c>
      <c r="D45" s="3" t="n">
        <f aca="false">AVERAGE(D38:D44)</f>
        <v>31.9148166666667</v>
      </c>
      <c r="E45" s="3" t="n">
        <f aca="false">AVERAGE(E38:E44)</f>
        <v>0.041</v>
      </c>
      <c r="F45" s="3" t="n">
        <f aca="false">AVERAGE(F38:F44)</f>
        <v>0.0395166666666667</v>
      </c>
      <c r="G45" s="3" t="n">
        <f aca="false">AVERAGE(G38:G44)</f>
        <v>0.01835</v>
      </c>
      <c r="H45" s="3" t="n">
        <f aca="false">AVERAGE(H38:H44)</f>
        <v>54.5299666666667</v>
      </c>
      <c r="I45" s="3" t="n">
        <f aca="false">AVERAGE(I38:I44)</f>
        <v>3.10991666666667</v>
      </c>
      <c r="J45" s="3" t="n">
        <f aca="false">AVERAGE(J38:J44)</f>
        <v>9.3145</v>
      </c>
      <c r="K45" s="3" t="n">
        <f aca="false">AVERAGE(K38:K44)</f>
        <v>0.602516666666667</v>
      </c>
      <c r="L45" s="3" t="n">
        <f aca="false">AVERAGE(L38:L44)</f>
        <v>0.0477</v>
      </c>
      <c r="M45" s="3" t="n">
        <f aca="false">AVERAGE(M38:M44)</f>
        <v>0.04985</v>
      </c>
      <c r="N45" s="3" t="n">
        <f aca="false">AVERAGE(N38:N44)</f>
        <v>0.19994</v>
      </c>
      <c r="O45" s="3" t="n">
        <f aca="false">SUM(D45:N45)</f>
        <v>99.8680733333333</v>
      </c>
    </row>
    <row r="46" customFormat="false" ht="15" hidden="false" customHeight="false" outlineLevel="0" collapsed="false">
      <c r="C46" s="1" t="s">
        <v>81</v>
      </c>
      <c r="D46" s="3" t="n">
        <f aca="false">_xlfn.STDEV.P(D38:D44)</f>
        <v>0.18337612909597</v>
      </c>
      <c r="E46" s="3" t="n">
        <f aca="false">_xlfn.STDEV.P(E38:E44)</f>
        <v>0.00915405192615088</v>
      </c>
      <c r="F46" s="3" t="n">
        <f aca="false">_xlfn.STDEV.P(F38:F44)</f>
        <v>0.0144974039821694</v>
      </c>
      <c r="G46" s="3" t="n">
        <f aca="false">_xlfn.STDEV.P(G38:G44)</f>
        <v>0.0232022807786936</v>
      </c>
      <c r="H46" s="3" t="n">
        <f aca="false">_xlfn.STDEV.P(H38:H44)</f>
        <v>0.431126824599083</v>
      </c>
      <c r="I46" s="3" t="n">
        <f aca="false">_xlfn.STDEV.P(I38:I44)</f>
        <v>0.0927301715852086</v>
      </c>
      <c r="J46" s="3" t="n">
        <f aca="false">_xlfn.STDEV.P(J38:J44)</f>
        <v>0.138101074096716</v>
      </c>
      <c r="K46" s="3" t="n">
        <f aca="false">_xlfn.STDEV.P(K38:K44)</f>
        <v>0.0678430644125757</v>
      </c>
      <c r="L46" s="3" t="n">
        <f aca="false">_xlfn.STDEV.P(L38:L44)</f>
        <v>0.0267744280984674</v>
      </c>
      <c r="M46" s="3" t="n">
        <f aca="false">_xlfn.STDEV.P(M38:M44)</f>
        <v>0.019857471305951</v>
      </c>
      <c r="N46" s="3" t="n">
        <f aca="false">_xlfn.STDEV.P(N38:N44)</f>
        <v>0.0675930351441626</v>
      </c>
      <c r="O46" s="3"/>
    </row>
    <row r="47" customFormat="false" ht="15" hidden="false" customHeight="false" outlineLevel="0" collapsed="false">
      <c r="C47" s="1" t="s">
        <v>66</v>
      </c>
      <c r="D47" s="3" t="n">
        <f aca="false">D45/$O$45*100</f>
        <v>31.956976440452</v>
      </c>
      <c r="E47" s="3" t="n">
        <f aca="false">E45/$O$45*100</f>
        <v>0.0410541613866454</v>
      </c>
      <c r="F47" s="3" t="n">
        <f aca="false">F45/$O$45*100</f>
        <v>0.0395688685559903</v>
      </c>
      <c r="G47" s="3" t="n">
        <f aca="false">G45/$O$45*100</f>
        <v>0.0183742405230474</v>
      </c>
      <c r="H47" s="3" t="n">
        <f aca="false">H45/$O$45*100</f>
        <v>54.6020012668714</v>
      </c>
      <c r="I47" s="3" t="n">
        <f aca="false">I45/$O$45*100</f>
        <v>3.11402489591101</v>
      </c>
      <c r="J47" s="3" t="n">
        <f aca="false">J45/$O$45*100</f>
        <v>9.32680454233923</v>
      </c>
      <c r="K47" s="3" t="n">
        <f aca="false">K45/$O$45*100</f>
        <v>0.603312596865291</v>
      </c>
      <c r="L47" s="3" t="n">
        <f aca="false">L45/$O$45*100</f>
        <v>0.0477630121498289</v>
      </c>
      <c r="M47" s="3" t="n">
        <f aca="false">M45/$O$45*100</f>
        <v>0.0499158523201042</v>
      </c>
      <c r="N47" s="3" t="n">
        <f aca="false">N45/$O$45*100</f>
        <v>0.200204122625509</v>
      </c>
      <c r="O47" s="3"/>
    </row>
    <row r="48" customFormat="false" ht="15" hidden="false" customHeight="false" outlineLevel="0" collapsed="false"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</row>
    <row r="49" customFormat="false" ht="15" hidden="false" customHeight="false" outlineLevel="0" collapsed="false">
      <c r="A49" s="16" t="s">
        <v>92</v>
      </c>
      <c r="B49" s="16" t="s">
        <v>82</v>
      </c>
      <c r="C49" s="17" t="s">
        <v>253</v>
      </c>
      <c r="D49" s="18" t="n">
        <v>63.3196</v>
      </c>
      <c r="E49" s="18" t="n">
        <v>0.0168</v>
      </c>
      <c r="F49" s="18" t="n">
        <v>22.4433</v>
      </c>
      <c r="G49" s="18" t="n">
        <v>0.076</v>
      </c>
      <c r="H49" s="18" t="n">
        <v>0.5483</v>
      </c>
      <c r="I49" s="18" t="n">
        <v>0</v>
      </c>
      <c r="J49" s="18" t="n">
        <v>0.0124</v>
      </c>
      <c r="K49" s="18" t="n">
        <v>3.8063</v>
      </c>
      <c r="L49" s="18" t="n">
        <v>7.6837</v>
      </c>
      <c r="M49" s="18" t="n">
        <v>2.3133</v>
      </c>
      <c r="N49" s="3"/>
      <c r="O49" s="3" t="n">
        <f aca="false">SUM(D49:N49)</f>
        <v>100.2197</v>
      </c>
    </row>
    <row r="50" customFormat="false" ht="15" hidden="false" customHeight="false" outlineLevel="0" collapsed="false">
      <c r="A50" s="16" t="s">
        <v>124</v>
      </c>
      <c r="B50" s="16" t="s">
        <v>82</v>
      </c>
      <c r="C50" s="17" t="s">
        <v>253</v>
      </c>
      <c r="D50" s="18" t="n">
        <v>63.5638</v>
      </c>
      <c r="E50" s="18" t="n">
        <v>0.0684</v>
      </c>
      <c r="F50" s="18" t="n">
        <v>22.448</v>
      </c>
      <c r="G50" s="18" t="n">
        <v>0.0268</v>
      </c>
      <c r="H50" s="18" t="n">
        <v>0.5938</v>
      </c>
      <c r="I50" s="18" t="n">
        <v>0.0548</v>
      </c>
      <c r="J50" s="18" t="n">
        <v>0.0115</v>
      </c>
      <c r="K50" s="18" t="n">
        <v>3.8673</v>
      </c>
      <c r="L50" s="18" t="n">
        <v>7.2499</v>
      </c>
      <c r="M50" s="18" t="n">
        <v>2.8554</v>
      </c>
      <c r="N50" s="3"/>
      <c r="O50" s="3" t="n">
        <f aca="false">SUM(D50:N50)</f>
        <v>100.7397</v>
      </c>
    </row>
    <row r="51" customFormat="false" ht="15" hidden="false" customHeight="false" outlineLevel="0" collapsed="false">
      <c r="A51" s="16" t="s">
        <v>141</v>
      </c>
      <c r="B51" s="16" t="s">
        <v>82</v>
      </c>
      <c r="C51" s="17" t="s">
        <v>253</v>
      </c>
      <c r="D51" s="18" t="n">
        <v>63.5888</v>
      </c>
      <c r="E51" s="18" t="n">
        <v>0.0735</v>
      </c>
      <c r="F51" s="18" t="n">
        <v>22.2065</v>
      </c>
      <c r="G51" s="18" t="n">
        <v>0</v>
      </c>
      <c r="H51" s="18" t="n">
        <v>0.5885</v>
      </c>
      <c r="I51" s="18" t="n">
        <v>0.0369</v>
      </c>
      <c r="J51" s="18" t="n">
        <v>0.0188</v>
      </c>
      <c r="K51" s="18" t="n">
        <v>3.6127</v>
      </c>
      <c r="L51" s="18" t="n">
        <v>7.3432</v>
      </c>
      <c r="M51" s="18" t="n">
        <v>2.9297</v>
      </c>
      <c r="N51" s="3"/>
      <c r="O51" s="3" t="n">
        <f aca="false">SUM(D51:N51)</f>
        <v>100.3986</v>
      </c>
    </row>
    <row r="52" customFormat="false" ht="15" hidden="false" customHeight="false" outlineLevel="0" collapsed="false">
      <c r="A52" s="16" t="s">
        <v>142</v>
      </c>
      <c r="B52" s="16" t="s">
        <v>82</v>
      </c>
      <c r="C52" s="17" t="s">
        <v>253</v>
      </c>
      <c r="D52" s="18" t="n">
        <v>64.1144</v>
      </c>
      <c r="E52" s="18" t="n">
        <v>0.0371</v>
      </c>
      <c r="F52" s="18" t="n">
        <v>22.0051</v>
      </c>
      <c r="G52" s="18" t="n">
        <v>0.0026</v>
      </c>
      <c r="H52" s="18" t="n">
        <v>0.585</v>
      </c>
      <c r="I52" s="18" t="n">
        <v>0.028</v>
      </c>
      <c r="J52" s="18" t="n">
        <v>0</v>
      </c>
      <c r="K52" s="18" t="n">
        <v>3.155</v>
      </c>
      <c r="L52" s="18" t="n">
        <v>7.597</v>
      </c>
      <c r="M52" s="18" t="n">
        <v>2.9554</v>
      </c>
      <c r="N52" s="3"/>
      <c r="O52" s="3" t="n">
        <f aca="false">SUM(D52:N52)</f>
        <v>100.4796</v>
      </c>
    </row>
    <row r="53" customFormat="false" ht="15" hidden="false" customHeight="false" outlineLevel="0" collapsed="false">
      <c r="A53" s="16" t="s">
        <v>86</v>
      </c>
      <c r="B53" s="16" t="s">
        <v>82</v>
      </c>
      <c r="C53" s="17" t="s">
        <v>253</v>
      </c>
      <c r="D53" s="18" t="n">
        <v>63.5759</v>
      </c>
      <c r="E53" s="18" t="n">
        <v>0.0412</v>
      </c>
      <c r="F53" s="18" t="n">
        <v>21.6135</v>
      </c>
      <c r="G53" s="18" t="n">
        <v>0</v>
      </c>
      <c r="H53" s="18" t="n">
        <v>0.4965</v>
      </c>
      <c r="I53" s="18" t="n">
        <v>0</v>
      </c>
      <c r="J53" s="18" t="n">
        <v>0.0123</v>
      </c>
      <c r="K53" s="18" t="n">
        <v>3.4654</v>
      </c>
      <c r="L53" s="18" t="n">
        <v>7.4962</v>
      </c>
      <c r="M53" s="18" t="n">
        <v>3.0911</v>
      </c>
      <c r="N53" s="3"/>
      <c r="O53" s="3" t="n">
        <f aca="false">SUM(D53:N53)</f>
        <v>99.7921</v>
      </c>
    </row>
    <row r="54" customFormat="false" ht="15" hidden="false" customHeight="false" outlineLevel="0" collapsed="false">
      <c r="A54" s="16" t="s">
        <v>129</v>
      </c>
      <c r="B54" s="16" t="s">
        <v>82</v>
      </c>
      <c r="C54" s="17" t="s">
        <v>253</v>
      </c>
      <c r="D54" s="18" t="n">
        <v>64.4077</v>
      </c>
      <c r="E54" s="18" t="n">
        <v>0.0627</v>
      </c>
      <c r="F54" s="18" t="n">
        <v>21.5385</v>
      </c>
      <c r="G54" s="18" t="n">
        <v>0</v>
      </c>
      <c r="H54" s="18" t="n">
        <v>0.5344</v>
      </c>
      <c r="I54" s="18" t="n">
        <v>0</v>
      </c>
      <c r="J54" s="18" t="n">
        <v>0</v>
      </c>
      <c r="K54" s="18" t="n">
        <v>2.9814</v>
      </c>
      <c r="L54" s="18" t="n">
        <v>7.4921</v>
      </c>
      <c r="M54" s="18" t="n">
        <v>3.1677</v>
      </c>
      <c r="N54" s="3"/>
      <c r="O54" s="3" t="n">
        <f aca="false">SUM(D54:N54)</f>
        <v>100.1845</v>
      </c>
    </row>
    <row r="55" customFormat="false" ht="15" hidden="false" customHeight="false" outlineLevel="0" collapsed="false">
      <c r="A55" s="16" t="s">
        <v>110</v>
      </c>
      <c r="B55" s="16" t="s">
        <v>82</v>
      </c>
      <c r="C55" s="17" t="s">
        <v>253</v>
      </c>
      <c r="D55" s="18" t="n">
        <v>63.2153</v>
      </c>
      <c r="E55" s="18" t="n">
        <v>0.0617</v>
      </c>
      <c r="F55" s="18" t="n">
        <v>21.6895</v>
      </c>
      <c r="G55" s="18" t="n">
        <v>0</v>
      </c>
      <c r="H55" s="18" t="n">
        <v>0.6305</v>
      </c>
      <c r="I55" s="18" t="n">
        <v>0.044</v>
      </c>
      <c r="J55" s="18" t="n">
        <v>0.0368</v>
      </c>
      <c r="K55" s="18" t="n">
        <v>3.5707</v>
      </c>
      <c r="L55" s="18" t="n">
        <v>7.2801</v>
      </c>
      <c r="M55" s="18" t="n">
        <v>3.2175</v>
      </c>
      <c r="N55" s="3"/>
      <c r="O55" s="3" t="n">
        <f aca="false">SUM(D55:N55)</f>
        <v>99.7461</v>
      </c>
    </row>
    <row r="56" customFormat="false" ht="15" hidden="false" customHeight="false" outlineLevel="0" collapsed="false">
      <c r="A56" s="16" t="s">
        <v>187</v>
      </c>
      <c r="B56" s="16" t="s">
        <v>82</v>
      </c>
      <c r="C56" s="17" t="s">
        <v>253</v>
      </c>
      <c r="D56" s="18" t="n">
        <v>63.1874</v>
      </c>
      <c r="E56" s="18" t="n">
        <v>0.0831</v>
      </c>
      <c r="F56" s="18" t="n">
        <v>21.8015</v>
      </c>
      <c r="G56" s="18" t="n">
        <v>0.0418</v>
      </c>
      <c r="H56" s="18" t="n">
        <v>0.5863</v>
      </c>
      <c r="I56" s="18" t="n">
        <v>0</v>
      </c>
      <c r="J56" s="18" t="n">
        <v>0.0312</v>
      </c>
      <c r="K56" s="18" t="n">
        <v>3.2564</v>
      </c>
      <c r="L56" s="18" t="n">
        <v>7.3475</v>
      </c>
      <c r="M56" s="18" t="n">
        <v>3.2374</v>
      </c>
      <c r="N56" s="3"/>
      <c r="O56" s="3" t="n">
        <f aca="false">SUM(D56:N56)</f>
        <v>99.5726</v>
      </c>
    </row>
    <row r="57" customFormat="false" ht="15" hidden="false" customHeight="false" outlineLevel="0" collapsed="false">
      <c r="A57" s="16" t="s">
        <v>119</v>
      </c>
      <c r="B57" s="16" t="s">
        <v>254</v>
      </c>
      <c r="C57" s="17" t="s">
        <v>253</v>
      </c>
      <c r="D57" s="18" t="n">
        <v>64.0391</v>
      </c>
      <c r="E57" s="18" t="n">
        <v>0.0801</v>
      </c>
      <c r="F57" s="18" t="n">
        <v>21.4762</v>
      </c>
      <c r="G57" s="18" t="n">
        <v>0.0393</v>
      </c>
      <c r="H57" s="18" t="n">
        <v>0.5758</v>
      </c>
      <c r="I57" s="18" t="n">
        <v>0.0291</v>
      </c>
      <c r="J57" s="18" t="n">
        <v>0.0076</v>
      </c>
      <c r="K57" s="18" t="n">
        <v>2.7726</v>
      </c>
      <c r="L57" s="18" t="n">
        <v>7.5467</v>
      </c>
      <c r="M57" s="18" t="n">
        <v>3.488</v>
      </c>
      <c r="N57" s="3"/>
      <c r="O57" s="3" t="n">
        <f aca="false">SUM(D57:N57)</f>
        <v>100.0545</v>
      </c>
    </row>
    <row r="58" customFormat="false" ht="15" hidden="false" customHeight="false" outlineLevel="0" collapsed="false">
      <c r="A58" s="16" t="s">
        <v>146</v>
      </c>
      <c r="B58" s="16" t="s">
        <v>82</v>
      </c>
      <c r="C58" s="17" t="s">
        <v>253</v>
      </c>
      <c r="D58" s="18" t="n">
        <v>64.1459</v>
      </c>
      <c r="E58" s="18" t="n">
        <v>0.0555</v>
      </c>
      <c r="F58" s="18" t="n">
        <v>21.4849</v>
      </c>
      <c r="G58" s="18" t="n">
        <v>0.0416</v>
      </c>
      <c r="H58" s="18" t="n">
        <v>0.4744</v>
      </c>
      <c r="I58" s="18" t="n">
        <v>0.0206</v>
      </c>
      <c r="J58" s="18" t="n">
        <v>0.0066</v>
      </c>
      <c r="K58" s="18" t="n">
        <v>2.7122</v>
      </c>
      <c r="L58" s="18" t="n">
        <v>7.3533</v>
      </c>
      <c r="M58" s="18" t="n">
        <v>3.9567</v>
      </c>
      <c r="N58" s="3"/>
      <c r="O58" s="3" t="n">
        <f aca="false">SUM(D58:N58)</f>
        <v>100.2517</v>
      </c>
    </row>
    <row r="59" customFormat="false" ht="15" hidden="false" customHeight="false" outlineLevel="0" collapsed="false">
      <c r="A59" s="16" t="s">
        <v>91</v>
      </c>
      <c r="B59" s="16" t="s">
        <v>82</v>
      </c>
      <c r="C59" s="17" t="s">
        <v>253</v>
      </c>
      <c r="D59" s="18" t="n">
        <v>64.8789</v>
      </c>
      <c r="E59" s="18" t="n">
        <v>0.1013</v>
      </c>
      <c r="F59" s="18" t="n">
        <v>20.9388</v>
      </c>
      <c r="G59" s="18" t="n">
        <v>0</v>
      </c>
      <c r="H59" s="18" t="n">
        <v>0.8791</v>
      </c>
      <c r="I59" s="18" t="n">
        <v>0.0284</v>
      </c>
      <c r="J59" s="18" t="n">
        <v>0</v>
      </c>
      <c r="K59" s="18" t="n">
        <v>2.3094</v>
      </c>
      <c r="L59" s="18" t="n">
        <v>7.1855</v>
      </c>
      <c r="M59" s="18" t="n">
        <v>4.3098</v>
      </c>
      <c r="N59" s="3"/>
      <c r="O59" s="3" t="n">
        <f aca="false">SUM(D59:N59)</f>
        <v>100.6312</v>
      </c>
    </row>
    <row r="60" customFormat="false" ht="15" hidden="false" customHeight="false" outlineLevel="0" collapsed="false">
      <c r="A60" s="16" t="s">
        <v>188</v>
      </c>
      <c r="B60" s="16" t="s">
        <v>82</v>
      </c>
      <c r="C60" s="17" t="s">
        <v>253</v>
      </c>
      <c r="D60" s="18" t="n">
        <v>63.8584</v>
      </c>
      <c r="E60" s="18" t="n">
        <v>0.0978</v>
      </c>
      <c r="F60" s="18" t="n">
        <v>21.7976</v>
      </c>
      <c r="G60" s="18" t="n">
        <v>0.0235</v>
      </c>
      <c r="H60" s="18" t="n">
        <v>0.9236</v>
      </c>
      <c r="I60" s="18" t="n">
        <v>0.0217</v>
      </c>
      <c r="J60" s="18" t="n">
        <v>0.0302</v>
      </c>
      <c r="K60" s="18" t="n">
        <v>3.1206</v>
      </c>
      <c r="L60" s="18" t="n">
        <v>6.772</v>
      </c>
      <c r="M60" s="18" t="n">
        <v>4.3355</v>
      </c>
      <c r="N60" s="3"/>
      <c r="O60" s="3" t="n">
        <f aca="false">SUM(D60:N60)</f>
        <v>100.9809</v>
      </c>
    </row>
    <row r="61" customFormat="false" ht="15" hidden="false" customHeight="false" outlineLevel="0" collapsed="false">
      <c r="A61" s="16" t="s">
        <v>184</v>
      </c>
      <c r="B61" s="16" t="s">
        <v>82</v>
      </c>
      <c r="C61" s="17" t="s">
        <v>253</v>
      </c>
      <c r="D61" s="18" t="n">
        <v>64.1722</v>
      </c>
      <c r="E61" s="18" t="n">
        <v>0.099</v>
      </c>
      <c r="F61" s="18" t="n">
        <v>21.1378</v>
      </c>
      <c r="G61" s="18" t="n">
        <v>0</v>
      </c>
      <c r="H61" s="18" t="n">
        <v>1.0757</v>
      </c>
      <c r="I61" s="18" t="n">
        <v>0</v>
      </c>
      <c r="J61" s="18" t="n">
        <v>0.0148</v>
      </c>
      <c r="K61" s="18" t="n">
        <v>2.6896</v>
      </c>
      <c r="L61" s="18" t="n">
        <v>6.8788</v>
      </c>
      <c r="M61" s="18" t="n">
        <v>4.6469</v>
      </c>
      <c r="N61" s="3"/>
      <c r="O61" s="3" t="n">
        <f aca="false">SUM(D61:N61)</f>
        <v>100.7148</v>
      </c>
    </row>
    <row r="62" customFormat="false" ht="15" hidden="false" customHeight="false" outlineLevel="0" collapsed="false">
      <c r="A62" s="16" t="s">
        <v>98</v>
      </c>
      <c r="B62" s="16" t="s">
        <v>82</v>
      </c>
      <c r="C62" s="17" t="s">
        <v>253</v>
      </c>
      <c r="D62" s="18" t="n">
        <v>63.8873</v>
      </c>
      <c r="E62" s="18" t="n">
        <v>0.1388</v>
      </c>
      <c r="F62" s="18" t="n">
        <v>20.6608</v>
      </c>
      <c r="G62" s="18" t="n">
        <v>0</v>
      </c>
      <c r="H62" s="18" t="n">
        <v>1.2212</v>
      </c>
      <c r="I62" s="18" t="n">
        <v>0</v>
      </c>
      <c r="J62" s="18" t="n">
        <v>0.0465</v>
      </c>
      <c r="K62" s="18" t="n">
        <v>2.4282</v>
      </c>
      <c r="L62" s="18" t="n">
        <v>6.7015</v>
      </c>
      <c r="M62" s="18" t="n">
        <v>5.0945</v>
      </c>
      <c r="N62" s="3"/>
      <c r="O62" s="3" t="n">
        <f aca="false">SUM(D62:N62)</f>
        <v>100.1788</v>
      </c>
    </row>
    <row r="63" customFormat="false" ht="15" hidden="false" customHeight="false" outlineLevel="0" collapsed="false">
      <c r="A63" s="16" t="s">
        <v>189</v>
      </c>
      <c r="B63" s="16" t="s">
        <v>82</v>
      </c>
      <c r="C63" s="17" t="s">
        <v>253</v>
      </c>
      <c r="D63" s="18" t="n">
        <v>64.5735</v>
      </c>
      <c r="E63" s="18" t="n">
        <v>0.0819</v>
      </c>
      <c r="F63" s="18" t="n">
        <v>20.9557</v>
      </c>
      <c r="G63" s="18" t="n">
        <v>0</v>
      </c>
      <c r="H63" s="18" t="n">
        <v>0.6725</v>
      </c>
      <c r="I63" s="18" t="n">
        <v>0.0538</v>
      </c>
      <c r="J63" s="18" t="n">
        <v>0.0113</v>
      </c>
      <c r="K63" s="18" t="n">
        <v>2.7237</v>
      </c>
      <c r="L63" s="18" t="n">
        <v>6.6597</v>
      </c>
      <c r="M63" s="18" t="n">
        <v>5.1124</v>
      </c>
      <c r="N63" s="3"/>
      <c r="O63" s="3" t="n">
        <f aca="false">SUM(D63:N63)</f>
        <v>100.8445</v>
      </c>
    </row>
    <row r="64" customFormat="false" ht="15" hidden="false" customHeight="false" outlineLevel="0" collapsed="false">
      <c r="C64" s="1" t="s">
        <v>34</v>
      </c>
      <c r="D64" s="3" t="n">
        <f aca="false">AVERAGE(D48:D63)</f>
        <v>63.90188</v>
      </c>
      <c r="E64" s="3" t="n">
        <f aca="false">AVERAGE(E48:E63)</f>
        <v>0.07326</v>
      </c>
      <c r="F64" s="3" t="n">
        <f aca="false">AVERAGE(F48:F63)</f>
        <v>21.61318</v>
      </c>
      <c r="G64" s="3" t="n">
        <f aca="false">AVERAGE(G48:G63)</f>
        <v>0.0167733333333333</v>
      </c>
      <c r="H64" s="3" t="n">
        <f aca="false">AVERAGE(H48:H63)</f>
        <v>0.692373333333333</v>
      </c>
      <c r="I64" s="3" t="n">
        <f aca="false">AVERAGE(I48:I63)</f>
        <v>0.0211533333333333</v>
      </c>
      <c r="J64" s="3" t="n">
        <f aca="false">AVERAGE(J48:J63)</f>
        <v>0.016</v>
      </c>
      <c r="K64" s="3" t="n">
        <f aca="false">AVERAGE(K48:K63)</f>
        <v>3.0981</v>
      </c>
      <c r="L64" s="3" t="n">
        <f aca="false">AVERAGE(L48:L63)</f>
        <v>7.23914666666667</v>
      </c>
      <c r="M64" s="3" t="n">
        <f aca="false">AVERAGE(M48:M63)</f>
        <v>3.64742</v>
      </c>
      <c r="N64" s="3"/>
      <c r="O64" s="3" t="n">
        <f aca="false">SUM(D64:N64)</f>
        <v>100.319286666667</v>
      </c>
    </row>
    <row r="65" customFormat="false" ht="15" hidden="false" customHeight="false" outlineLevel="0" collapsed="false">
      <c r="C65" s="1" t="s">
        <v>81</v>
      </c>
      <c r="D65" s="3" t="n">
        <f aca="false">_xlfn.STDEV.P(D48:D63)</f>
        <v>0.483026231447804</v>
      </c>
      <c r="E65" s="3" t="n">
        <f aca="false">_xlfn.STDEV.P(E48:E63)</f>
        <v>0.0290655764321531</v>
      </c>
      <c r="F65" s="3" t="n">
        <f aca="false">_xlfn.STDEV.P(F48:F63)</f>
        <v>0.51819121850272</v>
      </c>
      <c r="G65" s="3" t="n">
        <f aca="false">_xlfn.STDEV.P(G48:G63)</f>
        <v>0.0228843022373174</v>
      </c>
      <c r="H65" s="3" t="n">
        <f aca="false">_xlfn.STDEV.P(H48:H63)</f>
        <v>0.217197389384761</v>
      </c>
      <c r="I65" s="3" t="n">
        <f aca="false">_xlfn.STDEV.P(I48:I63)</f>
        <v>0.0196905346691134</v>
      </c>
      <c r="J65" s="3" t="n">
        <f aca="false">_xlfn.STDEV.P(J48:J63)</f>
        <v>0.0136644551056137</v>
      </c>
      <c r="K65" s="3" t="n">
        <f aca="false">_xlfn.STDEV.P(K48:K63)</f>
        <v>0.475495608111509</v>
      </c>
      <c r="L65" s="3" t="n">
        <f aca="false">_xlfn.STDEV.P(L48:L63)</f>
        <v>0.322852384982501</v>
      </c>
      <c r="M65" s="3" t="n">
        <f aca="false">_xlfn.STDEV.P(M48:M63)</f>
        <v>0.839293105893287</v>
      </c>
      <c r="N65" s="3"/>
      <c r="O65" s="3"/>
    </row>
    <row r="66" customFormat="false" ht="15" hidden="false" customHeight="false" outlineLevel="0" collapsed="false">
      <c r="C66" s="1" t="s">
        <v>66</v>
      </c>
      <c r="D66" s="3" t="n">
        <f aca="false">D64/$O$45*100</f>
        <v>63.9862949860987</v>
      </c>
      <c r="E66" s="3" t="n">
        <f aca="false">E64/$O$45*100</f>
        <v>0.0733567771508692</v>
      </c>
      <c r="F66" s="3" t="n">
        <f aca="false">F64/$O$45*100</f>
        <v>21.6417312146004</v>
      </c>
      <c r="G66" s="3" t="n">
        <f aca="false">G64/$O$45*100</f>
        <v>0.0167954910648455</v>
      </c>
      <c r="H66" s="3" t="n">
        <f aca="false">H64/$O$45*100</f>
        <v>0.693287965036007</v>
      </c>
      <c r="I66" s="3" t="n">
        <f aca="false">I64/$O$45*100</f>
        <v>0.0211812770861505</v>
      </c>
      <c r="J66" s="3" t="n">
        <f aca="false">J64/$O$45*100</f>
        <v>0.016021136150886</v>
      </c>
      <c r="K66" s="3" t="n">
        <f aca="false">K64/$O$45*100</f>
        <v>3.10219261931624</v>
      </c>
      <c r="L66" s="3" t="n">
        <f aca="false">L64/$O$45*100</f>
        <v>7.2487096476812</v>
      </c>
      <c r="M66" s="3" t="n">
        <f aca="false">M64/$O$45*100</f>
        <v>3.65223827621654</v>
      </c>
      <c r="N66" s="3"/>
      <c r="O66" s="3"/>
    </row>
    <row r="67" customFormat="false" ht="15" hidden="false" customHeight="false" outlineLevel="0" collapsed="false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6"/>
      <c r="AC67" s="16"/>
      <c r="AD67" s="16"/>
      <c r="AE67" s="16"/>
      <c r="AF67" s="16"/>
      <c r="AG67" s="16"/>
      <c r="AH67" s="16"/>
      <c r="AI67" s="16"/>
      <c r="AJ67" s="16"/>
      <c r="AK67" s="16"/>
      <c r="AL67" s="16"/>
      <c r="AM67" s="16"/>
      <c r="AN67" s="16"/>
      <c r="AO67" s="16"/>
      <c r="AP67" s="16"/>
      <c r="AQ67" s="16"/>
      <c r="AR67" s="16"/>
      <c r="AS67" s="16"/>
      <c r="AT67" s="16"/>
      <c r="AU67" s="16"/>
      <c r="AV67" s="16"/>
      <c r="AW67" s="16"/>
      <c r="AX67" s="16"/>
      <c r="AY67" s="16"/>
      <c r="AZ67" s="16"/>
      <c r="BA67" s="16"/>
      <c r="BB67" s="16"/>
      <c r="BC67" s="16"/>
      <c r="BD67" s="16"/>
      <c r="BE67" s="16"/>
      <c r="BF67" s="16"/>
      <c r="BG67" s="16"/>
      <c r="BH67" s="16"/>
      <c r="BI67" s="16"/>
      <c r="BJ67" s="16"/>
      <c r="BK67" s="16"/>
      <c r="BL67" s="16"/>
      <c r="BM67" s="16"/>
      <c r="BN67" s="16"/>
      <c r="BO67" s="16"/>
      <c r="BP67" s="16"/>
      <c r="BQ67" s="16"/>
      <c r="BR67" s="16"/>
    </row>
    <row r="68" customFormat="false" ht="15" hidden="false" customHeight="false" outlineLevel="0" collapsed="false"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</row>
    <row r="69" customFormat="false" ht="15" hidden="false" customHeight="false" outlineLevel="0" collapsed="false">
      <c r="A69" s="16" t="s">
        <v>93</v>
      </c>
      <c r="B69" s="16" t="s">
        <v>82</v>
      </c>
      <c r="C69" s="16" t="s">
        <v>253</v>
      </c>
      <c r="D69" s="18" t="n">
        <v>9.6935</v>
      </c>
      <c r="E69" s="18" t="n">
        <v>0.0741</v>
      </c>
      <c r="F69" s="18" t="n">
        <v>3.9512</v>
      </c>
      <c r="G69" s="18" t="n">
        <v>0</v>
      </c>
      <c r="H69" s="18" t="n">
        <v>1.8907</v>
      </c>
      <c r="I69" s="18" t="n">
        <v>0.2325</v>
      </c>
      <c r="J69" s="18" t="n">
        <v>0.181</v>
      </c>
      <c r="K69" s="18" t="n">
        <v>45.1791</v>
      </c>
      <c r="L69" s="18" t="n">
        <v>1.5231</v>
      </c>
      <c r="M69" s="18" t="n">
        <v>0.937</v>
      </c>
      <c r="N69" s="18"/>
      <c r="O69" s="18"/>
      <c r="P69" s="18" t="n">
        <v>63.6621</v>
      </c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16"/>
      <c r="AC69" s="16"/>
      <c r="AD69" s="16"/>
      <c r="AE69" s="16"/>
      <c r="AF69" s="16"/>
      <c r="AG69" s="16"/>
      <c r="AH69" s="16"/>
      <c r="AI69" s="16"/>
      <c r="AJ69" s="16"/>
      <c r="AK69" s="16"/>
      <c r="AL69" s="16"/>
      <c r="AM69" s="16"/>
      <c r="AN69" s="16"/>
      <c r="AO69" s="16"/>
      <c r="AP69" s="16"/>
      <c r="AQ69" s="16"/>
      <c r="AR69" s="16"/>
      <c r="AS69" s="16"/>
      <c r="AT69" s="16"/>
      <c r="AU69" s="16"/>
      <c r="AV69" s="16"/>
      <c r="AW69" s="16"/>
      <c r="AX69" s="16"/>
      <c r="AY69" s="16"/>
      <c r="AZ69" s="16"/>
      <c r="BA69" s="16"/>
      <c r="BB69" s="16"/>
      <c r="BC69" s="16"/>
      <c r="BD69" s="16"/>
      <c r="BE69" s="16"/>
      <c r="BF69" s="16"/>
      <c r="BG69" s="16"/>
      <c r="BH69" s="16"/>
      <c r="BI69" s="16"/>
      <c r="BJ69" s="16"/>
      <c r="BK69" s="16"/>
      <c r="BL69" s="16"/>
      <c r="BM69" s="16"/>
      <c r="BN69" s="16"/>
      <c r="BO69" s="16"/>
      <c r="BP69" s="16"/>
      <c r="BQ69" s="16"/>
      <c r="BR69" s="16"/>
      <c r="BS69" s="16"/>
      <c r="BT69" s="16"/>
      <c r="BU69" s="16"/>
      <c r="BV69" s="16"/>
      <c r="BW69" s="16"/>
      <c r="BX69" s="16"/>
      <c r="BY69" s="16"/>
      <c r="BZ69" s="16"/>
      <c r="CA69" s="16"/>
      <c r="CB69" s="16"/>
      <c r="CC69" s="16"/>
      <c r="CD69" s="16"/>
      <c r="CE69" s="16"/>
    </row>
    <row r="70" customFormat="false" ht="15" hidden="false" customHeight="false" outlineLevel="0" collapsed="false">
      <c r="A70" s="16"/>
      <c r="B70" s="16"/>
      <c r="C70" s="16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  <c r="AC70" s="16"/>
      <c r="AD70" s="16"/>
      <c r="AE70" s="16"/>
      <c r="AF70" s="16"/>
      <c r="AG70" s="16"/>
      <c r="AH70" s="16"/>
      <c r="AI70" s="16"/>
      <c r="AJ70" s="16"/>
      <c r="AK70" s="16"/>
      <c r="AL70" s="16"/>
      <c r="AM70" s="16"/>
      <c r="AN70" s="16"/>
      <c r="AO70" s="16"/>
      <c r="AP70" s="16"/>
      <c r="AQ70" s="16"/>
      <c r="AR70" s="16"/>
      <c r="AS70" s="16"/>
      <c r="AT70" s="16"/>
      <c r="AU70" s="16"/>
      <c r="AV70" s="16"/>
      <c r="AW70" s="16"/>
      <c r="AX70" s="16"/>
      <c r="AY70" s="16"/>
      <c r="AZ70" s="16"/>
      <c r="BA70" s="16"/>
      <c r="BB70" s="16"/>
      <c r="BC70" s="16"/>
      <c r="BD70" s="16"/>
      <c r="BE70" s="16"/>
      <c r="BF70" s="16"/>
      <c r="BG70" s="16"/>
      <c r="BH70" s="16"/>
      <c r="BI70" s="16"/>
      <c r="BJ70" s="16"/>
      <c r="BK70" s="16"/>
      <c r="BL70" s="16"/>
      <c r="BM70" s="16"/>
      <c r="BN70" s="16"/>
      <c r="BO70" s="16"/>
      <c r="BP70" s="16"/>
      <c r="BQ70" s="16"/>
      <c r="BR70" s="16"/>
      <c r="BS70" s="16"/>
      <c r="BT70" s="16"/>
      <c r="BU70" s="16"/>
      <c r="BV70" s="16"/>
      <c r="BW70" s="16"/>
      <c r="BX70" s="16"/>
      <c r="BY70" s="16"/>
      <c r="BZ70" s="16"/>
      <c r="CA70" s="16"/>
      <c r="CB70" s="16"/>
      <c r="CC70" s="16"/>
      <c r="CD70" s="16"/>
      <c r="CE70" s="16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E48"/>
  <sheetViews>
    <sheetView showFormulas="false" showGridLines="true" showRowColHeaders="true" showZeros="true" rightToLeft="false" tabSelected="false" showOutlineSymbols="true" defaultGridColor="true" view="normal" topLeftCell="A1" colorId="64" zoomScale="55" zoomScaleNormal="55" zoomScalePageLayoutView="100" workbookViewId="0">
      <selection pane="topLeft" activeCell="A48" activeCellId="0" sqref="A48"/>
    </sheetView>
  </sheetViews>
  <sheetFormatPr defaultColWidth="10.6445312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15" min="4" style="1" width="6.7"/>
    <col collapsed="false" customWidth="true" hidden="false" outlineLevel="0" max="24" min="16" style="1" width="6.9"/>
    <col collapsed="false" customWidth="true" hidden="false" outlineLevel="0" max="26" min="25" style="1" width="6.5"/>
  </cols>
  <sheetData>
    <row r="1" customFormat="false" ht="15" hidden="false" customHeight="false" outlineLevel="0" collapsed="false">
      <c r="A1" s="20"/>
      <c r="D1" s="3" t="s">
        <v>65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1" t="s">
        <v>66</v>
      </c>
    </row>
    <row r="2" customFormat="false" ht="15" hidden="false" customHeight="false" outlineLevel="0" collapsed="false">
      <c r="B2" s="1" t="s">
        <v>67</v>
      </c>
      <c r="C2" s="1" t="s">
        <v>68</v>
      </c>
      <c r="D2" s="3" t="s">
        <v>15</v>
      </c>
      <c r="E2" s="3" t="s">
        <v>16</v>
      </c>
      <c r="F2" s="3" t="s">
        <v>17</v>
      </c>
      <c r="G2" s="3" t="s">
        <v>31</v>
      </c>
      <c r="H2" s="3" t="s">
        <v>18</v>
      </c>
      <c r="I2" s="3" t="s">
        <v>19</v>
      </c>
      <c r="J2" s="3" t="s">
        <v>20</v>
      </c>
      <c r="K2" s="3" t="s">
        <v>21</v>
      </c>
      <c r="L2" s="3" t="s">
        <v>22</v>
      </c>
      <c r="M2" s="3" t="s">
        <v>23</v>
      </c>
      <c r="N2" s="3" t="s">
        <v>24</v>
      </c>
      <c r="O2" s="3" t="s">
        <v>69</v>
      </c>
      <c r="P2" s="3" t="s">
        <v>15</v>
      </c>
      <c r="Q2" s="3" t="s">
        <v>16</v>
      </c>
      <c r="R2" s="3" t="s">
        <v>17</v>
      </c>
      <c r="S2" s="3" t="s">
        <v>31</v>
      </c>
      <c r="T2" s="3" t="s">
        <v>18</v>
      </c>
      <c r="U2" s="3" t="s">
        <v>19</v>
      </c>
      <c r="V2" s="3" t="s">
        <v>20</v>
      </c>
      <c r="W2" s="3" t="s">
        <v>21</v>
      </c>
      <c r="X2" s="3" t="s">
        <v>22</v>
      </c>
      <c r="Y2" s="3" t="s">
        <v>23</v>
      </c>
      <c r="Z2" s="3" t="s">
        <v>24</v>
      </c>
    </row>
    <row r="3" customFormat="false" ht="15" hidden="false" customHeight="false" outlineLevel="0" collapsed="false">
      <c r="A3" s="1" t="s">
        <v>181</v>
      </c>
      <c r="B3" s="1" t="s">
        <v>71</v>
      </c>
      <c r="C3" s="1" t="s">
        <v>255</v>
      </c>
      <c r="D3" s="1" t="n">
        <v>57.7579</v>
      </c>
      <c r="E3" s="1" t="n">
        <v>0.0328</v>
      </c>
      <c r="F3" s="1" t="n">
        <v>19.0308</v>
      </c>
      <c r="H3" s="1" t="n">
        <v>4.8171</v>
      </c>
      <c r="I3" s="1" t="n">
        <v>0.2451</v>
      </c>
      <c r="J3" s="1" t="n">
        <v>0.0731</v>
      </c>
      <c r="K3" s="1" t="n">
        <v>1.0588</v>
      </c>
      <c r="L3" s="1" t="n">
        <v>8.639</v>
      </c>
      <c r="M3" s="1" t="n">
        <v>5.8453</v>
      </c>
      <c r="N3" s="1" t="n">
        <v>0.0487</v>
      </c>
      <c r="O3" s="18" t="n">
        <f aca="false">SUM(D3:N3)</f>
        <v>97.5486</v>
      </c>
      <c r="P3" s="3" t="n">
        <f aca="false">D3/$O3*100</f>
        <v>59.2093582070886</v>
      </c>
      <c r="Q3" s="3" t="n">
        <f aca="false">E3/$O3*100</f>
        <v>0.0336242652380455</v>
      </c>
      <c r="R3" s="3" t="n">
        <f aca="false">F3/$O3*100</f>
        <v>19.509044722323</v>
      </c>
      <c r="S3" s="3" t="n">
        <f aca="false">G3/$O3*100</f>
        <v>0</v>
      </c>
      <c r="T3" s="3" t="n">
        <f aca="false">H3/$O3*100</f>
        <v>4.93815390482283</v>
      </c>
      <c r="U3" s="3" t="n">
        <f aca="false">I3/$O3*100</f>
        <v>0.25125937225137</v>
      </c>
      <c r="V3" s="3" t="n">
        <f aca="false">J3/$O3*100</f>
        <v>0.0749370057591806</v>
      </c>
      <c r="W3" s="3" t="n">
        <f aca="false">K3/$O3*100</f>
        <v>1.08540768396471</v>
      </c>
      <c r="X3" s="3" t="n">
        <f aca="false">L3/$O3*100</f>
        <v>8.85609839608154</v>
      </c>
      <c r="Y3" s="3" t="n">
        <f aca="false">M3/$O3*100</f>
        <v>5.99219260963253</v>
      </c>
      <c r="Z3" s="3" t="n">
        <f aca="false">N3/$O3*100</f>
        <v>0.0499238328381955</v>
      </c>
    </row>
    <row r="4" customFormat="false" ht="15" hidden="false" customHeight="false" outlineLevel="0" collapsed="false">
      <c r="A4" s="1" t="s">
        <v>187</v>
      </c>
      <c r="B4" s="1" t="s">
        <v>71</v>
      </c>
      <c r="C4" s="1" t="s">
        <v>255</v>
      </c>
      <c r="D4" s="1" t="n">
        <v>57.7452</v>
      </c>
      <c r="E4" s="1" t="n">
        <v>0.0395</v>
      </c>
      <c r="F4" s="1" t="n">
        <v>19.1744</v>
      </c>
      <c r="H4" s="1" t="n">
        <v>5.0938</v>
      </c>
      <c r="I4" s="1" t="n">
        <v>0.1513</v>
      </c>
      <c r="J4" s="1" t="n">
        <v>0.09</v>
      </c>
      <c r="K4" s="1" t="n">
        <v>1.0214</v>
      </c>
      <c r="L4" s="1" t="n">
        <v>8.4548</v>
      </c>
      <c r="M4" s="1" t="n">
        <v>5.7724</v>
      </c>
      <c r="N4" s="1" t="n">
        <v>0</v>
      </c>
      <c r="O4" s="18" t="n">
        <f aca="false">SUM(D4:N4)</f>
        <v>97.5428</v>
      </c>
      <c r="P4" s="3" t="n">
        <f aca="false">D4/$O4*100</f>
        <v>59.1998589337194</v>
      </c>
      <c r="Q4" s="3" t="n">
        <f aca="false">E4/$O4*100</f>
        <v>0.0404950442267394</v>
      </c>
      <c r="R4" s="3" t="n">
        <f aca="false">F4/$O4*100</f>
        <v>19.6574221777517</v>
      </c>
      <c r="S4" s="3" t="n">
        <f aca="false">G4/$O4*100</f>
        <v>0</v>
      </c>
      <c r="T4" s="3" t="n">
        <f aca="false">H4/$O4*100</f>
        <v>5.22211788056115</v>
      </c>
      <c r="U4" s="3" t="n">
        <f aca="false">I4/$O4*100</f>
        <v>0.155111397253308</v>
      </c>
      <c r="V4" s="3" t="n">
        <f aca="false">J4/$O4*100</f>
        <v>0.092267189377381</v>
      </c>
      <c r="W4" s="3" t="n">
        <f aca="false">K4/$O4*100</f>
        <v>1.04713008033397</v>
      </c>
      <c r="X4" s="3" t="n">
        <f aca="false">L4/$O4*100</f>
        <v>8.66778480830979</v>
      </c>
      <c r="Y4" s="3" t="n">
        <f aca="false">M4/$O4*100</f>
        <v>5.9178124884666</v>
      </c>
      <c r="Z4" s="3" t="n">
        <f aca="false">N4/$O4*100</f>
        <v>0</v>
      </c>
    </row>
    <row r="5" customFormat="false" ht="15" hidden="false" customHeight="false" outlineLevel="0" collapsed="false">
      <c r="A5" s="1" t="s">
        <v>188</v>
      </c>
      <c r="B5" s="1" t="s">
        <v>71</v>
      </c>
      <c r="C5" s="1" t="s">
        <v>255</v>
      </c>
      <c r="D5" s="1" t="n">
        <v>57.8832</v>
      </c>
      <c r="E5" s="1" t="n">
        <v>0.0563</v>
      </c>
      <c r="F5" s="1" t="n">
        <v>18.9554</v>
      </c>
      <c r="H5" s="1" t="n">
        <v>4.976</v>
      </c>
      <c r="I5" s="1" t="n">
        <v>0.1992</v>
      </c>
      <c r="J5" s="1" t="n">
        <v>0.0494</v>
      </c>
      <c r="K5" s="1" t="n">
        <v>1.0868</v>
      </c>
      <c r="L5" s="1" t="n">
        <v>8.8133</v>
      </c>
      <c r="M5" s="1" t="n">
        <v>5.7519</v>
      </c>
      <c r="N5" s="1" t="n">
        <v>0.0541</v>
      </c>
      <c r="O5" s="18" t="n">
        <f aca="false">SUM(D5:N5)</f>
        <v>97.8256</v>
      </c>
      <c r="P5" s="3" t="n">
        <f aca="false">D5/$O5*100</f>
        <v>59.1697878673885</v>
      </c>
      <c r="Q5" s="3" t="n">
        <f aca="false">E5/$O5*100</f>
        <v>0.0575513975891791</v>
      </c>
      <c r="R5" s="3" t="n">
        <f aca="false">F5/$O5*100</f>
        <v>19.376727564155</v>
      </c>
      <c r="S5" s="3" t="n">
        <f aca="false">G5/$O5*100</f>
        <v>0</v>
      </c>
      <c r="T5" s="3" t="n">
        <f aca="false">H5/$O5*100</f>
        <v>5.08660309775764</v>
      </c>
      <c r="U5" s="3" t="n">
        <f aca="false">I5/$O5*100</f>
        <v>0.203627680280008</v>
      </c>
      <c r="V5" s="3" t="n">
        <f aca="false">J5/$O5*100</f>
        <v>0.0504980291457451</v>
      </c>
      <c r="W5" s="3" t="n">
        <f aca="false">K5/$O5*100</f>
        <v>1.11095664120639</v>
      </c>
      <c r="X5" s="3" t="n">
        <f aca="false">L5/$O5*100</f>
        <v>9.00919595688654</v>
      </c>
      <c r="Y5" s="3" t="n">
        <f aca="false">M5/$O5*100</f>
        <v>5.87974926808525</v>
      </c>
      <c r="Z5" s="3" t="n">
        <f aca="false">N5/$O5*100</f>
        <v>0.0553024975057654</v>
      </c>
    </row>
    <row r="6" customFormat="false" ht="15" hidden="false" customHeight="false" outlineLevel="0" collapsed="false">
      <c r="A6" s="1" t="s">
        <v>184</v>
      </c>
      <c r="B6" s="1" t="s">
        <v>71</v>
      </c>
      <c r="C6" s="1" t="s">
        <v>255</v>
      </c>
      <c r="D6" s="1" t="n">
        <v>58.074</v>
      </c>
      <c r="E6" s="1" t="n">
        <v>0.0456</v>
      </c>
      <c r="F6" s="1" t="n">
        <v>19.0676</v>
      </c>
      <c r="H6" s="1" t="n">
        <v>4.586</v>
      </c>
      <c r="I6" s="1" t="n">
        <v>0.1917</v>
      </c>
      <c r="J6" s="1" t="n">
        <v>0.039</v>
      </c>
      <c r="K6" s="1" t="n">
        <v>1.0574</v>
      </c>
      <c r="L6" s="1" t="n">
        <v>8.7084</v>
      </c>
      <c r="M6" s="1" t="n">
        <v>5.7485</v>
      </c>
      <c r="N6" s="1" t="n">
        <v>0.0379</v>
      </c>
      <c r="O6" s="18" t="n">
        <f aca="false">SUM(D6:N6)</f>
        <v>97.5561</v>
      </c>
      <c r="P6" s="3" t="n">
        <f aca="false">D6/$O6*100</f>
        <v>59.528824953027</v>
      </c>
      <c r="Q6" s="3" t="n">
        <f aca="false">E6/$O6*100</f>
        <v>0.046742335948239</v>
      </c>
      <c r="R6" s="3" t="n">
        <f aca="false">F6/$O6*100</f>
        <v>19.5452667747071</v>
      </c>
      <c r="S6" s="3" t="n">
        <f aca="false">G6/$O6*100</f>
        <v>0</v>
      </c>
      <c r="T6" s="3" t="n">
        <f aca="false">H6/$O6*100</f>
        <v>4.70088492672421</v>
      </c>
      <c r="U6" s="3" t="n">
        <f aca="false">I6/$O6*100</f>
        <v>0.196502320203452</v>
      </c>
      <c r="V6" s="3" t="n">
        <f aca="false">J6/$O6*100</f>
        <v>0.0399769978504676</v>
      </c>
      <c r="W6" s="3" t="n">
        <f aca="false">K6/$O6*100</f>
        <v>1.08388916736114</v>
      </c>
      <c r="X6" s="3" t="n">
        <f aca="false">L6/$O6*100</f>
        <v>8.92655610464133</v>
      </c>
      <c r="Y6" s="3" t="n">
        <f aca="false">M6/$O6*100</f>
        <v>5.89250697803623</v>
      </c>
      <c r="Z6" s="3" t="n">
        <f aca="false">N6/$O6*100</f>
        <v>0.038849441500839</v>
      </c>
    </row>
    <row r="7" customFormat="false" ht="15" hidden="false" customHeight="false" outlineLevel="0" collapsed="false">
      <c r="A7" s="1" t="s">
        <v>189</v>
      </c>
      <c r="B7" s="1" t="s">
        <v>71</v>
      </c>
      <c r="C7" s="1" t="s">
        <v>255</v>
      </c>
      <c r="D7" s="1" t="n">
        <v>57.8314</v>
      </c>
      <c r="E7" s="1" t="n">
        <v>0.0422</v>
      </c>
      <c r="F7" s="1" t="n">
        <v>18.9703</v>
      </c>
      <c r="H7" s="1" t="n">
        <v>4.8664</v>
      </c>
      <c r="I7" s="1" t="n">
        <v>0.268</v>
      </c>
      <c r="J7" s="1" t="n">
        <v>0.0646</v>
      </c>
      <c r="K7" s="1" t="n">
        <v>1.049</v>
      </c>
      <c r="L7" s="1" t="n">
        <v>8.5354</v>
      </c>
      <c r="M7" s="1" t="n">
        <v>5.7024</v>
      </c>
      <c r="N7" s="1" t="n">
        <v>0.0866</v>
      </c>
      <c r="O7" s="18" t="n">
        <f aca="false">SUM(D7:N7)</f>
        <v>97.4163</v>
      </c>
      <c r="P7" s="3" t="n">
        <f aca="false">D7/$O7*100</f>
        <v>59.3652191676342</v>
      </c>
      <c r="Q7" s="3" t="n">
        <f aca="false">E7/$O7*100</f>
        <v>0.0433192391827651</v>
      </c>
      <c r="R7" s="3" t="n">
        <f aca="false">F7/$O7*100</f>
        <v>19.4734351438106</v>
      </c>
      <c r="S7" s="3" t="n">
        <f aca="false">G7/$O7*100</f>
        <v>0</v>
      </c>
      <c r="T7" s="3" t="n">
        <f aca="false">H7/$O7*100</f>
        <v>4.9954679042419</v>
      </c>
      <c r="U7" s="3" t="n">
        <f aca="false">I7/$O7*100</f>
        <v>0.275107964478224</v>
      </c>
      <c r="V7" s="3" t="n">
        <f aca="false">J7/$O7*100</f>
        <v>0.0663133377063181</v>
      </c>
      <c r="W7" s="3" t="n">
        <f aca="false">K7/$O7*100</f>
        <v>1.07682184603603</v>
      </c>
      <c r="X7" s="3" t="n">
        <f aca="false">L7/$O7*100</f>
        <v>8.76177805972922</v>
      </c>
      <c r="Y7" s="3" t="n">
        <f aca="false">M7/$O7*100</f>
        <v>5.85364050985307</v>
      </c>
      <c r="Z7" s="3" t="n">
        <f aca="false">N7/$O7*100</f>
        <v>0.0888968273276649</v>
      </c>
    </row>
    <row r="8" customFormat="false" ht="15" hidden="false" customHeight="false" outlineLevel="0" collapsed="false">
      <c r="A8" s="1" t="s">
        <v>179</v>
      </c>
      <c r="B8" s="1" t="s">
        <v>71</v>
      </c>
      <c r="C8" s="1" t="s">
        <v>255</v>
      </c>
      <c r="D8" s="1" t="n">
        <v>57.6179</v>
      </c>
      <c r="E8" s="1" t="n">
        <v>0.0214</v>
      </c>
      <c r="F8" s="1" t="n">
        <v>19.0553</v>
      </c>
      <c r="H8" s="1" t="n">
        <v>5.054</v>
      </c>
      <c r="I8" s="1" t="n">
        <v>0.1589</v>
      </c>
      <c r="J8" s="1" t="n">
        <v>0.0391</v>
      </c>
      <c r="K8" s="1" t="n">
        <v>1.088</v>
      </c>
      <c r="L8" s="1" t="n">
        <v>8.6137</v>
      </c>
      <c r="M8" s="1" t="n">
        <v>5.6939</v>
      </c>
      <c r="N8" s="1" t="n">
        <v>0.0162</v>
      </c>
      <c r="O8" s="18" t="n">
        <f aca="false">SUM(D8:N8)</f>
        <v>97.3584</v>
      </c>
      <c r="P8" s="3" t="n">
        <f aca="false">D8/$O8*100</f>
        <v>59.1812314088974</v>
      </c>
      <c r="Q8" s="3" t="n">
        <f aca="false">E8/$O8*100</f>
        <v>0.0219806406021463</v>
      </c>
      <c r="R8" s="3" t="n">
        <f aca="false">F8/$O8*100</f>
        <v>19.5723224703775</v>
      </c>
      <c r="S8" s="3" t="n">
        <f aca="false">G8/$O8*100</f>
        <v>0</v>
      </c>
      <c r="T8" s="3" t="n">
        <f aca="false">H8/$O8*100</f>
        <v>5.19112885996483</v>
      </c>
      <c r="U8" s="3" t="n">
        <f aca="false">I8/$O8*100</f>
        <v>0.163211392134628</v>
      </c>
      <c r="V8" s="3" t="n">
        <f aca="false">J8/$O8*100</f>
        <v>0.0401608900721458</v>
      </c>
      <c r="W8" s="3" t="n">
        <f aca="false">K8/$O8*100</f>
        <v>1.11752041939884</v>
      </c>
      <c r="X8" s="3" t="n">
        <f aca="false">L8/$O8*100</f>
        <v>8.84741326891157</v>
      </c>
      <c r="Y8" s="3" t="n">
        <f aca="false">M8/$O8*100</f>
        <v>5.84839109927854</v>
      </c>
      <c r="Z8" s="3" t="n">
        <f aca="false">N8/$O8*100</f>
        <v>0.0166395503623724</v>
      </c>
    </row>
    <row r="9" customFormat="false" ht="15" hidden="false" customHeight="false" outlineLevel="0" collapsed="false">
      <c r="A9" s="1" t="s">
        <v>183</v>
      </c>
      <c r="B9" s="1" t="s">
        <v>71</v>
      </c>
      <c r="C9" s="1" t="s">
        <v>255</v>
      </c>
      <c r="D9" s="1" t="n">
        <v>55.18</v>
      </c>
      <c r="E9" s="1" t="n">
        <v>0.0569</v>
      </c>
      <c r="F9" s="1" t="n">
        <v>18.0268</v>
      </c>
      <c r="H9" s="1" t="n">
        <v>5.0113</v>
      </c>
      <c r="I9" s="1" t="n">
        <v>0.2789</v>
      </c>
      <c r="J9" s="1" t="n">
        <v>0.0699</v>
      </c>
      <c r="K9" s="1" t="n">
        <v>1.0744</v>
      </c>
      <c r="L9" s="1" t="n">
        <v>8.298</v>
      </c>
      <c r="M9" s="1" t="n">
        <v>5.6151</v>
      </c>
      <c r="N9" s="1" t="n">
        <v>0.0486</v>
      </c>
      <c r="O9" s="18" t="n">
        <f aca="false">SUM(D9:N9)</f>
        <v>93.6599</v>
      </c>
      <c r="P9" s="3" t="n">
        <f aca="false">D9/$O9*100</f>
        <v>58.9152881862996</v>
      </c>
      <c r="Q9" s="3" t="n">
        <f aca="false">E9/$O9*100</f>
        <v>0.0607517197861625</v>
      </c>
      <c r="R9" s="3" t="n">
        <f aca="false">F9/$O9*100</f>
        <v>19.247084397912</v>
      </c>
      <c r="S9" s="3" t="n">
        <f aca="false">G9/$O9*100</f>
        <v>0</v>
      </c>
      <c r="T9" s="3" t="n">
        <f aca="false">H9/$O9*100</f>
        <v>5.35052888162383</v>
      </c>
      <c r="U9" s="3" t="n">
        <f aca="false">I9/$O9*100</f>
        <v>0.297779519303352</v>
      </c>
      <c r="V9" s="3" t="n">
        <f aca="false">J9/$O9*100</f>
        <v>0.0746317260641961</v>
      </c>
      <c r="W9" s="3" t="n">
        <f aca="false">K9/$O9*100</f>
        <v>1.14712913423995</v>
      </c>
      <c r="X9" s="3" t="n">
        <f aca="false">L9/$O9*100</f>
        <v>8.85971477654791</v>
      </c>
      <c r="Y9" s="3" t="n">
        <f aca="false">M9/$O9*100</f>
        <v>5.99520178859896</v>
      </c>
      <c r="Z9" s="3" t="n">
        <f aca="false">N9/$O9*100</f>
        <v>0.0518898696240333</v>
      </c>
    </row>
    <row r="10" customFormat="false" ht="15" hidden="false" customHeight="false" outlineLevel="0" collapsed="false">
      <c r="A10" s="1" t="s">
        <v>185</v>
      </c>
      <c r="B10" s="1" t="s">
        <v>71</v>
      </c>
      <c r="C10" s="1" t="s">
        <v>255</v>
      </c>
      <c r="D10" s="1" t="n">
        <v>57.2707</v>
      </c>
      <c r="E10" s="1" t="n">
        <v>0.077</v>
      </c>
      <c r="F10" s="1" t="n">
        <v>18.934</v>
      </c>
      <c r="H10" s="1" t="n">
        <v>4.639</v>
      </c>
      <c r="I10" s="1" t="n">
        <v>0.309</v>
      </c>
      <c r="J10" s="1" t="n">
        <v>0.0833</v>
      </c>
      <c r="K10" s="1" t="n">
        <v>1.0181</v>
      </c>
      <c r="L10" s="1" t="n">
        <v>8.6753</v>
      </c>
      <c r="M10" s="1" t="n">
        <v>5.6587</v>
      </c>
      <c r="N10" s="1" t="n">
        <v>0.0812</v>
      </c>
      <c r="O10" s="18" t="n">
        <f aca="false">SUM(D10:N10)</f>
        <v>96.7463</v>
      </c>
      <c r="P10" s="3" t="n">
        <f aca="false">D10/$O10*100</f>
        <v>59.1967858202329</v>
      </c>
      <c r="Q10" s="3" t="n">
        <f aca="false">E10/$O10*100</f>
        <v>0.0795896070444038</v>
      </c>
      <c r="R10" s="3" t="n">
        <f aca="false">F10/$O10*100</f>
        <v>19.5707742828408</v>
      </c>
      <c r="S10" s="3" t="n">
        <f aca="false">G10/$O10*100</f>
        <v>0</v>
      </c>
      <c r="T10" s="3" t="n">
        <f aca="false">H10/$O10*100</f>
        <v>4.79501541661025</v>
      </c>
      <c r="U10" s="3" t="n">
        <f aca="false">I10/$O10*100</f>
        <v>0.319392059437932</v>
      </c>
      <c r="V10" s="3" t="n">
        <f aca="false">J10/$O10*100</f>
        <v>0.0861014839844004</v>
      </c>
      <c r="W10" s="3" t="n">
        <f aca="false">K10/$O10*100</f>
        <v>1.05233998612867</v>
      </c>
      <c r="X10" s="3" t="n">
        <f aca="false">L10/$O10*100</f>
        <v>8.96706127262748</v>
      </c>
      <c r="Y10" s="3" t="n">
        <f aca="false">M10/$O10*100</f>
        <v>5.84900921275542</v>
      </c>
      <c r="Z10" s="3" t="n">
        <f aca="false">N10/$O10*100</f>
        <v>0.0839308583377349</v>
      </c>
    </row>
    <row r="11" customFormat="false" ht="15" hidden="false" customHeight="false" outlineLevel="0" collapsed="false">
      <c r="A11" s="1" t="s">
        <v>101</v>
      </c>
      <c r="B11" s="1" t="s">
        <v>71</v>
      </c>
      <c r="C11" s="1" t="s">
        <v>255</v>
      </c>
      <c r="D11" s="1" t="n">
        <v>58.1256</v>
      </c>
      <c r="E11" s="1" t="n">
        <v>0.0624</v>
      </c>
      <c r="F11" s="1" t="n">
        <v>18.8304</v>
      </c>
      <c r="H11" s="1" t="n">
        <v>5.0095</v>
      </c>
      <c r="I11" s="1" t="n">
        <v>0.2561</v>
      </c>
      <c r="J11" s="1" t="n">
        <v>0.0136</v>
      </c>
      <c r="K11" s="1" t="n">
        <v>1.0322</v>
      </c>
      <c r="L11" s="1" t="n">
        <v>8.6848</v>
      </c>
      <c r="M11" s="1" t="n">
        <v>5.6964</v>
      </c>
      <c r="N11" s="1" t="n">
        <v>0.1031</v>
      </c>
      <c r="O11" s="18" t="n">
        <f aca="false">SUM(D11:N11)</f>
        <v>97.8141</v>
      </c>
      <c r="P11" s="3" t="n">
        <f aca="false">D11/$O11*100</f>
        <v>59.4245614896012</v>
      </c>
      <c r="Q11" s="3" t="n">
        <f aca="false">E11/$O11*100</f>
        <v>0.0637944836173926</v>
      </c>
      <c r="R11" s="3" t="n">
        <f aca="false">F11/$O11*100</f>
        <v>19.2512122485409</v>
      </c>
      <c r="S11" s="3" t="n">
        <f aca="false">G11/$O11*100</f>
        <v>0</v>
      </c>
      <c r="T11" s="3" t="n">
        <f aca="false">H11/$O11*100</f>
        <v>5.12144977053411</v>
      </c>
      <c r="U11" s="3" t="n">
        <f aca="false">I11/$O11*100</f>
        <v>0.261823193179715</v>
      </c>
      <c r="V11" s="3" t="n">
        <f aca="false">J11/$O11*100</f>
        <v>0.0139039259166112</v>
      </c>
      <c r="W11" s="3" t="n">
        <f aca="false">K11/$O11*100</f>
        <v>1.05526708317104</v>
      </c>
      <c r="X11" s="3" t="n">
        <f aca="false">L11/$O11*100</f>
        <v>8.8788835147489</v>
      </c>
      <c r="Y11" s="3" t="n">
        <f aca="false">M11/$O11*100</f>
        <v>5.82370026407236</v>
      </c>
      <c r="Z11" s="3" t="n">
        <f aca="false">N11/$O11*100</f>
        <v>0.105404026617839</v>
      </c>
    </row>
    <row r="12" customFormat="false" ht="15" hidden="false" customHeight="false" outlineLevel="0" collapsed="false">
      <c r="A12" s="1" t="s">
        <v>103</v>
      </c>
      <c r="B12" s="1" t="s">
        <v>71</v>
      </c>
      <c r="C12" s="1" t="s">
        <v>255</v>
      </c>
      <c r="D12" s="1" t="n">
        <v>57.1947</v>
      </c>
      <c r="E12" s="1" t="n">
        <v>0.0416</v>
      </c>
      <c r="F12" s="1" t="n">
        <v>19.1296</v>
      </c>
      <c r="H12" s="1" t="n">
        <v>4.9885</v>
      </c>
      <c r="I12" s="1" t="n">
        <v>0.2032</v>
      </c>
      <c r="J12" s="1" t="n">
        <v>0.0392</v>
      </c>
      <c r="K12" s="1" t="n">
        <v>1.0847</v>
      </c>
      <c r="L12" s="1" t="n">
        <v>8.616</v>
      </c>
      <c r="M12" s="1" t="n">
        <v>5.8047</v>
      </c>
      <c r="N12" s="1" t="n">
        <v>0.1355</v>
      </c>
      <c r="O12" s="18" t="n">
        <f aca="false">SUM(D12:N12)</f>
        <v>97.2377</v>
      </c>
      <c r="P12" s="3" t="n">
        <f aca="false">D12/$O12*100</f>
        <v>58.8194702260543</v>
      </c>
      <c r="Q12" s="3" t="n">
        <f aca="false">E12/$O12*100</f>
        <v>0.0427817605722883</v>
      </c>
      <c r="R12" s="3" t="n">
        <f aca="false">F12/$O12*100</f>
        <v>19.6730280539338</v>
      </c>
      <c r="S12" s="3" t="n">
        <f aca="false">G12/$O12*100</f>
        <v>0</v>
      </c>
      <c r="T12" s="3" t="n">
        <f aca="false">H12/$O12*100</f>
        <v>5.13021184170337</v>
      </c>
      <c r="U12" s="3" t="n">
        <f aca="false">I12/$O12*100</f>
        <v>0.208972445872331</v>
      </c>
      <c r="V12" s="3" t="n">
        <f aca="false">J12/$O12*100</f>
        <v>0.0403135820777332</v>
      </c>
      <c r="W12" s="3" t="n">
        <f aca="false">K12/$O12*100</f>
        <v>1.1155138387683</v>
      </c>
      <c r="X12" s="3" t="n">
        <f aca="false">L12/$O12*100</f>
        <v>8.86076079545279</v>
      </c>
      <c r="Y12" s="3" t="n">
        <f aca="false">M12/$O12*100</f>
        <v>5.96959821139332</v>
      </c>
      <c r="Z12" s="3" t="n">
        <f aca="false">N12/$O12*100</f>
        <v>0.139349244171756</v>
      </c>
    </row>
    <row r="13" customFormat="false" ht="15" hidden="false" customHeight="false" outlineLevel="0" collapsed="false">
      <c r="C13" s="1" t="s">
        <v>14</v>
      </c>
      <c r="D13" s="3" t="n">
        <f aca="false">AVERAGE(D3:D12)</f>
        <v>57.46806</v>
      </c>
      <c r="E13" s="3" t="n">
        <f aca="false">AVERAGE(E3:E12)</f>
        <v>0.04757</v>
      </c>
      <c r="F13" s="3" t="n">
        <f aca="false">AVERAGE(F3:F12)</f>
        <v>18.91746</v>
      </c>
      <c r="G13" s="3"/>
      <c r="H13" s="3" t="n">
        <f aca="false">AVERAGE(H3:H12)</f>
        <v>4.90416</v>
      </c>
      <c r="I13" s="3" t="n">
        <f aca="false">AVERAGE(I3:I12)</f>
        <v>0.22614</v>
      </c>
      <c r="J13" s="3" t="n">
        <f aca="false">AVERAGE(J3:J12)</f>
        <v>0.05612</v>
      </c>
      <c r="K13" s="3" t="n">
        <f aca="false">AVERAGE(K3:K12)</f>
        <v>1.05708</v>
      </c>
      <c r="L13" s="3" t="n">
        <f aca="false">AVERAGE(L3:L12)</f>
        <v>8.60387</v>
      </c>
      <c r="M13" s="3" t="n">
        <f aca="false">AVERAGE(M3:M12)</f>
        <v>5.72893</v>
      </c>
      <c r="N13" s="3" t="n">
        <f aca="false">AVERAGE(N3:N12)</f>
        <v>0.06119</v>
      </c>
      <c r="O13" s="18" t="n">
        <f aca="false">SUM(D13:N13)</f>
        <v>97.07058</v>
      </c>
      <c r="P13" s="3" t="n">
        <f aca="false">AVERAGE(P3:P12)</f>
        <v>59.2010386259943</v>
      </c>
      <c r="Q13" s="3" t="n">
        <f aca="false">AVERAGE(Q3:Q12)</f>
        <v>0.0490630493807362</v>
      </c>
      <c r="R13" s="3" t="n">
        <f aca="false">AVERAGE(R3:R12)</f>
        <v>19.4876317836352</v>
      </c>
      <c r="S13" s="3" t="n">
        <f aca="false">AVERAGE(S3:S12)</f>
        <v>0</v>
      </c>
      <c r="T13" s="3" t="n">
        <f aca="false">AVERAGE(T3:T12)</f>
        <v>5.05315624845441</v>
      </c>
      <c r="U13" s="3" t="n">
        <f aca="false">AVERAGE(U3:U12)</f>
        <v>0.233278734439432</v>
      </c>
      <c r="V13" s="3" t="n">
        <f aca="false">AVERAGE(V3:V12)</f>
        <v>0.0579104167954179</v>
      </c>
      <c r="W13" s="3" t="n">
        <f aca="false">AVERAGE(W3:W12)</f>
        <v>1.0891975880609</v>
      </c>
      <c r="X13" s="3" t="n">
        <f aca="false">AVERAGE(X3:X12)</f>
        <v>8.86352469539371</v>
      </c>
      <c r="Y13" s="3" t="n">
        <f aca="false">AVERAGE(Y3:Y12)</f>
        <v>5.90218024301723</v>
      </c>
      <c r="Z13" s="3" t="n">
        <f aca="false">AVERAGE(Z3:Z12)</f>
        <v>0.0630186148286201</v>
      </c>
    </row>
    <row r="14" customFormat="false" ht="15" hidden="false" customHeight="false" outlineLevel="0" collapsed="false">
      <c r="C14" s="1" t="s">
        <v>81</v>
      </c>
      <c r="D14" s="3" t="n">
        <f aca="false">_xlfn.STDEV.P(D3:D12)</f>
        <v>0.814618951657767</v>
      </c>
      <c r="E14" s="3" t="n">
        <f aca="false">_xlfn.STDEV.P(E3:E12)</f>
        <v>0.0151189318405766</v>
      </c>
      <c r="F14" s="3" t="n">
        <f aca="false">_xlfn.STDEV.P(F3:F12)</f>
        <v>0.311571684207663</v>
      </c>
      <c r="G14" s="3"/>
      <c r="H14" s="3" t="n">
        <f aca="false">_xlfn.STDEV.P(H3:H12)</f>
        <v>0.165470826431731</v>
      </c>
      <c r="I14" s="3" t="n">
        <f aca="false">_xlfn.STDEV.P(I3:I12)</f>
        <v>0.0502186260266049</v>
      </c>
      <c r="J14" s="3" t="n">
        <f aca="false">_xlfn.STDEV.P(J3:J12)</f>
        <v>0.0227132032087066</v>
      </c>
      <c r="K14" s="3" t="n">
        <f aca="false">_xlfn.STDEV.P(K3:K12)</f>
        <v>0.0252626918597366</v>
      </c>
      <c r="L14" s="3" t="n">
        <f aca="false">_xlfn.STDEV.P(L3:L12)</f>
        <v>0.13725294204497</v>
      </c>
      <c r="M14" s="3" t="n">
        <f aca="false">_xlfn.STDEV.P(M3:M12)</f>
        <v>0.0655453896166619</v>
      </c>
      <c r="N14" s="3" t="n">
        <f aca="false">_xlfn.STDEV.P(N3:N12)</f>
        <v>0.0387298450810225</v>
      </c>
      <c r="O14" s="3"/>
      <c r="P14" s="3" t="n">
        <f aca="false">_xlfn.STDEV.P(P3:P12)</f>
        <v>0.203240493957072</v>
      </c>
      <c r="Q14" s="3" t="n">
        <f aca="false">_xlfn.STDEV.P(Q3:Q12)</f>
        <v>0.0157499785317695</v>
      </c>
      <c r="R14" s="3" t="n">
        <f aca="false">_xlfn.STDEV.P(R3:R12)</f>
        <v>0.143987701051971</v>
      </c>
      <c r="S14" s="3" t="n">
        <f aca="false">_xlfn.STDEV.P(S3:S12)</f>
        <v>0</v>
      </c>
      <c r="T14" s="3" t="n">
        <f aca="false">_xlfn.STDEV.P(T3:T12)</f>
        <v>0.188419870561488</v>
      </c>
      <c r="U14" s="3" t="n">
        <f aca="false">_xlfn.STDEV.P(U3:U12)</f>
        <v>0.0532030829163623</v>
      </c>
      <c r="V14" s="3" t="n">
        <f aca="false">_xlfn.STDEV.P(V3:V12)</f>
        <v>0.0235649244066529</v>
      </c>
      <c r="W14" s="3" t="n">
        <f aca="false">_xlfn.STDEV.P(W3:W12)</f>
        <v>0.0313039728236799</v>
      </c>
      <c r="X14" s="3" t="n">
        <f aca="false">_xlfn.STDEV.P(X3:X12)</f>
        <v>0.092277925316865</v>
      </c>
      <c r="Y14" s="3" t="n">
        <f aca="false">_xlfn.STDEV.P(Y3:Y12)</f>
        <v>0.0603134707753758</v>
      </c>
      <c r="Z14" s="3" t="n">
        <f aca="false">_xlfn.STDEV.P(Z3:Z12)</f>
        <v>0.0397382247288014</v>
      </c>
    </row>
    <row r="15" customFormat="false" ht="15" hidden="false" customHeight="false" outlineLevel="0" collapsed="false">
      <c r="C15" s="1" t="s">
        <v>66</v>
      </c>
      <c r="D15" s="3" t="n">
        <f aca="false">D13/$O$13*100</f>
        <v>59.2023453450057</v>
      </c>
      <c r="E15" s="3" t="n">
        <f aca="false">E13/$O$13*100</f>
        <v>0.0490055792393535</v>
      </c>
      <c r="F15" s="3" t="n">
        <f aca="false">F13/$O$13*100</f>
        <v>19.4883557922493</v>
      </c>
      <c r="G15" s="3"/>
      <c r="H15" s="3" t="n">
        <f aca="false">H13/$O$13*100</f>
        <v>5.05215895485532</v>
      </c>
      <c r="I15" s="3" t="n">
        <f aca="false">I13/$O$13*100</f>
        <v>0.23296450891712</v>
      </c>
      <c r="J15" s="3" t="n">
        <f aca="false">J13/$O$13*100</f>
        <v>0.0578136032565171</v>
      </c>
      <c r="K15" s="3" t="n">
        <f aca="false">K13/$O$13*100</f>
        <v>1.08898082199571</v>
      </c>
      <c r="L15" s="3" t="n">
        <f aca="false">L13/$O$13*100</f>
        <v>8.86351971936296</v>
      </c>
      <c r="M15" s="3" t="n">
        <f aca="false">M13/$O$13*100</f>
        <v>5.90181906814609</v>
      </c>
      <c r="N15" s="3" t="n">
        <f aca="false">N13/$O$13*100</f>
        <v>0.0630366069719579</v>
      </c>
      <c r="O15" s="3"/>
    </row>
    <row r="16" customFormat="false" ht="15" hidden="false" customHeight="false" outlineLevel="0" collapsed="false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customFormat="false" ht="15" hidden="false" customHeight="false" outlineLevel="0" collapsed="false">
      <c r="A17" s="16" t="s">
        <v>85</v>
      </c>
      <c r="B17" s="17" t="s">
        <v>256</v>
      </c>
      <c r="C17" s="17" t="s">
        <v>255</v>
      </c>
      <c r="D17" s="18" t="n">
        <v>0.7259</v>
      </c>
      <c r="E17" s="18" t="n">
        <v>1.0666</v>
      </c>
      <c r="F17" s="18" t="n">
        <v>1.8261</v>
      </c>
      <c r="G17" s="18"/>
      <c r="H17" s="18" t="n">
        <v>86.3826</v>
      </c>
      <c r="I17" s="18" t="n">
        <v>0.7957</v>
      </c>
      <c r="J17" s="18" t="n">
        <v>0.1334</v>
      </c>
      <c r="K17" s="18" t="n">
        <v>0.0429</v>
      </c>
      <c r="L17" s="18" t="n">
        <v>0.0051</v>
      </c>
      <c r="M17" s="18" t="n">
        <v>0.1418</v>
      </c>
      <c r="N17" s="3" t="n">
        <v>0</v>
      </c>
      <c r="O17" s="3" t="n">
        <f aca="false">SUM(D17:N17)</f>
        <v>91.1201</v>
      </c>
    </row>
    <row r="18" customFormat="false" ht="15" hidden="false" customHeight="false" outlineLevel="0" collapsed="false">
      <c r="A18" s="16" t="s">
        <v>98</v>
      </c>
      <c r="B18" s="17" t="s">
        <v>256</v>
      </c>
      <c r="C18" s="17" t="s">
        <v>255</v>
      </c>
      <c r="D18" s="18" t="n">
        <v>0.9064</v>
      </c>
      <c r="E18" s="18" t="n">
        <v>0.6664</v>
      </c>
      <c r="F18" s="18" t="n">
        <v>1.8759</v>
      </c>
      <c r="G18" s="18"/>
      <c r="H18" s="18" t="n">
        <v>86.8351</v>
      </c>
      <c r="I18" s="18" t="n">
        <v>0.7958</v>
      </c>
      <c r="J18" s="18" t="n">
        <v>0.101</v>
      </c>
      <c r="K18" s="18" t="n">
        <v>0.0572</v>
      </c>
      <c r="L18" s="18" t="n">
        <v>0</v>
      </c>
      <c r="M18" s="18" t="n">
        <v>0.1129</v>
      </c>
      <c r="N18" s="3" t="n">
        <v>0.0529</v>
      </c>
      <c r="O18" s="3" t="n">
        <f aca="false">SUM(D18:N18)</f>
        <v>91.4036</v>
      </c>
    </row>
    <row r="19" customFormat="false" ht="15" hidden="false" customHeight="false" outlineLevel="0" collapsed="false">
      <c r="A19" s="16" t="s">
        <v>86</v>
      </c>
      <c r="B19" s="17" t="s">
        <v>256</v>
      </c>
      <c r="C19" s="17" t="s">
        <v>255</v>
      </c>
      <c r="D19" s="18" t="n">
        <v>0.697</v>
      </c>
      <c r="E19" s="18" t="n">
        <v>0.6815</v>
      </c>
      <c r="F19" s="18" t="n">
        <v>1.7954</v>
      </c>
      <c r="G19" s="18"/>
      <c r="H19" s="18" t="n">
        <v>87.4314</v>
      </c>
      <c r="I19" s="18" t="n">
        <v>0.8422</v>
      </c>
      <c r="J19" s="18" t="n">
        <v>0.0477</v>
      </c>
      <c r="K19" s="18" t="n">
        <v>0.0324</v>
      </c>
      <c r="L19" s="18" t="n">
        <v>0</v>
      </c>
      <c r="M19" s="18" t="n">
        <v>0.0835</v>
      </c>
      <c r="N19" s="3" t="n">
        <v>0.0075</v>
      </c>
      <c r="O19" s="3" t="n">
        <f aca="false">SUM(D19:N19)</f>
        <v>91.6186</v>
      </c>
    </row>
    <row r="20" customFormat="false" ht="15" hidden="false" customHeight="false" outlineLevel="0" collapsed="false">
      <c r="A20" s="16" t="s">
        <v>87</v>
      </c>
      <c r="B20" s="17" t="s">
        <v>256</v>
      </c>
      <c r="C20" s="17" t="s">
        <v>255</v>
      </c>
      <c r="D20" s="18" t="n">
        <v>0.7932</v>
      </c>
      <c r="E20" s="18" t="n">
        <v>2.1145</v>
      </c>
      <c r="F20" s="18" t="n">
        <v>1.6346</v>
      </c>
      <c r="G20" s="18"/>
      <c r="H20" s="18" t="n">
        <v>85.9127</v>
      </c>
      <c r="I20" s="18" t="n">
        <v>0.9228</v>
      </c>
      <c r="J20" s="18" t="n">
        <v>0.0939</v>
      </c>
      <c r="K20" s="18" t="n">
        <v>0.0442</v>
      </c>
      <c r="L20" s="18" t="n">
        <v>0.0161</v>
      </c>
      <c r="M20" s="18" t="n">
        <v>0.0949</v>
      </c>
      <c r="N20" s="3" t="n">
        <v>0</v>
      </c>
      <c r="O20" s="3" t="n">
        <f aca="false">SUM(D20:N20)</f>
        <v>91.6269</v>
      </c>
    </row>
    <row r="21" customFormat="false" ht="15" hidden="false" customHeight="false" outlineLevel="0" collapsed="false">
      <c r="C21" s="1" t="s">
        <v>30</v>
      </c>
      <c r="D21" s="3" t="n">
        <f aca="false">AVERAGE(D17:D20)</f>
        <v>0.780625</v>
      </c>
      <c r="E21" s="3" t="n">
        <f aca="false">AVERAGE(E17:E20)</f>
        <v>1.13225</v>
      </c>
      <c r="F21" s="3" t="n">
        <f aca="false">AVERAGE(F17:F20)</f>
        <v>1.783</v>
      </c>
      <c r="G21" s="3"/>
      <c r="H21" s="3" t="n">
        <f aca="false">AVERAGE(H17:H20)</f>
        <v>86.64045</v>
      </c>
      <c r="I21" s="3" t="n">
        <f aca="false">AVERAGE(I17:I20)</f>
        <v>0.839125</v>
      </c>
      <c r="J21" s="3" t="n">
        <f aca="false">AVERAGE(J17:J20)</f>
        <v>0.094</v>
      </c>
      <c r="K21" s="3" t="n">
        <f aca="false">AVERAGE(K17:K20)</f>
        <v>0.044175</v>
      </c>
      <c r="L21" s="3" t="n">
        <f aca="false">AVERAGE(L17:L20)</f>
        <v>0.0053</v>
      </c>
      <c r="M21" s="3" t="n">
        <f aca="false">AVERAGE(M17:M20)</f>
        <v>0.108275</v>
      </c>
      <c r="N21" s="3"/>
      <c r="O21" s="3" t="n">
        <f aca="false">SUM(D21:N21)</f>
        <v>91.4272</v>
      </c>
    </row>
    <row r="22" customFormat="false" ht="15" hidden="false" customHeight="false" outlineLevel="0" collapsed="false">
      <c r="C22" s="1" t="s">
        <v>81</v>
      </c>
      <c r="D22" s="3" t="n">
        <f aca="false">_xlfn.STDEV.P(D17:D20)</f>
        <v>0.0805689882957449</v>
      </c>
      <c r="E22" s="3" t="n">
        <f aca="false">_xlfn.STDEV.P(E17:E20)</f>
        <v>0.589346411289659</v>
      </c>
      <c r="F22" s="3" t="n">
        <f aca="false">_xlfn.STDEV.P(F17:F20)</f>
        <v>0.0903663930894666</v>
      </c>
      <c r="G22" s="3"/>
      <c r="H22" s="3" t="n">
        <f aca="false">_xlfn.STDEV.P(H17:H20)</f>
        <v>0.561158892382539</v>
      </c>
      <c r="I22" s="3" t="n">
        <f aca="false">_xlfn.STDEV.P(I17:I20)</f>
        <v>0.051898332102294</v>
      </c>
      <c r="J22" s="3" t="n">
        <f aca="false">_xlfn.STDEV.P(J17:J20)</f>
        <v>0.0305984476730438</v>
      </c>
      <c r="K22" s="3" t="n">
        <f aca="false">_xlfn.STDEV.P(K17:K20)</f>
        <v>0.0088023789398094</v>
      </c>
      <c r="L22" s="3" t="n">
        <f aca="false">_xlfn.STDEV.P(L17:L20)</f>
        <v>0.00657381167968782</v>
      </c>
      <c r="M22" s="3" t="n">
        <f aca="false">_xlfn.STDEV.P(M17:M20)</f>
        <v>0.0220114032946562</v>
      </c>
      <c r="N22" s="3"/>
      <c r="O22" s="3"/>
    </row>
    <row r="23" customFormat="false" ht="15" hidden="false" customHeight="false" outlineLevel="0" collapsed="false">
      <c r="C23" s="1" t="s">
        <v>66</v>
      </c>
      <c r="D23" s="3" t="n">
        <f aca="false">D21/$O$21*100</f>
        <v>0.853821401071016</v>
      </c>
      <c r="E23" s="3" t="n">
        <f aca="false">E21/$O$21*100</f>
        <v>1.23841701375521</v>
      </c>
      <c r="F23" s="3" t="n">
        <f aca="false">F21/$O$21*100</f>
        <v>1.95018550278254</v>
      </c>
      <c r="G23" s="3"/>
      <c r="H23" s="3" t="n">
        <f aca="false">H21/$O$21*100</f>
        <v>94.7644136537048</v>
      </c>
      <c r="I23" s="3" t="n">
        <f aca="false">I21/$O$21*100</f>
        <v>0.917806735851038</v>
      </c>
      <c r="J23" s="3" t="n">
        <f aca="false">J21/$O$21*100</f>
        <v>0.102814042210633</v>
      </c>
      <c r="K23" s="3" t="n">
        <f aca="false">K21/$O$21*100</f>
        <v>0.0483171310069651</v>
      </c>
      <c r="L23" s="3" t="n">
        <f aca="false">L21/$O$21*100</f>
        <v>0.00579696195442932</v>
      </c>
      <c r="M23" s="3" t="n">
        <f aca="false">M21/$O$21*100</f>
        <v>0.118427557663365</v>
      </c>
      <c r="N23" s="3"/>
      <c r="O23" s="3"/>
    </row>
    <row r="24" customFormat="false" ht="15" hidden="false" customHeight="false" outlineLevel="0" collapsed="false"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customFormat="false" ht="15" hidden="false" customHeight="false" outlineLevel="0" collapsed="false">
      <c r="A25" s="1" t="s">
        <v>99</v>
      </c>
      <c r="B25" s="1" t="s">
        <v>256</v>
      </c>
      <c r="C25" s="1" t="s">
        <v>255</v>
      </c>
      <c r="D25" s="3" t="n">
        <v>38.7535</v>
      </c>
      <c r="E25" s="3" t="n">
        <v>0.1829</v>
      </c>
      <c r="F25" s="3" t="n">
        <v>8.903</v>
      </c>
      <c r="G25" s="3"/>
      <c r="H25" s="3" t="n">
        <v>32.4039</v>
      </c>
      <c r="I25" s="3" t="n">
        <v>1.6082</v>
      </c>
      <c r="J25" s="3" t="n">
        <v>0.2764</v>
      </c>
      <c r="K25" s="3" t="n">
        <v>9.7173</v>
      </c>
      <c r="L25" s="3" t="n">
        <v>2.6447</v>
      </c>
      <c r="M25" s="3" t="n">
        <v>1.7237</v>
      </c>
      <c r="N25" s="3" t="n">
        <v>0</v>
      </c>
      <c r="O25" s="3" t="n">
        <f aca="false">SUM(D25:N25)</f>
        <v>96.2136</v>
      </c>
    </row>
    <row r="26" customFormat="false" ht="15" hidden="false" customHeight="false" outlineLevel="0" collapsed="false">
      <c r="A26" s="1" t="s">
        <v>100</v>
      </c>
      <c r="B26" s="1" t="s">
        <v>256</v>
      </c>
      <c r="C26" s="1" t="s">
        <v>255</v>
      </c>
      <c r="D26" s="3" t="n">
        <v>38.5593</v>
      </c>
      <c r="E26" s="3" t="n">
        <v>0.1848</v>
      </c>
      <c r="F26" s="3" t="n">
        <v>9.5072</v>
      </c>
      <c r="G26" s="3"/>
      <c r="H26" s="3" t="n">
        <v>32.5801</v>
      </c>
      <c r="I26" s="3" t="n">
        <v>1.6989</v>
      </c>
      <c r="J26" s="3" t="n">
        <v>0.2134</v>
      </c>
      <c r="K26" s="3" t="n">
        <v>9.786</v>
      </c>
      <c r="L26" s="3" t="n">
        <v>2.6776</v>
      </c>
      <c r="M26" s="3" t="n">
        <v>1.7701</v>
      </c>
      <c r="N26" s="3" t="n">
        <v>0</v>
      </c>
      <c r="O26" s="3" t="n">
        <f aca="false">SUM(D26:N26)</f>
        <v>96.9774</v>
      </c>
    </row>
    <row r="27" customFormat="false" ht="15" hidden="false" customHeight="false" outlineLevel="0" collapsed="false">
      <c r="A27" s="1" t="s">
        <v>93</v>
      </c>
      <c r="B27" s="1" t="s">
        <v>256</v>
      </c>
      <c r="C27" s="1" t="s">
        <v>255</v>
      </c>
      <c r="D27" s="3" t="n">
        <v>40.163</v>
      </c>
      <c r="E27" s="3" t="n">
        <v>0.2587</v>
      </c>
      <c r="F27" s="3" t="n">
        <v>9.3756</v>
      </c>
      <c r="G27" s="3"/>
      <c r="H27" s="3" t="n">
        <v>31.8927</v>
      </c>
      <c r="I27" s="3" t="n">
        <v>1.5969</v>
      </c>
      <c r="J27" s="3" t="n">
        <v>0.3373</v>
      </c>
      <c r="K27" s="3" t="n">
        <v>9.4821</v>
      </c>
      <c r="L27" s="3" t="n">
        <v>2.9653</v>
      </c>
      <c r="M27" s="3" t="n">
        <v>1.8651</v>
      </c>
      <c r="N27" s="3" t="n">
        <v>0</v>
      </c>
      <c r="O27" s="3" t="n">
        <f aca="false">SUM(D27:N27)</f>
        <v>97.9367</v>
      </c>
    </row>
    <row r="28" customFormat="false" ht="15" hidden="false" customHeight="false" outlineLevel="0" collapsed="false">
      <c r="A28" s="1" t="s">
        <v>88</v>
      </c>
      <c r="B28" s="1" t="s">
        <v>256</v>
      </c>
      <c r="C28" s="1" t="s">
        <v>255</v>
      </c>
      <c r="D28" s="3" t="n">
        <v>37.4151</v>
      </c>
      <c r="E28" s="3" t="n">
        <v>0.4645</v>
      </c>
      <c r="F28" s="3" t="n">
        <v>9.8029</v>
      </c>
      <c r="G28" s="3"/>
      <c r="H28" s="3" t="n">
        <v>31.4436</v>
      </c>
      <c r="I28" s="3" t="n">
        <v>1.2402</v>
      </c>
      <c r="J28" s="3" t="n">
        <v>0.7759</v>
      </c>
      <c r="K28" s="3" t="n">
        <v>9.2985</v>
      </c>
      <c r="L28" s="3" t="n">
        <v>2.5993</v>
      </c>
      <c r="M28" s="3" t="n">
        <v>1.7693</v>
      </c>
      <c r="N28" s="3" t="n">
        <v>0.0324</v>
      </c>
      <c r="O28" s="3" t="n">
        <f aca="false">SUM(D28:N28)</f>
        <v>94.8417</v>
      </c>
    </row>
    <row r="29" customFormat="false" ht="15" hidden="false" customHeight="false" outlineLevel="0" collapsed="false">
      <c r="A29" s="1" t="s">
        <v>191</v>
      </c>
      <c r="B29" s="1" t="s">
        <v>256</v>
      </c>
      <c r="C29" s="1" t="s">
        <v>255</v>
      </c>
      <c r="D29" s="3" t="n">
        <v>37.518</v>
      </c>
      <c r="E29" s="3" t="n">
        <v>0.335</v>
      </c>
      <c r="F29" s="3" t="n">
        <v>10.4737</v>
      </c>
      <c r="G29" s="3"/>
      <c r="H29" s="3" t="n">
        <v>32.3289</v>
      </c>
      <c r="I29" s="3" t="n">
        <v>1.5258</v>
      </c>
      <c r="J29" s="3" t="n">
        <v>0.4663</v>
      </c>
      <c r="K29" s="3" t="n">
        <v>9.749</v>
      </c>
      <c r="L29" s="3" t="n">
        <v>2.6042</v>
      </c>
      <c r="M29" s="3" t="n">
        <v>1.8004</v>
      </c>
      <c r="N29" s="3" t="n">
        <v>0.0161</v>
      </c>
      <c r="O29" s="3" t="n">
        <f aca="false">SUM(D29:N29)</f>
        <v>96.8174</v>
      </c>
    </row>
    <row r="30" customFormat="false" ht="15" hidden="false" customHeight="false" outlineLevel="0" collapsed="false">
      <c r="A30" s="1" t="s">
        <v>186</v>
      </c>
      <c r="B30" s="1" t="s">
        <v>256</v>
      </c>
      <c r="C30" s="1" t="s">
        <v>255</v>
      </c>
      <c r="D30" s="3" t="n">
        <v>37.6271</v>
      </c>
      <c r="E30" s="3" t="n">
        <v>0.2676</v>
      </c>
      <c r="F30" s="3" t="n">
        <v>9.9754</v>
      </c>
      <c r="G30" s="3"/>
      <c r="H30" s="3" t="n">
        <v>32.5432</v>
      </c>
      <c r="I30" s="3" t="n">
        <v>1.3927</v>
      </c>
      <c r="J30" s="3" t="n">
        <v>0.4591</v>
      </c>
      <c r="K30" s="3" t="n">
        <v>9.7409</v>
      </c>
      <c r="L30" s="3" t="n">
        <v>2.6131</v>
      </c>
      <c r="M30" s="3" t="n">
        <v>1.823</v>
      </c>
      <c r="N30" s="3" t="n">
        <v>0.0164</v>
      </c>
      <c r="O30" s="3" t="n">
        <f aca="false">SUM(D30:N30)</f>
        <v>96.4585</v>
      </c>
    </row>
    <row r="31" customFormat="false" ht="15" hidden="false" customHeight="false" outlineLevel="0" collapsed="false">
      <c r="A31" s="1" t="s">
        <v>190</v>
      </c>
      <c r="B31" s="1" t="s">
        <v>256</v>
      </c>
      <c r="C31" s="1" t="s">
        <v>255</v>
      </c>
      <c r="D31" s="3" t="n">
        <v>38.4308</v>
      </c>
      <c r="E31" s="3" t="n">
        <v>0.3253</v>
      </c>
      <c r="F31" s="3" t="n">
        <v>9.3036</v>
      </c>
      <c r="G31" s="3"/>
      <c r="H31" s="3" t="n">
        <v>31.6101</v>
      </c>
      <c r="I31" s="3" t="n">
        <v>1.4492</v>
      </c>
      <c r="J31" s="3" t="n">
        <v>0.4959</v>
      </c>
      <c r="K31" s="3" t="n">
        <v>9.6305</v>
      </c>
      <c r="L31" s="3" t="n">
        <v>2.5799</v>
      </c>
      <c r="M31" s="3" t="n">
        <v>1.6852</v>
      </c>
      <c r="N31" s="3" t="n">
        <v>0</v>
      </c>
      <c r="O31" s="3" t="n">
        <f aca="false">SUM(D31:N31)</f>
        <v>95.5105</v>
      </c>
    </row>
    <row r="32" customFormat="false" ht="15" hidden="false" customHeight="false" outlineLevel="0" collapsed="false">
      <c r="A32" s="1" t="s">
        <v>104</v>
      </c>
      <c r="B32" s="1" t="s">
        <v>36</v>
      </c>
      <c r="C32" s="1" t="s">
        <v>255</v>
      </c>
      <c r="D32" s="3" t="n">
        <v>39.2463</v>
      </c>
      <c r="E32" s="3" t="n">
        <v>0.0715</v>
      </c>
      <c r="F32" s="3" t="n">
        <v>8.9255</v>
      </c>
      <c r="G32" s="3" t="n">
        <v>0.043</v>
      </c>
      <c r="H32" s="3" t="n">
        <v>32.998</v>
      </c>
      <c r="I32" s="3" t="n">
        <v>1.8044</v>
      </c>
      <c r="J32" s="3" t="n">
        <v>0.1738</v>
      </c>
      <c r="K32" s="3" t="n">
        <v>9.6538</v>
      </c>
      <c r="L32" s="3" t="n">
        <v>2.5979</v>
      </c>
      <c r="M32" s="3" t="n">
        <v>1.7928</v>
      </c>
      <c r="N32" s="3"/>
      <c r="O32" s="3" t="n">
        <f aca="false">SUM(D32:N32)</f>
        <v>97.307</v>
      </c>
    </row>
    <row r="33" customFormat="false" ht="15" hidden="false" customHeight="false" outlineLevel="0" collapsed="false">
      <c r="C33" s="1" t="s">
        <v>32</v>
      </c>
      <c r="D33" s="3" t="n">
        <f aca="false">AVERAGE(D25:D32)</f>
        <v>38.4641375</v>
      </c>
      <c r="E33" s="3" t="n">
        <f aca="false">AVERAGE(E25:E32)</f>
        <v>0.2612875</v>
      </c>
      <c r="F33" s="3" t="n">
        <f aca="false">AVERAGE(F25:F32)</f>
        <v>9.5333625</v>
      </c>
      <c r="G33" s="3" t="n">
        <f aca="false">AVERAGE(G25:G32)</f>
        <v>0.043</v>
      </c>
      <c r="H33" s="3" t="n">
        <f aca="false">AVERAGE(H25:H32)</f>
        <v>32.2250625</v>
      </c>
      <c r="I33" s="3" t="n">
        <f aca="false">AVERAGE(I25:I32)</f>
        <v>1.5395375</v>
      </c>
      <c r="J33" s="3" t="n">
        <f aca="false">AVERAGE(J25:J32)</f>
        <v>0.3997625</v>
      </c>
      <c r="K33" s="3" t="n">
        <f aca="false">AVERAGE(K25:K32)</f>
        <v>9.6322625</v>
      </c>
      <c r="L33" s="3" t="n">
        <f aca="false">AVERAGE(L25:L32)</f>
        <v>2.66025</v>
      </c>
      <c r="M33" s="3" t="n">
        <f aca="false">AVERAGE(M25:M32)</f>
        <v>1.7787</v>
      </c>
      <c r="N33" s="3" t="n">
        <f aca="false">AVERAGE(N25:N32)</f>
        <v>0.00927142857142857</v>
      </c>
      <c r="O33" s="3" t="n">
        <f aca="false">SUM(D33:N33)</f>
        <v>96.5466339285714</v>
      </c>
    </row>
    <row r="34" customFormat="false" ht="15" hidden="false" customHeight="false" outlineLevel="0" collapsed="false">
      <c r="C34" s="1" t="s">
        <v>81</v>
      </c>
      <c r="D34" s="3" t="n">
        <f aca="false">_xlfn.STDEV.P(D25:D32)</f>
        <v>0.886573286504702</v>
      </c>
      <c r="E34" s="3" t="n">
        <f aca="false">_xlfn.STDEV.P(E25:E32)</f>
        <v>0.111179600618774</v>
      </c>
      <c r="F34" s="3" t="n">
        <f aca="false">_xlfn.STDEV.P(F25:F32)</f>
        <v>0.499687429643522</v>
      </c>
      <c r="G34" s="3" t="n">
        <f aca="false">_xlfn.STDEV.P(G25:G32)</f>
        <v>0</v>
      </c>
      <c r="H34" s="3" t="n">
        <f aca="false">_xlfn.STDEV.P(H25:H32)</f>
        <v>0.495831107680579</v>
      </c>
      <c r="I34" s="3" t="n">
        <f aca="false">_xlfn.STDEV.P(I25:I32)</f>
        <v>0.166983277138012</v>
      </c>
      <c r="J34" s="3" t="n">
        <f aca="false">_xlfn.STDEV.P(J25:J32)</f>
        <v>0.181514434257306</v>
      </c>
      <c r="K34" s="3" t="n">
        <f aca="false">_xlfn.STDEV.P(K25:K32)</f>
        <v>0.154397821693669</v>
      </c>
      <c r="L34" s="3" t="n">
        <f aca="false">_xlfn.STDEV.P(L25:L32)</f>
        <v>0.118860001682652</v>
      </c>
      <c r="M34" s="3" t="n">
        <f aca="false">_xlfn.STDEV.P(M25:M32)</f>
        <v>0.0524722783953584</v>
      </c>
      <c r="N34" s="3" t="n">
        <f aca="false">_xlfn.STDEV.P(N25:N32)</f>
        <v>0.0118092837917238</v>
      </c>
      <c r="O34" s="3"/>
    </row>
    <row r="35" customFormat="false" ht="15" hidden="false" customHeight="false" outlineLevel="0" collapsed="false">
      <c r="C35" s="1" t="s">
        <v>66</v>
      </c>
      <c r="D35" s="3" t="n">
        <f aca="false">D33/$O$33*100</f>
        <v>39.8399570599811</v>
      </c>
      <c r="E35" s="3" t="n">
        <f aca="false">E33/$O$33*100</f>
        <v>0.27063346423171</v>
      </c>
      <c r="F35" s="3" t="n">
        <f aca="false">F33/$O$33*100</f>
        <v>9.87436030867023</v>
      </c>
      <c r="G35" s="3" t="n">
        <f aca="false">G33/$O$33*100</f>
        <v>0.0445380623334967</v>
      </c>
      <c r="H35" s="3" t="n">
        <f aca="false">H33/$O$33*100</f>
        <v>33.3777172633913</v>
      </c>
      <c r="I35" s="3" t="n">
        <f aca="false">I33/$O$33*100</f>
        <v>1.59460504976176</v>
      </c>
      <c r="J35" s="3" t="n">
        <f aca="false">J33/$O$33*100</f>
        <v>0.414061561478941</v>
      </c>
      <c r="K35" s="3" t="n">
        <f aca="false">K33/$O$33*100</f>
        <v>9.97679785203727</v>
      </c>
      <c r="L35" s="3" t="n">
        <f aca="false">L33/$O$33*100</f>
        <v>2.7554041935508</v>
      </c>
      <c r="M35" s="3" t="n">
        <f aca="false">M33/$O$33*100</f>
        <v>1.84232212726955</v>
      </c>
      <c r="N35" s="3" t="n">
        <f aca="false">N33/$O$33*100</f>
        <v>0.00960305729383367</v>
      </c>
      <c r="O35" s="3"/>
    </row>
    <row r="36" customFormat="false" ht="15" hidden="false" customHeight="false" outlineLevel="0" collapsed="false"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customFormat="false" ht="15" hidden="false" customHeight="false" outlineLevel="0" collapsed="false">
      <c r="A37" s="16" t="s">
        <v>133</v>
      </c>
      <c r="B37" s="16" t="s">
        <v>256</v>
      </c>
      <c r="C37" s="17" t="s">
        <v>255</v>
      </c>
      <c r="D37" s="18" t="n">
        <v>64.7784</v>
      </c>
      <c r="E37" s="18" t="n">
        <v>0</v>
      </c>
      <c r="F37" s="18" t="n">
        <v>20.289</v>
      </c>
      <c r="G37" s="18" t="n">
        <v>0</v>
      </c>
      <c r="H37" s="18" t="n">
        <v>0.9443</v>
      </c>
      <c r="I37" s="18" t="n">
        <v>0.1228</v>
      </c>
      <c r="J37" s="18" t="n">
        <v>0.0174</v>
      </c>
      <c r="K37" s="18" t="n">
        <v>1.4815</v>
      </c>
      <c r="L37" s="18" t="n">
        <v>7.1183</v>
      </c>
      <c r="M37" s="18" t="n">
        <v>5.2314</v>
      </c>
      <c r="N37" s="3" t="n">
        <v>0</v>
      </c>
      <c r="O37" s="3" t="n">
        <f aca="false">SUM(D37:N37)</f>
        <v>99.9831</v>
      </c>
    </row>
    <row r="38" customFormat="false" ht="15" hidden="false" customHeight="false" outlineLevel="0" collapsed="false">
      <c r="A38" s="16" t="s">
        <v>135</v>
      </c>
      <c r="B38" s="16" t="s">
        <v>256</v>
      </c>
      <c r="C38" s="17" t="s">
        <v>255</v>
      </c>
      <c r="D38" s="18" t="n">
        <v>64.8661</v>
      </c>
      <c r="E38" s="18" t="n">
        <v>0.032</v>
      </c>
      <c r="F38" s="18" t="n">
        <v>20.7691</v>
      </c>
      <c r="G38" s="18"/>
      <c r="H38" s="18" t="n">
        <v>0.6869</v>
      </c>
      <c r="I38" s="18" t="n">
        <v>0.0182</v>
      </c>
      <c r="J38" s="18" t="n">
        <v>0.0035</v>
      </c>
      <c r="K38" s="18" t="n">
        <v>1.8932</v>
      </c>
      <c r="L38" s="18" t="n">
        <v>7.5471</v>
      </c>
      <c r="M38" s="18" t="n">
        <v>4.5735</v>
      </c>
      <c r="N38" s="3" t="n">
        <v>0.0267</v>
      </c>
      <c r="O38" s="3" t="n">
        <f aca="false">SUM(D38:N38)</f>
        <v>100.4163</v>
      </c>
    </row>
    <row r="39" customFormat="false" ht="15" hidden="false" customHeight="false" outlineLevel="0" collapsed="false">
      <c r="A39" s="16" t="s">
        <v>89</v>
      </c>
      <c r="B39" s="16" t="s">
        <v>256</v>
      </c>
      <c r="C39" s="17" t="s">
        <v>255</v>
      </c>
      <c r="D39" s="18" t="n">
        <v>63.866</v>
      </c>
      <c r="E39" s="18" t="n">
        <v>0.0922</v>
      </c>
      <c r="F39" s="18" t="n">
        <v>21.3329</v>
      </c>
      <c r="G39" s="18"/>
      <c r="H39" s="18" t="n">
        <v>0.5731</v>
      </c>
      <c r="I39" s="18" t="n">
        <v>0.0272</v>
      </c>
      <c r="J39" s="18" t="n">
        <v>0.0131</v>
      </c>
      <c r="K39" s="18" t="n">
        <v>2.8803</v>
      </c>
      <c r="L39" s="18" t="n">
        <v>7.8021</v>
      </c>
      <c r="M39" s="18" t="n">
        <v>3.276</v>
      </c>
      <c r="N39" s="3" t="n">
        <v>0</v>
      </c>
      <c r="O39" s="3" t="n">
        <f aca="false">SUM(D39:N39)</f>
        <v>99.8629</v>
      </c>
    </row>
    <row r="40" customFormat="false" ht="15" hidden="false" customHeight="false" outlineLevel="0" collapsed="false">
      <c r="A40" s="16" t="s">
        <v>91</v>
      </c>
      <c r="B40" s="16" t="s">
        <v>256</v>
      </c>
      <c r="C40" s="17" t="s">
        <v>255</v>
      </c>
      <c r="D40" s="18" t="n">
        <v>63.6068</v>
      </c>
      <c r="E40" s="18" t="n">
        <v>0.0662</v>
      </c>
      <c r="F40" s="18" t="n">
        <v>21.6507</v>
      </c>
      <c r="G40" s="18"/>
      <c r="H40" s="18" t="n">
        <v>0.7767</v>
      </c>
      <c r="I40" s="18" t="n">
        <v>0.0249</v>
      </c>
      <c r="J40" s="18" t="n">
        <v>0</v>
      </c>
      <c r="K40" s="18" t="n">
        <v>3.3117</v>
      </c>
      <c r="L40" s="18" t="n">
        <v>7.7686</v>
      </c>
      <c r="M40" s="18" t="n">
        <v>3.0272</v>
      </c>
      <c r="N40" s="3" t="n">
        <v>0.0178</v>
      </c>
      <c r="O40" s="3" t="n">
        <f aca="false">SUM(D40:N40)</f>
        <v>100.2506</v>
      </c>
    </row>
    <row r="41" customFormat="false" ht="15" hidden="false" customHeight="false" outlineLevel="0" collapsed="false">
      <c r="A41" s="16" t="s">
        <v>92</v>
      </c>
      <c r="B41" s="16" t="s">
        <v>256</v>
      </c>
      <c r="C41" s="17" t="s">
        <v>255</v>
      </c>
      <c r="D41" s="18" t="n">
        <v>64.9265</v>
      </c>
      <c r="E41" s="18" t="n">
        <v>0.0045</v>
      </c>
      <c r="F41" s="18" t="n">
        <v>21.1192</v>
      </c>
      <c r="G41" s="18"/>
      <c r="H41" s="18" t="n">
        <v>0.6773</v>
      </c>
      <c r="I41" s="18" t="n">
        <v>0.028</v>
      </c>
      <c r="J41" s="18" t="n">
        <v>0</v>
      </c>
      <c r="K41" s="18" t="n">
        <v>2.4916</v>
      </c>
      <c r="L41" s="18" t="n">
        <v>7.6707</v>
      </c>
      <c r="M41" s="18" t="n">
        <v>3.6815</v>
      </c>
      <c r="N41" s="3" t="n">
        <v>0.0088</v>
      </c>
      <c r="O41" s="3" t="n">
        <f aca="false">SUM(D41:N41)</f>
        <v>100.6081</v>
      </c>
    </row>
    <row r="42" customFormat="false" ht="15" hidden="false" customHeight="false" outlineLevel="0" collapsed="false">
      <c r="A42" s="16" t="s">
        <v>70</v>
      </c>
      <c r="B42" s="16" t="s">
        <v>256</v>
      </c>
      <c r="C42" s="17" t="s">
        <v>255</v>
      </c>
      <c r="D42" s="18" t="n">
        <v>65.434</v>
      </c>
      <c r="E42" s="18" t="n">
        <v>0.0137</v>
      </c>
      <c r="F42" s="18" t="n">
        <v>20.0772</v>
      </c>
      <c r="G42" s="18"/>
      <c r="H42" s="18" t="n">
        <v>0.4787</v>
      </c>
      <c r="I42" s="18" t="n">
        <v>0</v>
      </c>
      <c r="J42" s="18" t="n">
        <v>0.0026</v>
      </c>
      <c r="K42" s="18" t="n">
        <v>1.4533</v>
      </c>
      <c r="L42" s="18" t="n">
        <v>7.0644</v>
      </c>
      <c r="M42" s="18" t="n">
        <v>5.659</v>
      </c>
      <c r="N42" s="3" t="n">
        <v>0</v>
      </c>
      <c r="O42" s="3" t="n">
        <f aca="false">SUM(D42:N42)</f>
        <v>100.1829</v>
      </c>
    </row>
    <row r="43" customFormat="false" ht="15" hidden="false" customHeight="false" outlineLevel="0" collapsed="false">
      <c r="A43" s="16" t="s">
        <v>84</v>
      </c>
      <c r="B43" s="16" t="s">
        <v>256</v>
      </c>
      <c r="C43" s="17" t="s">
        <v>255</v>
      </c>
      <c r="D43" s="18" t="n">
        <v>64.9687</v>
      </c>
      <c r="E43" s="18" t="n">
        <v>0.0158</v>
      </c>
      <c r="F43" s="18" t="n">
        <v>20.6802</v>
      </c>
      <c r="G43" s="18"/>
      <c r="H43" s="18" t="n">
        <v>0.6106</v>
      </c>
      <c r="I43" s="18" t="n">
        <v>0.0359</v>
      </c>
      <c r="J43" s="18" t="n">
        <v>0</v>
      </c>
      <c r="K43" s="18" t="n">
        <v>2.0974</v>
      </c>
      <c r="L43" s="18" t="n">
        <v>7.4856</v>
      </c>
      <c r="M43" s="18" t="n">
        <v>4.3526</v>
      </c>
      <c r="N43" s="3" t="n">
        <v>0.0702</v>
      </c>
      <c r="O43" s="3" t="n">
        <f aca="false">SUM(D43:N43)</f>
        <v>100.317</v>
      </c>
    </row>
    <row r="44" customFormat="false" ht="15" hidden="false" customHeight="false" outlineLevel="0" collapsed="false">
      <c r="C44" s="1" t="s">
        <v>34</v>
      </c>
      <c r="D44" s="3" t="n">
        <f aca="false">AVERAGE(D36:D43)</f>
        <v>64.6352142857143</v>
      </c>
      <c r="E44" s="3" t="n">
        <f aca="false">AVERAGE(E36:E43)</f>
        <v>0.0320571428571428</v>
      </c>
      <c r="F44" s="3" t="n">
        <f aca="false">AVERAGE(F36:F43)</f>
        <v>20.8454714285714</v>
      </c>
      <c r="G44" s="3" t="n">
        <f aca="false">AVERAGE(G36:G43)</f>
        <v>0</v>
      </c>
      <c r="H44" s="3" t="n">
        <f aca="false">AVERAGE(H36:H43)</f>
        <v>0.678228571428572</v>
      </c>
      <c r="I44" s="3" t="n">
        <f aca="false">AVERAGE(I36:I43)</f>
        <v>0.0367142857142857</v>
      </c>
      <c r="J44" s="3" t="n">
        <f aca="false">AVERAGE(J36:J43)</f>
        <v>0.00522857142857143</v>
      </c>
      <c r="K44" s="3" t="n">
        <f aca="false">AVERAGE(K36:K43)</f>
        <v>2.22985714285714</v>
      </c>
      <c r="L44" s="3" t="n">
        <f aca="false">AVERAGE(L36:L43)</f>
        <v>7.49382857142857</v>
      </c>
      <c r="M44" s="3" t="n">
        <f aca="false">AVERAGE(M36:M43)</f>
        <v>4.25731428571429</v>
      </c>
      <c r="N44" s="3"/>
      <c r="O44" s="3" t="n">
        <f aca="false">SUM(D44:N44)</f>
        <v>100.213914285714</v>
      </c>
    </row>
    <row r="45" customFormat="false" ht="15" hidden="false" customHeight="false" outlineLevel="0" collapsed="false">
      <c r="C45" s="1" t="s">
        <v>81</v>
      </c>
      <c r="D45" s="3" t="n">
        <f aca="false">_xlfn.STDEV.P(D36:D43)</f>
        <v>0.604418921488285</v>
      </c>
      <c r="E45" s="3" t="n">
        <f aca="false">_xlfn.STDEV.P(E36:E43)</f>
        <v>0.0320072249496827</v>
      </c>
      <c r="F45" s="3" t="n">
        <f aca="false">_xlfn.STDEV.P(F36:F43)</f>
        <v>0.520158722244018</v>
      </c>
      <c r="G45" s="3" t="n">
        <f aca="false">_xlfn.STDEV.P(G36:G43)</f>
        <v>0</v>
      </c>
      <c r="H45" s="3" t="n">
        <f aca="false">_xlfn.STDEV.P(H36:H43)</f>
        <v>0.139388447095423</v>
      </c>
      <c r="I45" s="3" t="n">
        <f aca="false">_xlfn.STDEV.P(I36:I43)</f>
        <v>0.0366609339983674</v>
      </c>
      <c r="J45" s="3" t="n">
        <f aca="false">_xlfn.STDEV.P(J36:J43)</f>
        <v>0.0065684775982859</v>
      </c>
      <c r="K45" s="3" t="n">
        <f aca="false">_xlfn.STDEV.P(K36:K43)</f>
        <v>0.649827618586307</v>
      </c>
      <c r="L45" s="3" t="n">
        <f aca="false">_xlfn.STDEV.P(L36:L43)</f>
        <v>0.275201296271271</v>
      </c>
      <c r="M45" s="3" t="n">
        <f aca="false">_xlfn.STDEV.P(M36:M43)</f>
        <v>0.912636648756262</v>
      </c>
      <c r="N45" s="3"/>
      <c r="O45" s="3"/>
    </row>
    <row r="46" customFormat="false" ht="15" hidden="false" customHeight="false" outlineLevel="0" collapsed="false">
      <c r="C46" s="1" t="s">
        <v>66</v>
      </c>
      <c r="D46" s="3" t="n">
        <f aca="false">D44/$O$33*100</f>
        <v>66.9471442510711</v>
      </c>
      <c r="E46" s="3" t="n">
        <f aca="false">E44/$O$33*100</f>
        <v>0.033203791321052</v>
      </c>
      <c r="F46" s="3" t="n">
        <f aca="false">F44/$O$33*100</f>
        <v>21.59109083388</v>
      </c>
      <c r="G46" s="3" t="n">
        <f aca="false">G44/$O$33*100</f>
        <v>0</v>
      </c>
      <c r="H46" s="3" t="n">
        <f aca="false">H44/$O$33*100</f>
        <v>0.702488055596375</v>
      </c>
      <c r="I46" s="3" t="n">
        <f aca="false">I44/$O$33*100</f>
        <v>0.0380275150156433</v>
      </c>
      <c r="J46" s="3" t="n">
        <f aca="false">J44/$O$33*100</f>
        <v>0.005415591632578</v>
      </c>
      <c r="K46" s="3" t="n">
        <f aca="false">K44/$O$33*100</f>
        <v>2.30961666100847</v>
      </c>
      <c r="L46" s="3" t="n">
        <f aca="false">L44/$O$33*100</f>
        <v>7.76187451234475</v>
      </c>
      <c r="M46" s="3" t="n">
        <f aca="false">M44/$O$33*100</f>
        <v>4.40959369838206</v>
      </c>
      <c r="N46" s="3"/>
      <c r="O46" s="3"/>
    </row>
    <row r="47" customFormat="false" ht="15" hidden="false" customHeight="false" outlineLevel="0" collapsed="false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/>
      <c r="AL47" s="16"/>
      <c r="AM47" s="16"/>
      <c r="AN47" s="16"/>
      <c r="AO47" s="16"/>
      <c r="AP47" s="16"/>
      <c r="AQ47" s="16"/>
      <c r="AR47" s="16"/>
      <c r="AS47" s="16"/>
      <c r="AT47" s="16"/>
      <c r="AU47" s="16"/>
      <c r="AV47" s="16"/>
      <c r="AW47" s="16"/>
      <c r="AX47" s="16"/>
      <c r="AY47" s="16"/>
      <c r="AZ47" s="16"/>
      <c r="BA47" s="16"/>
      <c r="BB47" s="16"/>
      <c r="BC47" s="16"/>
      <c r="BD47" s="16"/>
      <c r="BE47" s="16"/>
      <c r="BF47" s="16"/>
      <c r="BG47" s="16"/>
      <c r="BH47" s="16"/>
      <c r="BI47" s="16"/>
      <c r="BJ47" s="16"/>
      <c r="BK47" s="16"/>
      <c r="BL47" s="16"/>
      <c r="BM47" s="16"/>
      <c r="BN47" s="16"/>
      <c r="BO47" s="16"/>
      <c r="BP47" s="16"/>
      <c r="BQ47" s="16"/>
      <c r="BR47" s="16"/>
    </row>
    <row r="48" customFormat="false" ht="15" hidden="false" customHeight="false" outlineLevel="0" collapsed="false">
      <c r="A48" s="16"/>
      <c r="B48" s="16"/>
      <c r="C48" s="16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  <c r="AN48" s="16"/>
      <c r="AO48" s="16"/>
      <c r="AP48" s="16"/>
      <c r="AQ48" s="16"/>
      <c r="AR48" s="16"/>
      <c r="AS48" s="16"/>
      <c r="AT48" s="16"/>
      <c r="AU48" s="16"/>
      <c r="AV48" s="16"/>
      <c r="AW48" s="16"/>
      <c r="AX48" s="16"/>
      <c r="AY48" s="16"/>
      <c r="AZ48" s="16"/>
      <c r="BA48" s="16"/>
      <c r="BB48" s="16"/>
      <c r="BC48" s="16"/>
      <c r="BD48" s="16"/>
      <c r="BE48" s="16"/>
      <c r="BF48" s="16"/>
      <c r="BG48" s="16"/>
      <c r="BH48" s="16"/>
      <c r="BI48" s="16"/>
      <c r="BJ48" s="16"/>
      <c r="BK48" s="16"/>
      <c r="BL48" s="16"/>
      <c r="BM48" s="16"/>
      <c r="BN48" s="16"/>
      <c r="BO48" s="16"/>
      <c r="BP48" s="16"/>
      <c r="BQ48" s="16"/>
      <c r="BR48" s="16"/>
      <c r="BS48" s="16"/>
      <c r="BT48" s="16"/>
      <c r="BU48" s="16"/>
      <c r="BV48" s="16"/>
      <c r="BW48" s="16"/>
      <c r="BX48" s="16"/>
      <c r="BY48" s="16"/>
      <c r="BZ48" s="16"/>
      <c r="CA48" s="16"/>
      <c r="CB48" s="16"/>
      <c r="CC48" s="16"/>
      <c r="CD48" s="16"/>
      <c r="CE48" s="16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371"/>
  <sheetViews>
    <sheetView showFormulas="false" showGridLines="true" showRowColHeaders="true" showZeros="true" rightToLeft="false" tabSelected="false" showOutlineSymbols="true" defaultGridColor="true" view="normal" topLeftCell="A1" colorId="64" zoomScale="55" zoomScaleNormal="55" zoomScalePageLayoutView="100" workbookViewId="0">
      <pane xSplit="3" ySplit="2" topLeftCell="D257" activePane="bottomRight" state="frozen"/>
      <selection pane="topLeft" activeCell="A1" activeCellId="0" sqref="A1"/>
      <selection pane="topRight" activeCell="D1" activeCellId="0" sqref="D1"/>
      <selection pane="bottomLeft" activeCell="A257" activeCellId="0" sqref="A257"/>
      <selection pane="bottomRight" activeCell="I276" activeCellId="0" sqref="I276"/>
    </sheetView>
  </sheetViews>
  <sheetFormatPr defaultColWidth="10.64453125" defaultRowHeight="15" zeroHeight="false" outlineLevelRow="0" outlineLevelCol="0"/>
  <cols>
    <col collapsed="false" customWidth="true" hidden="false" outlineLevel="0" max="3" min="3" style="1" width="17.4"/>
    <col collapsed="false" customWidth="true" hidden="false" outlineLevel="0" max="6" min="4" style="1" width="7.1"/>
    <col collapsed="false" customWidth="true" hidden="false" outlineLevel="0" max="18" min="7" style="1" width="5.8"/>
    <col collapsed="false" customWidth="true" hidden="false" outlineLevel="0" max="21" min="19" style="1" width="7.8"/>
    <col collapsed="false" customWidth="true" hidden="false" outlineLevel="0" max="24" min="22" style="1" width="5.8"/>
  </cols>
  <sheetData>
    <row r="1" customFormat="false" ht="15" hidden="false" customHeight="false" outlineLevel="0" collapsed="false">
      <c r="D1" s="1" t="s">
        <v>257</v>
      </c>
      <c r="S1" s="1" t="s">
        <v>258</v>
      </c>
      <c r="V1" s="1" t="s">
        <v>259</v>
      </c>
    </row>
    <row r="2" customFormat="false" ht="15" hidden="false" customHeight="false" outlineLevel="0" collapsed="false">
      <c r="B2" s="1" t="s">
        <v>67</v>
      </c>
      <c r="C2" s="1" t="s">
        <v>68</v>
      </c>
      <c r="D2" s="1" t="s">
        <v>260</v>
      </c>
      <c r="E2" s="1" t="s">
        <v>261</v>
      </c>
      <c r="F2" s="1" t="s">
        <v>49</v>
      </c>
      <c r="G2" s="1" t="s">
        <v>262</v>
      </c>
      <c r="H2" s="1" t="s">
        <v>263</v>
      </c>
      <c r="I2" s="1" t="s">
        <v>264</v>
      </c>
      <c r="J2" s="1" t="s">
        <v>265</v>
      </c>
      <c r="K2" s="1" t="s">
        <v>266</v>
      </c>
      <c r="L2" s="1" t="s">
        <v>267</v>
      </c>
      <c r="M2" s="1" t="s">
        <v>268</v>
      </c>
      <c r="N2" s="1" t="s">
        <v>269</v>
      </c>
      <c r="O2" s="1" t="s">
        <v>270</v>
      </c>
      <c r="P2" s="1" t="s">
        <v>271</v>
      </c>
      <c r="Q2" s="1" t="s">
        <v>272</v>
      </c>
      <c r="R2" s="1" t="s">
        <v>69</v>
      </c>
      <c r="S2" s="1" t="s">
        <v>260</v>
      </c>
      <c r="T2" s="1" t="s">
        <v>261</v>
      </c>
      <c r="U2" s="1" t="s">
        <v>49</v>
      </c>
      <c r="V2" s="1" t="s">
        <v>260</v>
      </c>
      <c r="W2" s="1" t="s">
        <v>261</v>
      </c>
      <c r="X2" s="1" t="s">
        <v>49</v>
      </c>
      <c r="Y2" s="1" t="s">
        <v>273</v>
      </c>
      <c r="Z2" s="1" t="s">
        <v>274</v>
      </c>
      <c r="AA2" s="1" t="s">
        <v>275</v>
      </c>
      <c r="AB2" s="1" t="s">
        <v>276</v>
      </c>
      <c r="AC2" s="1" t="s">
        <v>67</v>
      </c>
    </row>
    <row r="3" customFormat="false" ht="15" hidden="false" customHeight="false" outlineLevel="0" collapsed="false">
      <c r="A3" s="1" t="s">
        <v>151</v>
      </c>
      <c r="B3" s="1" t="s">
        <v>277</v>
      </c>
      <c r="C3" s="1" t="s">
        <v>278</v>
      </c>
      <c r="D3" s="1" t="n">
        <v>0.0969</v>
      </c>
      <c r="G3" s="1" t="n">
        <v>44.2</v>
      </c>
      <c r="H3" s="1" t="n">
        <v>2.13</v>
      </c>
      <c r="I3" s="1" t="n">
        <v>5.23</v>
      </c>
      <c r="J3" s="1" t="n">
        <v>8.77</v>
      </c>
      <c r="K3" s="1" t="n">
        <v>23.15</v>
      </c>
      <c r="L3" s="1" t="n">
        <v>0.01</v>
      </c>
      <c r="M3" s="1" t="n">
        <v>0.04</v>
      </c>
      <c r="N3" s="1" t="n">
        <v>8.44</v>
      </c>
      <c r="O3" s="1" t="n">
        <v>0.76</v>
      </c>
      <c r="P3" s="1" t="n">
        <v>0.11</v>
      </c>
      <c r="Q3" s="1" t="n">
        <v>6.54</v>
      </c>
      <c r="R3" s="1" t="n">
        <v>99.4769</v>
      </c>
      <c r="S3" s="1" t="n">
        <v>0.0109</v>
      </c>
      <c r="V3" s="1" t="n">
        <v>63</v>
      </c>
      <c r="Y3" s="1" t="n">
        <v>-12634</v>
      </c>
      <c r="Z3" s="1" t="n">
        <v>6717</v>
      </c>
      <c r="AA3" s="1" t="n">
        <v>-424</v>
      </c>
      <c r="AB3" s="1" t="n">
        <v>0</v>
      </c>
      <c r="AC3" s="1" t="s">
        <v>277</v>
      </c>
    </row>
    <row r="4" customFormat="false" ht="15" hidden="false" customHeight="false" outlineLevel="0" collapsed="false">
      <c r="A4" s="1" t="s">
        <v>279</v>
      </c>
      <c r="B4" s="1" t="s">
        <v>277</v>
      </c>
      <c r="C4" s="1" t="s">
        <v>278</v>
      </c>
      <c r="D4" s="1" t="n">
        <v>0.1034</v>
      </c>
      <c r="G4" s="1" t="n">
        <v>44.2</v>
      </c>
      <c r="H4" s="1" t="n">
        <v>2.13</v>
      </c>
      <c r="I4" s="1" t="n">
        <v>5.23</v>
      </c>
      <c r="J4" s="1" t="n">
        <v>8.77</v>
      </c>
      <c r="K4" s="1" t="n">
        <v>23.15</v>
      </c>
      <c r="L4" s="1" t="n">
        <v>0.01</v>
      </c>
      <c r="M4" s="1" t="n">
        <v>0.04</v>
      </c>
      <c r="N4" s="1" t="n">
        <v>8.44</v>
      </c>
      <c r="O4" s="1" t="n">
        <v>0.76</v>
      </c>
      <c r="P4" s="1" t="n">
        <v>0.11</v>
      </c>
      <c r="Q4" s="1" t="n">
        <v>6.54</v>
      </c>
      <c r="R4" s="1" t="n">
        <v>99.4834</v>
      </c>
      <c r="S4" s="1" t="n">
        <v>0.0113</v>
      </c>
      <c r="V4" s="1" t="n">
        <v>63</v>
      </c>
      <c r="Y4" s="1" t="n">
        <v>-12634</v>
      </c>
      <c r="Z4" s="1" t="n">
        <v>6717</v>
      </c>
      <c r="AA4" s="1" t="n">
        <v>-424</v>
      </c>
      <c r="AB4" s="1" t="n">
        <v>0</v>
      </c>
      <c r="AC4" s="1" t="s">
        <v>277</v>
      </c>
    </row>
    <row r="5" customFormat="false" ht="15" hidden="false" customHeight="false" outlineLevel="0" collapsed="false">
      <c r="A5" s="1" t="s">
        <v>280</v>
      </c>
      <c r="B5" s="1" t="s">
        <v>277</v>
      </c>
      <c r="C5" s="1" t="s">
        <v>278</v>
      </c>
      <c r="D5" s="1" t="n">
        <v>0.1009</v>
      </c>
      <c r="G5" s="1" t="n">
        <v>44.2</v>
      </c>
      <c r="H5" s="1" t="n">
        <v>2.13</v>
      </c>
      <c r="I5" s="1" t="n">
        <v>5.23</v>
      </c>
      <c r="J5" s="1" t="n">
        <v>8.77</v>
      </c>
      <c r="K5" s="1" t="n">
        <v>23.15</v>
      </c>
      <c r="L5" s="1" t="n">
        <v>0.01</v>
      </c>
      <c r="M5" s="1" t="n">
        <v>0.04</v>
      </c>
      <c r="N5" s="1" t="n">
        <v>8.44</v>
      </c>
      <c r="O5" s="1" t="n">
        <v>0.76</v>
      </c>
      <c r="P5" s="1" t="n">
        <v>0.11</v>
      </c>
      <c r="Q5" s="1" t="n">
        <v>6.54</v>
      </c>
      <c r="R5" s="1" t="n">
        <v>99.4809</v>
      </c>
      <c r="S5" s="1" t="n">
        <v>0.0113</v>
      </c>
      <c r="V5" s="1" t="n">
        <v>66</v>
      </c>
      <c r="Y5" s="1" t="n">
        <v>-12634</v>
      </c>
      <c r="Z5" s="1" t="n">
        <v>6717</v>
      </c>
      <c r="AA5" s="1" t="n">
        <v>-424</v>
      </c>
      <c r="AB5" s="1" t="n">
        <v>0</v>
      </c>
      <c r="AC5" s="1" t="s">
        <v>277</v>
      </c>
    </row>
    <row r="6" customFormat="false" ht="15" hidden="false" customHeight="false" outlineLevel="0" collapsed="false">
      <c r="A6" s="1" t="s">
        <v>281</v>
      </c>
      <c r="B6" s="1" t="s">
        <v>277</v>
      </c>
      <c r="C6" s="1" t="s">
        <v>278</v>
      </c>
      <c r="D6" s="1" t="n">
        <v>0.1032</v>
      </c>
      <c r="G6" s="1" t="n">
        <v>44.2</v>
      </c>
      <c r="H6" s="1" t="n">
        <v>2.13</v>
      </c>
      <c r="I6" s="1" t="n">
        <v>5.23</v>
      </c>
      <c r="J6" s="1" t="n">
        <v>8.77</v>
      </c>
      <c r="K6" s="1" t="n">
        <v>23.15</v>
      </c>
      <c r="L6" s="1" t="n">
        <v>0.01</v>
      </c>
      <c r="M6" s="1" t="n">
        <v>0.04</v>
      </c>
      <c r="N6" s="1" t="n">
        <v>8.44</v>
      </c>
      <c r="O6" s="1" t="n">
        <v>0.76</v>
      </c>
      <c r="P6" s="1" t="n">
        <v>0.11</v>
      </c>
      <c r="Q6" s="1" t="n">
        <v>6.54</v>
      </c>
      <c r="R6" s="1" t="n">
        <v>99.4832</v>
      </c>
      <c r="S6" s="1" t="n">
        <v>0.0114</v>
      </c>
      <c r="V6" s="1" t="n">
        <v>66</v>
      </c>
      <c r="Y6" s="1" t="n">
        <v>-12634</v>
      </c>
      <c r="Z6" s="1" t="n">
        <v>6717</v>
      </c>
      <c r="AA6" s="1" t="n">
        <v>-424</v>
      </c>
      <c r="AB6" s="1" t="n">
        <v>0</v>
      </c>
      <c r="AC6" s="1" t="s">
        <v>277</v>
      </c>
    </row>
    <row r="7" customFormat="false" ht="15" hidden="false" customHeight="false" outlineLevel="0" collapsed="false">
      <c r="A7" s="1" t="s">
        <v>282</v>
      </c>
      <c r="B7" s="1" t="s">
        <v>277</v>
      </c>
      <c r="C7" s="1" t="s">
        <v>278</v>
      </c>
      <c r="D7" s="1" t="n">
        <v>0.098</v>
      </c>
      <c r="G7" s="1" t="n">
        <v>44.2</v>
      </c>
      <c r="H7" s="1" t="n">
        <v>2.13</v>
      </c>
      <c r="I7" s="1" t="n">
        <v>5.23</v>
      </c>
      <c r="J7" s="1" t="n">
        <v>8.77</v>
      </c>
      <c r="K7" s="1" t="n">
        <v>23.15</v>
      </c>
      <c r="L7" s="1" t="n">
        <v>0.01</v>
      </c>
      <c r="M7" s="1" t="n">
        <v>0.04</v>
      </c>
      <c r="N7" s="1" t="n">
        <v>8.44</v>
      </c>
      <c r="O7" s="1" t="n">
        <v>0.76</v>
      </c>
      <c r="P7" s="1" t="n">
        <v>0.11</v>
      </c>
      <c r="Q7" s="1" t="n">
        <v>6.54</v>
      </c>
      <c r="R7" s="1" t="n">
        <v>99.478</v>
      </c>
      <c r="S7" s="1" t="n">
        <v>0.0112</v>
      </c>
      <c r="V7" s="1" t="n">
        <v>68</v>
      </c>
      <c r="Y7" s="1" t="n">
        <v>-12634</v>
      </c>
      <c r="Z7" s="1" t="n">
        <v>6717</v>
      </c>
      <c r="AA7" s="1" t="n">
        <v>-424</v>
      </c>
      <c r="AB7" s="1" t="n">
        <v>0</v>
      </c>
      <c r="AC7" s="1" t="s">
        <v>277</v>
      </c>
    </row>
    <row r="8" customFormat="false" ht="15" hidden="false" customHeight="false" outlineLevel="0" collapsed="false">
      <c r="A8" s="1" t="s">
        <v>153</v>
      </c>
      <c r="B8" s="1" t="s">
        <v>283</v>
      </c>
      <c r="C8" s="1" t="s">
        <v>278</v>
      </c>
      <c r="D8" s="1" t="n">
        <v>0.0206</v>
      </c>
      <c r="E8" s="1" t="n">
        <v>0.4528</v>
      </c>
      <c r="F8" s="1" t="n">
        <v>0.3154</v>
      </c>
      <c r="G8" s="1" t="n">
        <v>48.94</v>
      </c>
      <c r="H8" s="1" t="n">
        <v>2.65</v>
      </c>
      <c r="I8" s="1" t="n">
        <v>0.06</v>
      </c>
      <c r="J8" s="1" t="n">
        <v>6.34</v>
      </c>
      <c r="K8" s="1" t="n">
        <v>35.44</v>
      </c>
      <c r="L8" s="1" t="n">
        <v>0.01</v>
      </c>
      <c r="M8" s="1" t="n">
        <v>1.17</v>
      </c>
      <c r="N8" s="1" t="n">
        <v>1.19</v>
      </c>
      <c r="O8" s="1" t="n">
        <v>0.14</v>
      </c>
      <c r="P8" s="1" t="n">
        <v>0.09</v>
      </c>
      <c r="Q8" s="1" t="n">
        <v>2.46</v>
      </c>
      <c r="R8" s="1" t="n">
        <v>99.2788</v>
      </c>
      <c r="S8" s="1" t="n">
        <v>0.0092</v>
      </c>
      <c r="T8" s="1" t="n">
        <v>0.0826</v>
      </c>
      <c r="U8" s="1" t="n">
        <v>0.0219</v>
      </c>
      <c r="V8" s="1" t="n">
        <v>93</v>
      </c>
      <c r="W8" s="1" t="n">
        <v>606</v>
      </c>
      <c r="X8" s="1" t="n">
        <v>119</v>
      </c>
      <c r="Y8" s="1" t="n">
        <v>-7433</v>
      </c>
      <c r="Z8" s="1" t="n">
        <v>-5610</v>
      </c>
      <c r="AA8" s="1" t="n">
        <v>-319</v>
      </c>
      <c r="AB8" s="1" t="n">
        <v>0</v>
      </c>
      <c r="AC8" s="1" t="s">
        <v>283</v>
      </c>
    </row>
    <row r="9" customFormat="false" ht="15" hidden="false" customHeight="false" outlineLevel="0" collapsed="false">
      <c r="A9" s="1" t="s">
        <v>284</v>
      </c>
      <c r="B9" s="1" t="s">
        <v>283</v>
      </c>
      <c r="C9" s="1" t="s">
        <v>278</v>
      </c>
      <c r="D9" s="1" t="n">
        <v>0.0195</v>
      </c>
      <c r="E9" s="1" t="n">
        <v>0.4497</v>
      </c>
      <c r="F9" s="1" t="n">
        <v>0.3347</v>
      </c>
      <c r="G9" s="1" t="n">
        <v>48.94</v>
      </c>
      <c r="H9" s="1" t="n">
        <v>2.65</v>
      </c>
      <c r="I9" s="1" t="n">
        <v>0.06</v>
      </c>
      <c r="J9" s="1" t="n">
        <v>6.34</v>
      </c>
      <c r="K9" s="1" t="n">
        <v>35.44</v>
      </c>
      <c r="L9" s="1" t="n">
        <v>0.01</v>
      </c>
      <c r="M9" s="1" t="n">
        <v>1.17</v>
      </c>
      <c r="N9" s="1" t="n">
        <v>1.19</v>
      </c>
      <c r="O9" s="1" t="n">
        <v>0.14</v>
      </c>
      <c r="P9" s="1" t="n">
        <v>0.09</v>
      </c>
      <c r="Q9" s="1" t="n">
        <v>2.46</v>
      </c>
      <c r="R9" s="1" t="n">
        <v>99.2939</v>
      </c>
      <c r="S9" s="1" t="n">
        <v>0.0091</v>
      </c>
      <c r="T9" s="1" t="n">
        <v>0.08</v>
      </c>
      <c r="U9" s="1" t="n">
        <v>0.0224</v>
      </c>
      <c r="V9" s="1" t="n">
        <v>92</v>
      </c>
      <c r="W9" s="1" t="n">
        <v>556</v>
      </c>
      <c r="X9" s="1" t="n">
        <v>117</v>
      </c>
      <c r="Y9" s="1" t="n">
        <v>-7433</v>
      </c>
      <c r="Z9" s="1" t="n">
        <v>-5610</v>
      </c>
      <c r="AA9" s="1" t="n">
        <v>-319</v>
      </c>
      <c r="AB9" s="1" t="n">
        <v>0</v>
      </c>
      <c r="AC9" s="1" t="s">
        <v>283</v>
      </c>
    </row>
    <row r="10" customFormat="false" ht="15" hidden="false" customHeight="false" outlineLevel="0" collapsed="false">
      <c r="A10" s="1" t="s">
        <v>285</v>
      </c>
      <c r="B10" s="1" t="s">
        <v>283</v>
      </c>
      <c r="C10" s="1" t="s">
        <v>278</v>
      </c>
      <c r="D10" s="1" t="n">
        <v>0.0141</v>
      </c>
      <c r="E10" s="1" t="n">
        <v>0.4023</v>
      </c>
      <c r="F10" s="1" t="n">
        <v>0.3405</v>
      </c>
      <c r="G10" s="1" t="n">
        <v>48.94</v>
      </c>
      <c r="H10" s="1" t="n">
        <v>2.65</v>
      </c>
      <c r="I10" s="1" t="n">
        <v>0.06</v>
      </c>
      <c r="J10" s="1" t="n">
        <v>6.34</v>
      </c>
      <c r="K10" s="1" t="n">
        <v>35.44</v>
      </c>
      <c r="L10" s="1" t="n">
        <v>0.01</v>
      </c>
      <c r="M10" s="1" t="n">
        <v>1.17</v>
      </c>
      <c r="N10" s="1" t="n">
        <v>1.19</v>
      </c>
      <c r="O10" s="1" t="n">
        <v>0.14</v>
      </c>
      <c r="P10" s="1" t="n">
        <v>0.09</v>
      </c>
      <c r="Q10" s="1" t="n">
        <v>2.46</v>
      </c>
      <c r="R10" s="1" t="n">
        <v>99.2468</v>
      </c>
      <c r="S10" s="1" t="n">
        <v>0.0091</v>
      </c>
      <c r="T10" s="1" t="n">
        <v>0.0783</v>
      </c>
      <c r="U10" s="1" t="n">
        <v>0.0225</v>
      </c>
      <c r="V10" s="1" t="n">
        <v>97</v>
      </c>
      <c r="W10" s="1" t="n">
        <v>579</v>
      </c>
      <c r="X10" s="1" t="n">
        <v>114</v>
      </c>
      <c r="Y10" s="1" t="n">
        <v>-7433</v>
      </c>
      <c r="Z10" s="1" t="n">
        <v>-5610</v>
      </c>
      <c r="AA10" s="1" t="n">
        <v>-319</v>
      </c>
      <c r="AB10" s="1" t="n">
        <v>0</v>
      </c>
      <c r="AC10" s="1" t="s">
        <v>283</v>
      </c>
    </row>
    <row r="11" customFormat="false" ht="15" hidden="false" customHeight="false" outlineLevel="0" collapsed="false">
      <c r="A11" s="1" t="s">
        <v>286</v>
      </c>
      <c r="B11" s="1" t="s">
        <v>283</v>
      </c>
      <c r="C11" s="1" t="s">
        <v>278</v>
      </c>
      <c r="D11" s="1" t="n">
        <v>0.0162</v>
      </c>
      <c r="E11" s="1" t="n">
        <v>0.3865</v>
      </c>
      <c r="F11" s="1" t="n">
        <v>0.3298</v>
      </c>
      <c r="G11" s="1" t="n">
        <v>48.94</v>
      </c>
      <c r="H11" s="1" t="n">
        <v>2.65</v>
      </c>
      <c r="I11" s="1" t="n">
        <v>0.06</v>
      </c>
      <c r="J11" s="1" t="n">
        <v>6.34</v>
      </c>
      <c r="K11" s="1" t="n">
        <v>35.44</v>
      </c>
      <c r="L11" s="1" t="n">
        <v>0.01</v>
      </c>
      <c r="M11" s="1" t="n">
        <v>1.17</v>
      </c>
      <c r="N11" s="1" t="n">
        <v>1.19</v>
      </c>
      <c r="O11" s="1" t="n">
        <v>0.14</v>
      </c>
      <c r="P11" s="1" t="n">
        <v>0.09</v>
      </c>
      <c r="Q11" s="1" t="n">
        <v>2.46</v>
      </c>
      <c r="R11" s="1" t="n">
        <v>99.2226</v>
      </c>
      <c r="S11" s="1" t="n">
        <v>0.009</v>
      </c>
      <c r="T11" s="1" t="n">
        <v>0.0781</v>
      </c>
      <c r="U11" s="1" t="n">
        <v>0.0222</v>
      </c>
      <c r="V11" s="1" t="n">
        <v>94</v>
      </c>
      <c r="W11" s="1" t="n">
        <v>594</v>
      </c>
      <c r="X11" s="1" t="n">
        <v>117</v>
      </c>
      <c r="Y11" s="1" t="n">
        <v>-7433</v>
      </c>
      <c r="Z11" s="1" t="n">
        <v>-5610</v>
      </c>
      <c r="AA11" s="1" t="n">
        <v>-319</v>
      </c>
      <c r="AB11" s="1" t="n">
        <v>0</v>
      </c>
      <c r="AC11" s="1" t="s">
        <v>283</v>
      </c>
    </row>
    <row r="12" customFormat="false" ht="15" hidden="false" customHeight="false" outlineLevel="0" collapsed="false">
      <c r="A12" s="1" t="s">
        <v>287</v>
      </c>
      <c r="B12" s="1" t="s">
        <v>283</v>
      </c>
      <c r="C12" s="1" t="s">
        <v>278</v>
      </c>
      <c r="D12" s="1" t="n">
        <v>0.0145</v>
      </c>
      <c r="E12" s="1" t="n">
        <v>0.4096</v>
      </c>
      <c r="F12" s="1" t="n">
        <v>0.338</v>
      </c>
      <c r="G12" s="1" t="n">
        <v>48.94</v>
      </c>
      <c r="H12" s="1" t="n">
        <v>2.65</v>
      </c>
      <c r="I12" s="1" t="n">
        <v>0.06</v>
      </c>
      <c r="J12" s="1" t="n">
        <v>6.34</v>
      </c>
      <c r="K12" s="1" t="n">
        <v>35.44</v>
      </c>
      <c r="L12" s="1" t="n">
        <v>0.01</v>
      </c>
      <c r="M12" s="1" t="n">
        <v>1.17</v>
      </c>
      <c r="N12" s="1" t="n">
        <v>1.19</v>
      </c>
      <c r="O12" s="1" t="n">
        <v>0.14</v>
      </c>
      <c r="P12" s="1" t="n">
        <v>0.09</v>
      </c>
      <c r="Q12" s="1" t="n">
        <v>2.46</v>
      </c>
      <c r="R12" s="1" t="n">
        <v>99.2521</v>
      </c>
      <c r="S12" s="1" t="n">
        <v>0.0092</v>
      </c>
      <c r="T12" s="1" t="n">
        <v>0.077</v>
      </c>
      <c r="U12" s="1" t="n">
        <v>0.0222</v>
      </c>
      <c r="V12" s="1" t="n">
        <v>99</v>
      </c>
      <c r="W12" s="1" t="n">
        <v>545</v>
      </c>
      <c r="X12" s="1" t="n">
        <v>110</v>
      </c>
      <c r="Y12" s="1" t="n">
        <v>-7433</v>
      </c>
      <c r="Z12" s="1" t="n">
        <v>-5610</v>
      </c>
      <c r="AA12" s="1" t="n">
        <v>-319</v>
      </c>
      <c r="AB12" s="1" t="n">
        <v>0</v>
      </c>
      <c r="AC12" s="1" t="s">
        <v>283</v>
      </c>
    </row>
    <row r="19" customFormat="false" ht="15" hidden="false" customHeight="false" outlineLevel="0" collapsed="false">
      <c r="A19" s="1" t="s">
        <v>288</v>
      </c>
      <c r="B19" s="1" t="s">
        <v>289</v>
      </c>
      <c r="C19" s="1" t="s">
        <v>5</v>
      </c>
      <c r="D19" s="1" t="n">
        <v>0.0755</v>
      </c>
      <c r="E19" s="1" t="n">
        <v>0.1216</v>
      </c>
      <c r="F19" s="1" t="n">
        <v>0.1414</v>
      </c>
      <c r="G19" s="1" t="n">
        <v>41.63</v>
      </c>
      <c r="H19" s="1" t="n">
        <v>3.61</v>
      </c>
      <c r="I19" s="1" t="n">
        <v>1.94</v>
      </c>
      <c r="J19" s="1" t="n">
        <v>8.4</v>
      </c>
      <c r="K19" s="1" t="n">
        <v>22.8</v>
      </c>
      <c r="L19" s="1" t="n">
        <v>1.04</v>
      </c>
      <c r="M19" s="1" t="n">
        <v>2.36</v>
      </c>
      <c r="N19" s="1" t="n">
        <v>4.74</v>
      </c>
      <c r="O19" s="1" t="n">
        <v>2.1</v>
      </c>
      <c r="P19" s="1" t="n">
        <v>0.17</v>
      </c>
      <c r="Q19" s="1" t="n">
        <v>7.83</v>
      </c>
      <c r="R19" s="1" t="n">
        <v>96.9585</v>
      </c>
      <c r="S19" s="1" t="n">
        <v>0.0129</v>
      </c>
      <c r="T19" s="1" t="n">
        <v>0.055</v>
      </c>
      <c r="U19" s="1" t="n">
        <v>0.0157</v>
      </c>
      <c r="V19" s="1" t="n">
        <v>93</v>
      </c>
      <c r="W19" s="1" t="n">
        <v>532</v>
      </c>
      <c r="X19" s="1" t="n">
        <v>114</v>
      </c>
      <c r="Y19" s="1" t="n">
        <v>-12656</v>
      </c>
      <c r="Z19" s="1" t="n">
        <v>-15928</v>
      </c>
      <c r="AA19" s="1" t="n">
        <v>-455</v>
      </c>
      <c r="AB19" s="1" t="n">
        <v>11565.44</v>
      </c>
      <c r="AC19" s="1" t="s">
        <v>289</v>
      </c>
    </row>
    <row r="20" customFormat="false" ht="15" hidden="false" customHeight="false" outlineLevel="0" collapsed="false">
      <c r="A20" s="1" t="s">
        <v>290</v>
      </c>
      <c r="B20" s="1" t="s">
        <v>289</v>
      </c>
      <c r="C20" s="1" t="s">
        <v>5</v>
      </c>
      <c r="D20" s="1" t="n">
        <v>0.0814</v>
      </c>
      <c r="E20" s="1" t="n">
        <v>0.1116</v>
      </c>
      <c r="F20" s="1" t="n">
        <v>0.1395</v>
      </c>
      <c r="G20" s="1" t="n">
        <v>41.63</v>
      </c>
      <c r="H20" s="1" t="n">
        <v>3.61</v>
      </c>
      <c r="I20" s="1" t="n">
        <v>1.94</v>
      </c>
      <c r="J20" s="1" t="n">
        <v>8.4</v>
      </c>
      <c r="K20" s="1" t="n">
        <v>22.8</v>
      </c>
      <c r="L20" s="1" t="n">
        <v>1.04</v>
      </c>
      <c r="M20" s="1" t="n">
        <v>2.36</v>
      </c>
      <c r="N20" s="1" t="n">
        <v>4.74</v>
      </c>
      <c r="O20" s="1" t="n">
        <v>2.1</v>
      </c>
      <c r="P20" s="1" t="n">
        <v>0.17</v>
      </c>
      <c r="Q20" s="1" t="n">
        <v>7.83</v>
      </c>
      <c r="R20" s="1" t="n">
        <v>96.9525</v>
      </c>
      <c r="S20" s="1" t="n">
        <v>0.0133</v>
      </c>
      <c r="T20" s="1" t="n">
        <v>0.0556</v>
      </c>
      <c r="U20" s="1" t="n">
        <v>0.0155</v>
      </c>
      <c r="V20" s="1" t="n">
        <v>93</v>
      </c>
      <c r="W20" s="1" t="n">
        <v>553</v>
      </c>
      <c r="X20" s="1" t="n">
        <v>111</v>
      </c>
      <c r="Y20" s="1" t="n">
        <v>-12656</v>
      </c>
      <c r="Z20" s="1" t="n">
        <v>-15928</v>
      </c>
      <c r="AA20" s="1" t="n">
        <v>-455</v>
      </c>
      <c r="AB20" s="1" t="n">
        <v>11565.44</v>
      </c>
      <c r="AC20" s="1" t="s">
        <v>289</v>
      </c>
    </row>
    <row r="21" customFormat="false" ht="15" hidden="false" customHeight="false" outlineLevel="0" collapsed="false">
      <c r="A21" s="1" t="s">
        <v>291</v>
      </c>
      <c r="B21" s="1" t="s">
        <v>289</v>
      </c>
      <c r="C21" s="1" t="s">
        <v>5</v>
      </c>
      <c r="D21" s="1" t="n">
        <v>0.0821</v>
      </c>
      <c r="E21" s="1" t="n">
        <v>0.1345</v>
      </c>
      <c r="F21" s="1" t="n">
        <v>0.1431</v>
      </c>
      <c r="G21" s="1" t="n">
        <v>41.63</v>
      </c>
      <c r="H21" s="1" t="n">
        <v>3.61</v>
      </c>
      <c r="I21" s="1" t="n">
        <v>1.94</v>
      </c>
      <c r="J21" s="1" t="n">
        <v>8.4</v>
      </c>
      <c r="K21" s="1" t="n">
        <v>22.8</v>
      </c>
      <c r="L21" s="1" t="n">
        <v>1.04</v>
      </c>
      <c r="M21" s="1" t="n">
        <v>2.36</v>
      </c>
      <c r="N21" s="1" t="n">
        <v>4.74</v>
      </c>
      <c r="O21" s="1" t="n">
        <v>2.1</v>
      </c>
      <c r="P21" s="1" t="n">
        <v>0.17</v>
      </c>
      <c r="Q21" s="1" t="n">
        <v>7.83</v>
      </c>
      <c r="R21" s="1" t="n">
        <v>96.9797</v>
      </c>
      <c r="S21" s="1" t="n">
        <v>0.0135</v>
      </c>
      <c r="T21" s="1" t="n">
        <v>0.0584</v>
      </c>
      <c r="U21" s="1" t="n">
        <v>0.0158</v>
      </c>
      <c r="V21" s="1" t="n">
        <v>95</v>
      </c>
      <c r="W21" s="1" t="n">
        <v>567</v>
      </c>
      <c r="X21" s="1" t="n">
        <v>116</v>
      </c>
      <c r="Y21" s="1" t="n">
        <v>-12656</v>
      </c>
      <c r="Z21" s="1" t="n">
        <v>-15928</v>
      </c>
      <c r="AA21" s="1" t="n">
        <v>-455</v>
      </c>
      <c r="AB21" s="1" t="n">
        <v>11565.44</v>
      </c>
      <c r="AC21" s="1" t="s">
        <v>289</v>
      </c>
    </row>
    <row r="22" customFormat="false" ht="15" hidden="false" customHeight="false" outlineLevel="0" collapsed="false">
      <c r="A22" s="1" t="s">
        <v>292</v>
      </c>
      <c r="B22" s="1" t="s">
        <v>289</v>
      </c>
      <c r="C22" s="1" t="s">
        <v>5</v>
      </c>
      <c r="D22" s="1" t="n">
        <v>0.0862</v>
      </c>
      <c r="E22" s="1" t="n">
        <v>0.1335</v>
      </c>
      <c r="F22" s="1" t="n">
        <v>0.1436</v>
      </c>
      <c r="G22" s="1" t="n">
        <v>41.63</v>
      </c>
      <c r="H22" s="1" t="n">
        <v>3.61</v>
      </c>
      <c r="I22" s="1" t="n">
        <v>1.94</v>
      </c>
      <c r="J22" s="1" t="n">
        <v>8.4</v>
      </c>
      <c r="K22" s="1" t="n">
        <v>22.8</v>
      </c>
      <c r="L22" s="1" t="n">
        <v>1.04</v>
      </c>
      <c r="M22" s="1" t="n">
        <v>2.36</v>
      </c>
      <c r="N22" s="1" t="n">
        <v>4.74</v>
      </c>
      <c r="O22" s="1" t="n">
        <v>2.1</v>
      </c>
      <c r="P22" s="1" t="n">
        <v>0.17</v>
      </c>
      <c r="Q22" s="1" t="n">
        <v>7.83</v>
      </c>
      <c r="R22" s="1" t="n">
        <v>96.9833</v>
      </c>
      <c r="S22" s="1" t="n">
        <v>0.0137</v>
      </c>
      <c r="T22" s="1" t="n">
        <v>0.0562</v>
      </c>
      <c r="U22" s="1" t="n">
        <v>0.0158</v>
      </c>
      <c r="V22" s="1" t="n">
        <v>95</v>
      </c>
      <c r="W22" s="1" t="n">
        <v>537</v>
      </c>
      <c r="X22" s="1" t="n">
        <v>114</v>
      </c>
      <c r="Y22" s="1" t="n">
        <v>-12656</v>
      </c>
      <c r="Z22" s="1" t="n">
        <v>-15928</v>
      </c>
      <c r="AA22" s="1" t="n">
        <v>-455</v>
      </c>
      <c r="AB22" s="1" t="n">
        <v>11565.44</v>
      </c>
      <c r="AC22" s="1" t="s">
        <v>289</v>
      </c>
    </row>
    <row r="23" customFormat="false" ht="15" hidden="false" customHeight="false" outlineLevel="0" collapsed="false">
      <c r="A23" s="1" t="s">
        <v>138</v>
      </c>
      <c r="B23" s="1" t="s">
        <v>289</v>
      </c>
      <c r="C23" s="1" t="s">
        <v>5</v>
      </c>
      <c r="D23" s="1" t="n">
        <v>0.0781</v>
      </c>
      <c r="E23" s="1" t="n">
        <v>0.1286</v>
      </c>
      <c r="F23" s="1" t="n">
        <v>0.1537</v>
      </c>
      <c r="G23" s="1" t="n">
        <v>41.63</v>
      </c>
      <c r="H23" s="1" t="n">
        <v>3.61</v>
      </c>
      <c r="I23" s="1" t="n">
        <v>1.94</v>
      </c>
      <c r="J23" s="1" t="n">
        <v>8.4</v>
      </c>
      <c r="K23" s="1" t="n">
        <v>22.8</v>
      </c>
      <c r="L23" s="1" t="n">
        <v>1.04</v>
      </c>
      <c r="M23" s="1" t="n">
        <v>2.36</v>
      </c>
      <c r="N23" s="1" t="n">
        <v>4.74</v>
      </c>
      <c r="O23" s="1" t="n">
        <v>2.1</v>
      </c>
      <c r="P23" s="1" t="n">
        <v>0.17</v>
      </c>
      <c r="Q23" s="1" t="n">
        <v>7.83</v>
      </c>
      <c r="R23" s="1" t="n">
        <v>96.9804</v>
      </c>
      <c r="S23" s="1" t="n">
        <v>0.0131</v>
      </c>
      <c r="T23" s="1" t="n">
        <v>0.0554</v>
      </c>
      <c r="U23" s="1" t="n">
        <v>0.0158</v>
      </c>
      <c r="V23" s="1" t="n">
        <v>93</v>
      </c>
      <c r="W23" s="1" t="n">
        <v>530</v>
      </c>
      <c r="X23" s="1" t="n">
        <v>106</v>
      </c>
      <c r="Y23" s="1" t="n">
        <v>-13053</v>
      </c>
      <c r="Z23" s="1" t="n">
        <v>-16014</v>
      </c>
      <c r="AA23" s="1" t="n">
        <v>-453</v>
      </c>
      <c r="AB23" s="1" t="n">
        <v>0</v>
      </c>
      <c r="AC23" s="1" t="s">
        <v>289</v>
      </c>
    </row>
    <row r="24" customFormat="false" ht="15" hidden="false" customHeight="false" outlineLevel="0" collapsed="false">
      <c r="A24" s="1" t="s">
        <v>293</v>
      </c>
      <c r="B24" s="1" t="s">
        <v>289</v>
      </c>
      <c r="C24" s="1" t="s">
        <v>5</v>
      </c>
      <c r="D24" s="1" t="n">
        <v>0.081</v>
      </c>
      <c r="E24" s="1" t="n">
        <v>0.1714</v>
      </c>
      <c r="F24" s="1" t="n">
        <v>0.1465</v>
      </c>
      <c r="G24" s="1" t="n">
        <v>41.63</v>
      </c>
      <c r="H24" s="1" t="n">
        <v>3.61</v>
      </c>
      <c r="I24" s="1" t="n">
        <v>1.94</v>
      </c>
      <c r="J24" s="1" t="n">
        <v>8.4</v>
      </c>
      <c r="K24" s="1" t="n">
        <v>22.8</v>
      </c>
      <c r="L24" s="1" t="n">
        <v>1.04</v>
      </c>
      <c r="M24" s="1" t="n">
        <v>2.36</v>
      </c>
      <c r="N24" s="1" t="n">
        <v>4.74</v>
      </c>
      <c r="O24" s="1" t="n">
        <v>2.1</v>
      </c>
      <c r="P24" s="1" t="n">
        <v>0.17</v>
      </c>
      <c r="Q24" s="1" t="n">
        <v>7.83</v>
      </c>
      <c r="R24" s="1" t="n">
        <v>97.0189</v>
      </c>
      <c r="S24" s="1" t="n">
        <v>0.0135</v>
      </c>
      <c r="T24" s="1" t="n">
        <v>0.0575</v>
      </c>
      <c r="U24" s="1" t="n">
        <v>0.0158</v>
      </c>
      <c r="V24" s="1" t="n">
        <v>98</v>
      </c>
      <c r="W24" s="1" t="n">
        <v>510</v>
      </c>
      <c r="X24" s="1" t="n">
        <v>112</v>
      </c>
      <c r="Y24" s="1" t="n">
        <v>-13031</v>
      </c>
      <c r="Z24" s="1" t="n">
        <v>-15986</v>
      </c>
      <c r="AA24" s="1" t="n">
        <v>-453</v>
      </c>
      <c r="AB24" s="1" t="n">
        <v>35.61</v>
      </c>
      <c r="AC24" s="1" t="s">
        <v>289</v>
      </c>
    </row>
    <row r="25" customFormat="false" ht="15" hidden="false" customHeight="false" outlineLevel="0" collapsed="false">
      <c r="A25" s="1" t="s">
        <v>294</v>
      </c>
      <c r="B25" s="1" t="s">
        <v>289</v>
      </c>
      <c r="C25" s="1" t="s">
        <v>5</v>
      </c>
      <c r="D25" s="1" t="n">
        <v>0.0857</v>
      </c>
      <c r="E25" s="1" t="n">
        <v>0.1325</v>
      </c>
      <c r="F25" s="1" t="n">
        <v>0.1369</v>
      </c>
      <c r="G25" s="1" t="n">
        <v>41.63</v>
      </c>
      <c r="H25" s="1" t="n">
        <v>3.61</v>
      </c>
      <c r="I25" s="1" t="n">
        <v>1.94</v>
      </c>
      <c r="J25" s="1" t="n">
        <v>8.4</v>
      </c>
      <c r="K25" s="1" t="n">
        <v>22.8</v>
      </c>
      <c r="L25" s="1" t="n">
        <v>1.04</v>
      </c>
      <c r="M25" s="1" t="n">
        <v>2.36</v>
      </c>
      <c r="N25" s="1" t="n">
        <v>4.74</v>
      </c>
      <c r="O25" s="1" t="n">
        <v>2.1</v>
      </c>
      <c r="P25" s="1" t="n">
        <v>0.17</v>
      </c>
      <c r="Q25" s="1" t="n">
        <v>7.83</v>
      </c>
      <c r="R25" s="1" t="n">
        <v>96.9752</v>
      </c>
      <c r="S25" s="1" t="n">
        <v>0.0138</v>
      </c>
      <c r="T25" s="1" t="n">
        <v>0.0573</v>
      </c>
      <c r="U25" s="1" t="n">
        <v>0.0156</v>
      </c>
      <c r="V25" s="1" t="n">
        <v>96</v>
      </c>
      <c r="W25" s="1" t="n">
        <v>553</v>
      </c>
      <c r="X25" s="1" t="n">
        <v>115</v>
      </c>
      <c r="Y25" s="1" t="n">
        <v>-12954</v>
      </c>
      <c r="Z25" s="1" t="n">
        <v>-15999</v>
      </c>
      <c r="AA25" s="1" t="n">
        <v>-453</v>
      </c>
      <c r="AB25" s="1" t="n">
        <v>100.13</v>
      </c>
      <c r="AC25" s="1" t="s">
        <v>289</v>
      </c>
    </row>
    <row r="26" customFormat="false" ht="15" hidden="false" customHeight="false" outlineLevel="0" collapsed="false">
      <c r="A26" s="1" t="s">
        <v>295</v>
      </c>
      <c r="B26" s="1" t="s">
        <v>289</v>
      </c>
      <c r="C26" s="1" t="s">
        <v>5</v>
      </c>
      <c r="D26" s="1" t="n">
        <v>0.0839</v>
      </c>
      <c r="E26" s="1" t="n">
        <v>0.1325</v>
      </c>
      <c r="F26" s="1" t="n">
        <v>0.1379</v>
      </c>
      <c r="G26" s="1" t="n">
        <v>41.63</v>
      </c>
      <c r="H26" s="1" t="n">
        <v>3.61</v>
      </c>
      <c r="I26" s="1" t="n">
        <v>1.94</v>
      </c>
      <c r="J26" s="1" t="n">
        <v>8.4</v>
      </c>
      <c r="K26" s="1" t="n">
        <v>22.8</v>
      </c>
      <c r="L26" s="1" t="n">
        <v>1.04</v>
      </c>
      <c r="M26" s="1" t="n">
        <v>2.36</v>
      </c>
      <c r="N26" s="1" t="n">
        <v>4.74</v>
      </c>
      <c r="O26" s="1" t="n">
        <v>2.1</v>
      </c>
      <c r="P26" s="1" t="n">
        <v>0.17</v>
      </c>
      <c r="Q26" s="1" t="n">
        <v>7.83</v>
      </c>
      <c r="R26" s="1" t="n">
        <v>96.9744</v>
      </c>
      <c r="S26" s="1" t="n">
        <v>0.0136</v>
      </c>
      <c r="T26" s="1" t="n">
        <v>0.0549</v>
      </c>
      <c r="U26" s="1" t="n">
        <v>0.0156</v>
      </c>
      <c r="V26" s="1" t="n">
        <v>96</v>
      </c>
      <c r="W26" s="1" t="n">
        <v>517</v>
      </c>
      <c r="X26" s="1" t="n">
        <v>115</v>
      </c>
      <c r="Y26" s="1" t="n">
        <v>-12942</v>
      </c>
      <c r="Z26" s="1" t="n">
        <v>-16017</v>
      </c>
      <c r="AA26" s="1" t="n">
        <v>-453</v>
      </c>
      <c r="AB26" s="1" t="n">
        <v>111.04</v>
      </c>
      <c r="AC26" s="1" t="s">
        <v>289</v>
      </c>
    </row>
    <row r="27" customFormat="false" ht="15" hidden="false" customHeight="false" outlineLevel="0" collapsed="false">
      <c r="A27" s="1" t="s">
        <v>296</v>
      </c>
      <c r="B27" s="1" t="s">
        <v>289</v>
      </c>
      <c r="C27" s="1" t="s">
        <v>5</v>
      </c>
      <c r="D27" s="1" t="n">
        <v>0.0767</v>
      </c>
      <c r="E27" s="1" t="n">
        <v>0.1505</v>
      </c>
      <c r="F27" s="1" t="n">
        <v>0.1418</v>
      </c>
      <c r="G27" s="1" t="n">
        <v>41.63</v>
      </c>
      <c r="H27" s="1" t="n">
        <v>3.61</v>
      </c>
      <c r="I27" s="1" t="n">
        <v>1.94</v>
      </c>
      <c r="J27" s="1" t="n">
        <v>8.4</v>
      </c>
      <c r="K27" s="1" t="n">
        <v>22.8</v>
      </c>
      <c r="L27" s="1" t="n">
        <v>1.04</v>
      </c>
      <c r="M27" s="1" t="n">
        <v>2.36</v>
      </c>
      <c r="N27" s="1" t="n">
        <v>4.74</v>
      </c>
      <c r="O27" s="1" t="n">
        <v>2.1</v>
      </c>
      <c r="P27" s="1" t="n">
        <v>0.17</v>
      </c>
      <c r="Q27" s="1" t="n">
        <v>7.83</v>
      </c>
      <c r="R27" s="1" t="n">
        <v>96.989</v>
      </c>
      <c r="S27" s="1" t="n">
        <v>0.0133</v>
      </c>
      <c r="T27" s="1" t="n">
        <v>0.0557</v>
      </c>
      <c r="U27" s="1" t="n">
        <v>0.0156</v>
      </c>
      <c r="V27" s="1" t="n">
        <v>99</v>
      </c>
      <c r="W27" s="1" t="n">
        <v>507</v>
      </c>
      <c r="X27" s="1" t="n">
        <v>112</v>
      </c>
      <c r="Y27" s="1" t="n">
        <v>-12928</v>
      </c>
      <c r="Z27" s="1" t="n">
        <v>-15954</v>
      </c>
      <c r="AA27" s="1" t="n">
        <v>-453</v>
      </c>
      <c r="AB27" s="1" t="n">
        <v>138.65</v>
      </c>
      <c r="AC27" s="1" t="s">
        <v>289</v>
      </c>
    </row>
    <row r="28" s="11" customFormat="true" ht="15" hidden="false" customHeight="false" outlineLevel="0" collapsed="false">
      <c r="E28" s="12"/>
      <c r="F28" s="12"/>
      <c r="G28" s="12"/>
    </row>
    <row r="29" customFormat="false" ht="15" hidden="false" customHeight="false" outlineLevel="0" collapsed="false">
      <c r="A29" s="1" t="s">
        <v>297</v>
      </c>
      <c r="B29" s="1" t="s">
        <v>289</v>
      </c>
      <c r="C29" s="1" t="s">
        <v>5</v>
      </c>
      <c r="D29" s="1" t="n">
        <v>0.0812</v>
      </c>
      <c r="E29" s="1" t="n">
        <v>0.1308</v>
      </c>
      <c r="F29" s="1" t="n">
        <v>0.1435</v>
      </c>
      <c r="G29" s="1" t="n">
        <v>41.63</v>
      </c>
      <c r="H29" s="1" t="n">
        <v>3.61</v>
      </c>
      <c r="I29" s="1" t="n">
        <v>1.94</v>
      </c>
      <c r="J29" s="1" t="n">
        <v>8.4</v>
      </c>
      <c r="K29" s="1" t="n">
        <v>22.8</v>
      </c>
      <c r="L29" s="1" t="n">
        <v>1.04</v>
      </c>
      <c r="M29" s="1" t="n">
        <v>2.36</v>
      </c>
      <c r="N29" s="1" t="n">
        <v>4.74</v>
      </c>
      <c r="O29" s="1" t="n">
        <v>2.1</v>
      </c>
      <c r="P29" s="1" t="n">
        <v>0.17</v>
      </c>
      <c r="Q29" s="1" t="n">
        <v>7.83</v>
      </c>
      <c r="R29" s="1" t="n">
        <v>96.9755</v>
      </c>
      <c r="S29" s="1" t="n">
        <v>0.0133</v>
      </c>
      <c r="T29" s="1" t="n">
        <v>0.0556</v>
      </c>
      <c r="U29" s="1" t="n">
        <v>0.0162</v>
      </c>
      <c r="V29" s="1" t="n">
        <v>92</v>
      </c>
      <c r="W29" s="1" t="n">
        <v>530</v>
      </c>
      <c r="X29" s="1" t="n">
        <v>121</v>
      </c>
      <c r="Y29" s="1" t="n">
        <v>-13736</v>
      </c>
      <c r="Z29" s="1" t="n">
        <v>-15130</v>
      </c>
      <c r="AA29" s="1" t="n">
        <v>-454</v>
      </c>
      <c r="AB29" s="1" t="n">
        <v>54.74</v>
      </c>
      <c r="AC29" s="1" t="s">
        <v>289</v>
      </c>
    </row>
    <row r="30" customFormat="false" ht="15" hidden="false" customHeight="false" outlineLevel="0" collapsed="false">
      <c r="A30" s="1" t="s">
        <v>298</v>
      </c>
      <c r="B30" s="1" t="s">
        <v>289</v>
      </c>
      <c r="C30" s="1" t="s">
        <v>5</v>
      </c>
      <c r="D30" s="1" t="n">
        <v>0.0789</v>
      </c>
      <c r="E30" s="1" t="n">
        <v>0.1467</v>
      </c>
      <c r="F30" s="1" t="n">
        <v>0.149</v>
      </c>
      <c r="G30" s="1" t="n">
        <v>41.63</v>
      </c>
      <c r="H30" s="1" t="n">
        <v>3.61</v>
      </c>
      <c r="I30" s="1" t="n">
        <v>1.94</v>
      </c>
      <c r="J30" s="1" t="n">
        <v>8.4</v>
      </c>
      <c r="K30" s="1" t="n">
        <v>22.8</v>
      </c>
      <c r="L30" s="1" t="n">
        <v>1.04</v>
      </c>
      <c r="M30" s="1" t="n">
        <v>2.36</v>
      </c>
      <c r="N30" s="1" t="n">
        <v>4.74</v>
      </c>
      <c r="O30" s="1" t="n">
        <v>2.1</v>
      </c>
      <c r="P30" s="1" t="n">
        <v>0.17</v>
      </c>
      <c r="Q30" s="1" t="n">
        <v>7.83</v>
      </c>
      <c r="R30" s="1" t="n">
        <v>96.9947</v>
      </c>
      <c r="S30" s="1" t="n">
        <v>0.0136</v>
      </c>
      <c r="T30" s="1" t="n">
        <v>0.0564</v>
      </c>
      <c r="U30" s="1" t="n">
        <v>0.0157</v>
      </c>
      <c r="V30" s="1" t="n">
        <v>102</v>
      </c>
      <c r="W30" s="1" t="n">
        <v>523</v>
      </c>
      <c r="X30" s="1" t="n">
        <v>109</v>
      </c>
      <c r="Y30" s="1" t="n">
        <v>-13758</v>
      </c>
      <c r="Z30" s="1" t="n">
        <v>-15086</v>
      </c>
      <c r="AA30" s="1" t="n">
        <v>-454</v>
      </c>
      <c r="AB30" s="1" t="n">
        <v>98.86</v>
      </c>
      <c r="AC30" s="1" t="s">
        <v>289</v>
      </c>
    </row>
    <row r="31" customFormat="false" ht="15" hidden="false" customHeight="false" outlineLevel="0" collapsed="false">
      <c r="A31" s="1" t="s">
        <v>299</v>
      </c>
      <c r="B31" s="1" t="s">
        <v>289</v>
      </c>
      <c r="C31" s="1" t="s">
        <v>5</v>
      </c>
      <c r="D31" s="1" t="n">
        <v>0.0855</v>
      </c>
      <c r="E31" s="1" t="n">
        <v>0.1218</v>
      </c>
      <c r="F31" s="1" t="n">
        <v>0.1387</v>
      </c>
      <c r="G31" s="1" t="n">
        <v>41.63</v>
      </c>
      <c r="H31" s="1" t="n">
        <v>3.61</v>
      </c>
      <c r="I31" s="1" t="n">
        <v>1.94</v>
      </c>
      <c r="J31" s="1" t="n">
        <v>8.4</v>
      </c>
      <c r="K31" s="1" t="n">
        <v>22.8</v>
      </c>
      <c r="L31" s="1" t="n">
        <v>1.04</v>
      </c>
      <c r="M31" s="1" t="n">
        <v>2.36</v>
      </c>
      <c r="N31" s="1" t="n">
        <v>4.74</v>
      </c>
      <c r="O31" s="1" t="n">
        <v>2.1</v>
      </c>
      <c r="P31" s="1" t="n">
        <v>0.17</v>
      </c>
      <c r="Q31" s="1" t="n">
        <v>7.83</v>
      </c>
      <c r="R31" s="1" t="n">
        <v>96.9659</v>
      </c>
      <c r="S31" s="1" t="n">
        <v>0.0139</v>
      </c>
      <c r="T31" s="1" t="n">
        <v>0.0526</v>
      </c>
      <c r="U31" s="1" t="n">
        <v>0.0155</v>
      </c>
      <c r="V31" s="1" t="n">
        <v>99</v>
      </c>
      <c r="W31" s="1" t="n">
        <v>495</v>
      </c>
      <c r="X31" s="1" t="n">
        <v>112</v>
      </c>
      <c r="Y31" s="1" t="n">
        <v>-13773</v>
      </c>
      <c r="Z31" s="1" t="n">
        <v>-15099</v>
      </c>
      <c r="AA31" s="1" t="n">
        <v>-454</v>
      </c>
      <c r="AB31" s="1" t="n">
        <v>89.49</v>
      </c>
      <c r="AC31" s="1" t="s">
        <v>289</v>
      </c>
    </row>
    <row r="32" customFormat="false" ht="15" hidden="false" customHeight="false" outlineLevel="0" collapsed="false">
      <c r="A32" s="1" t="s">
        <v>300</v>
      </c>
      <c r="B32" s="1" t="s">
        <v>289</v>
      </c>
      <c r="C32" s="1" t="s">
        <v>5</v>
      </c>
      <c r="D32" s="1" t="n">
        <v>0.0768</v>
      </c>
      <c r="E32" s="1" t="n">
        <v>0.1268</v>
      </c>
      <c r="F32" s="1" t="n">
        <v>0.1386</v>
      </c>
      <c r="G32" s="1" t="n">
        <v>41.63</v>
      </c>
      <c r="H32" s="1" t="n">
        <v>3.61</v>
      </c>
      <c r="I32" s="1" t="n">
        <v>1.94</v>
      </c>
      <c r="J32" s="1" t="n">
        <v>8.4</v>
      </c>
      <c r="K32" s="1" t="n">
        <v>22.8</v>
      </c>
      <c r="L32" s="1" t="n">
        <v>1.04</v>
      </c>
      <c r="M32" s="1" t="n">
        <v>2.36</v>
      </c>
      <c r="N32" s="1" t="n">
        <v>4.74</v>
      </c>
      <c r="O32" s="1" t="n">
        <v>2.1</v>
      </c>
      <c r="P32" s="1" t="n">
        <v>0.17</v>
      </c>
      <c r="Q32" s="1" t="n">
        <v>7.83</v>
      </c>
      <c r="R32" s="1" t="n">
        <v>96.9622</v>
      </c>
      <c r="S32" s="1" t="n">
        <v>0.013</v>
      </c>
      <c r="T32" s="1" t="n">
        <v>0.0549</v>
      </c>
      <c r="U32" s="1" t="n">
        <v>0.0156</v>
      </c>
      <c r="V32" s="1" t="n">
        <v>93</v>
      </c>
      <c r="W32" s="1" t="n">
        <v>523</v>
      </c>
      <c r="X32" s="1" t="n">
        <v>114</v>
      </c>
      <c r="Y32" s="1" t="n">
        <v>-13850</v>
      </c>
      <c r="Z32" s="1" t="n">
        <v>-15173</v>
      </c>
      <c r="AA32" s="1" t="n">
        <v>-454</v>
      </c>
      <c r="AB32" s="1" t="n">
        <v>105.57</v>
      </c>
      <c r="AC32" s="1" t="s">
        <v>289</v>
      </c>
    </row>
    <row r="33" customFormat="false" ht="15" hidden="false" customHeight="false" outlineLevel="0" collapsed="false">
      <c r="A33" s="1" t="s">
        <v>143</v>
      </c>
      <c r="B33" s="1" t="s">
        <v>289</v>
      </c>
      <c r="C33" s="1" t="s">
        <v>5</v>
      </c>
      <c r="D33" s="1" t="n">
        <v>0.0792</v>
      </c>
      <c r="E33" s="1" t="n">
        <v>0.1495</v>
      </c>
      <c r="F33" s="1" t="n">
        <v>0.129</v>
      </c>
      <c r="G33" s="1" t="n">
        <v>41.63</v>
      </c>
      <c r="H33" s="1" t="n">
        <v>3.61</v>
      </c>
      <c r="I33" s="1" t="n">
        <v>1.94</v>
      </c>
      <c r="J33" s="1" t="n">
        <v>8.4</v>
      </c>
      <c r="K33" s="1" t="n">
        <v>22.8</v>
      </c>
      <c r="L33" s="1" t="n">
        <v>1.04</v>
      </c>
      <c r="M33" s="1" t="n">
        <v>2.36</v>
      </c>
      <c r="N33" s="1" t="n">
        <v>4.74</v>
      </c>
      <c r="O33" s="1" t="n">
        <v>2.1</v>
      </c>
      <c r="P33" s="1" t="n">
        <v>0.17</v>
      </c>
      <c r="Q33" s="1" t="n">
        <v>7.83</v>
      </c>
      <c r="R33" s="1" t="n">
        <v>96.9777</v>
      </c>
      <c r="S33" s="1" t="n">
        <v>0.0132</v>
      </c>
      <c r="T33" s="1" t="n">
        <v>0.0561</v>
      </c>
      <c r="U33" s="1" t="n">
        <v>0.0154</v>
      </c>
      <c r="V33" s="1" t="n">
        <v>93</v>
      </c>
      <c r="W33" s="1" t="n">
        <v>515</v>
      </c>
      <c r="X33" s="1" t="n">
        <v>118</v>
      </c>
      <c r="Y33" s="1" t="n">
        <v>-15925</v>
      </c>
      <c r="Z33" s="1" t="n">
        <v>-15681</v>
      </c>
      <c r="AA33" s="1" t="n">
        <v>-452</v>
      </c>
      <c r="AB33" s="1" t="n">
        <v>0</v>
      </c>
      <c r="AC33" s="1" t="s">
        <v>289</v>
      </c>
    </row>
    <row r="34" customFormat="false" ht="15" hidden="false" customHeight="false" outlineLevel="0" collapsed="false">
      <c r="A34" s="1" t="s">
        <v>301</v>
      </c>
      <c r="B34" s="1" t="s">
        <v>289</v>
      </c>
      <c r="C34" s="1" t="s">
        <v>5</v>
      </c>
      <c r="D34" s="1" t="n">
        <v>0.0858</v>
      </c>
      <c r="E34" s="1" t="n">
        <v>0.1933</v>
      </c>
      <c r="F34" s="1" t="n">
        <v>0.1406</v>
      </c>
      <c r="G34" s="1" t="n">
        <v>41.63</v>
      </c>
      <c r="H34" s="1" t="n">
        <v>3.61</v>
      </c>
      <c r="I34" s="1" t="n">
        <v>1.94</v>
      </c>
      <c r="J34" s="1" t="n">
        <v>8.4</v>
      </c>
      <c r="K34" s="1" t="n">
        <v>22.8</v>
      </c>
      <c r="L34" s="1" t="n">
        <v>1.04</v>
      </c>
      <c r="M34" s="1" t="n">
        <v>2.36</v>
      </c>
      <c r="N34" s="1" t="n">
        <v>4.74</v>
      </c>
      <c r="O34" s="1" t="n">
        <v>2.1</v>
      </c>
      <c r="P34" s="1" t="n">
        <v>0.17</v>
      </c>
      <c r="Q34" s="1" t="n">
        <v>7.83</v>
      </c>
      <c r="R34" s="1" t="n">
        <v>97.0397</v>
      </c>
      <c r="S34" s="1" t="n">
        <v>0.0135</v>
      </c>
      <c r="T34" s="1" t="n">
        <v>0.056</v>
      </c>
      <c r="U34" s="1" t="n">
        <v>0.0159</v>
      </c>
      <c r="V34" s="1" t="n">
        <v>91</v>
      </c>
      <c r="W34" s="1" t="n">
        <v>453</v>
      </c>
      <c r="X34" s="1" t="n">
        <v>118</v>
      </c>
      <c r="Y34" s="1" t="n">
        <v>-15892</v>
      </c>
      <c r="Z34" s="1" t="n">
        <v>-15646</v>
      </c>
      <c r="AA34" s="1" t="n">
        <v>-452</v>
      </c>
      <c r="AB34" s="1" t="n">
        <v>48.1</v>
      </c>
      <c r="AC34" s="1" t="s">
        <v>289</v>
      </c>
    </row>
    <row r="35" customFormat="false" ht="15" hidden="false" customHeight="false" outlineLevel="0" collapsed="false">
      <c r="A35" s="1" t="s">
        <v>302</v>
      </c>
      <c r="B35" s="1" t="s">
        <v>289</v>
      </c>
      <c r="C35" s="1" t="s">
        <v>5</v>
      </c>
      <c r="D35" s="1" t="n">
        <v>0.0804</v>
      </c>
      <c r="E35" s="1" t="n">
        <v>0.1146</v>
      </c>
      <c r="F35" s="1" t="n">
        <v>0.1401</v>
      </c>
      <c r="G35" s="1" t="n">
        <v>41.63</v>
      </c>
      <c r="H35" s="1" t="n">
        <v>3.61</v>
      </c>
      <c r="I35" s="1" t="n">
        <v>1.94</v>
      </c>
      <c r="J35" s="1" t="n">
        <v>8.4</v>
      </c>
      <c r="K35" s="1" t="n">
        <v>22.8</v>
      </c>
      <c r="L35" s="1" t="n">
        <v>1.04</v>
      </c>
      <c r="M35" s="1" t="n">
        <v>2.36</v>
      </c>
      <c r="N35" s="1" t="n">
        <v>4.74</v>
      </c>
      <c r="O35" s="1" t="n">
        <v>2.1</v>
      </c>
      <c r="P35" s="1" t="n">
        <v>0.17</v>
      </c>
      <c r="Q35" s="1" t="n">
        <v>7.83</v>
      </c>
      <c r="R35" s="1" t="n">
        <v>96.9551</v>
      </c>
      <c r="S35" s="1" t="n">
        <v>0.0131</v>
      </c>
      <c r="T35" s="1" t="n">
        <v>0.0581</v>
      </c>
      <c r="U35" s="1" t="n">
        <v>0.0157</v>
      </c>
      <c r="V35" s="1" t="n">
        <v>91</v>
      </c>
      <c r="W35" s="1" t="n">
        <v>585</v>
      </c>
      <c r="X35" s="1" t="n">
        <v>115</v>
      </c>
      <c r="Y35" s="1" t="n">
        <v>-15907</v>
      </c>
      <c r="Z35" s="1" t="n">
        <v>-15603</v>
      </c>
      <c r="AA35" s="1" t="n">
        <v>-452</v>
      </c>
      <c r="AB35" s="1" t="n">
        <v>80.05</v>
      </c>
      <c r="AC35" s="1" t="s">
        <v>289</v>
      </c>
    </row>
    <row r="36" customFormat="false" ht="15" hidden="false" customHeight="false" outlineLevel="0" collapsed="false">
      <c r="A36" s="1" t="s">
        <v>303</v>
      </c>
      <c r="B36" s="1" t="s">
        <v>289</v>
      </c>
      <c r="C36" s="1" t="s">
        <v>5</v>
      </c>
      <c r="D36" s="1" t="n">
        <v>0.0833</v>
      </c>
      <c r="E36" s="1" t="n">
        <v>0.1504</v>
      </c>
      <c r="F36" s="1" t="n">
        <v>0.1322</v>
      </c>
      <c r="G36" s="1" t="n">
        <v>41.63</v>
      </c>
      <c r="H36" s="1" t="n">
        <v>3.61</v>
      </c>
      <c r="I36" s="1" t="n">
        <v>1.94</v>
      </c>
      <c r="J36" s="1" t="n">
        <v>8.4</v>
      </c>
      <c r="K36" s="1" t="n">
        <v>22.8</v>
      </c>
      <c r="L36" s="1" t="n">
        <v>1.04</v>
      </c>
      <c r="M36" s="1" t="n">
        <v>2.36</v>
      </c>
      <c r="N36" s="1" t="n">
        <v>4.74</v>
      </c>
      <c r="O36" s="1" t="n">
        <v>2.1</v>
      </c>
      <c r="P36" s="1" t="n">
        <v>0.17</v>
      </c>
      <c r="Q36" s="1" t="n">
        <v>7.83</v>
      </c>
      <c r="R36" s="1" t="n">
        <v>96.986</v>
      </c>
      <c r="S36" s="1" t="n">
        <v>0.0135</v>
      </c>
      <c r="T36" s="1" t="n">
        <v>0.0563</v>
      </c>
      <c r="U36" s="1" t="n">
        <v>0.0153</v>
      </c>
      <c r="V36" s="1" t="n">
        <v>94</v>
      </c>
      <c r="W36" s="1" t="n">
        <v>517</v>
      </c>
      <c r="X36" s="1" t="n">
        <v>114</v>
      </c>
      <c r="Y36" s="1" t="n">
        <v>-15907</v>
      </c>
      <c r="Z36" s="1" t="n">
        <v>-15574</v>
      </c>
      <c r="AA36" s="1" t="n">
        <v>-452</v>
      </c>
      <c r="AB36" s="1" t="n">
        <v>108.5</v>
      </c>
      <c r="AC36" s="1" t="s">
        <v>289</v>
      </c>
    </row>
    <row r="37" customFormat="false" ht="15" hidden="false" customHeight="false" outlineLevel="0" collapsed="false">
      <c r="A37" s="1" t="s">
        <v>304</v>
      </c>
      <c r="B37" s="1" t="s">
        <v>289</v>
      </c>
      <c r="C37" s="1" t="s">
        <v>5</v>
      </c>
      <c r="D37" s="1" t="n">
        <v>0.0859</v>
      </c>
      <c r="E37" s="1" t="n">
        <v>0.1555</v>
      </c>
      <c r="F37" s="1" t="n">
        <v>0.1457</v>
      </c>
      <c r="G37" s="1" t="n">
        <v>41.63</v>
      </c>
      <c r="H37" s="1" t="n">
        <v>3.61</v>
      </c>
      <c r="I37" s="1" t="n">
        <v>1.94</v>
      </c>
      <c r="J37" s="1" t="n">
        <v>8.4</v>
      </c>
      <c r="K37" s="1" t="n">
        <v>22.8</v>
      </c>
      <c r="L37" s="1" t="n">
        <v>1.04</v>
      </c>
      <c r="M37" s="1" t="n">
        <v>2.36</v>
      </c>
      <c r="N37" s="1" t="n">
        <v>4.74</v>
      </c>
      <c r="O37" s="1" t="n">
        <v>2.1</v>
      </c>
      <c r="P37" s="1" t="n">
        <v>0.17</v>
      </c>
      <c r="Q37" s="1" t="n">
        <v>7.83</v>
      </c>
      <c r="R37" s="1" t="n">
        <v>97.007</v>
      </c>
      <c r="S37" s="1" t="n">
        <v>0.0138</v>
      </c>
      <c r="T37" s="1" t="n">
        <v>0.058</v>
      </c>
      <c r="U37" s="1" t="n">
        <v>0.0158</v>
      </c>
      <c r="V37" s="1" t="n">
        <v>97</v>
      </c>
      <c r="W37" s="1" t="n">
        <v>537</v>
      </c>
      <c r="X37" s="1" t="n">
        <v>113</v>
      </c>
      <c r="Y37" s="1" t="n">
        <v>-15892</v>
      </c>
      <c r="Z37" s="1" t="n">
        <v>-15548</v>
      </c>
      <c r="AA37" s="1" t="n">
        <v>-452</v>
      </c>
      <c r="AB37" s="1" t="n">
        <v>137.03</v>
      </c>
      <c r="AC37" s="1" t="s">
        <v>289</v>
      </c>
    </row>
    <row r="38" customFormat="false" ht="15" hidden="false" customHeight="false" outlineLevel="0" collapsed="false">
      <c r="C38" s="1" t="s">
        <v>43</v>
      </c>
      <c r="D38" s="5" t="n">
        <f aca="false">AVERAGE(D18:D37)*10000</f>
        <v>815.333333333333</v>
      </c>
      <c r="E38" s="5" t="n">
        <f aca="false">AVERAGE(E18:E37)*10000</f>
        <v>1392.27777777778</v>
      </c>
      <c r="F38" s="5" t="n">
        <f aca="false">AVERAGE(F18:F37)*10000</f>
        <v>1412.11111111111</v>
      </c>
      <c r="S38" s="5" t="n">
        <f aca="false">AVERAGE(S18:S37)*10000</f>
        <v>134.222222222222</v>
      </c>
      <c r="T38" s="5" t="n">
        <f aca="false">AVERAGE(T18:T37)*10000</f>
        <v>561.111111111111</v>
      </c>
      <c r="U38" s="5" t="n">
        <f aca="false">AVERAGE(U18:U37)*10000</f>
        <v>156.833333333333</v>
      </c>
      <c r="V38" s="5" t="n">
        <f aca="false">AVERAGE(V18:V37)</f>
        <v>95</v>
      </c>
      <c r="W38" s="5" t="n">
        <f aca="false">AVERAGE(W18:W37)</f>
        <v>526.888888888889</v>
      </c>
      <c r="X38" s="5" t="n">
        <f aca="false">AVERAGE(X18:X37)</f>
        <v>113.833333333333</v>
      </c>
    </row>
    <row r="39" customFormat="false" ht="15" hidden="false" customHeight="false" outlineLevel="0" collapsed="false">
      <c r="C39" s="1" t="s">
        <v>44</v>
      </c>
      <c r="D39" s="5" t="n">
        <f aca="false">_xlfn.STDEV.P(D18:D37)*2*10000</f>
        <v>68.1860200725437</v>
      </c>
      <c r="E39" s="5" t="n">
        <f aca="false">_xlfn.STDEV.P(E18:E37)*2*10000</f>
        <v>397.360069321715</v>
      </c>
      <c r="F39" s="5" t="n">
        <f aca="false">_xlfn.STDEV.P(F18:F37)*2*10000</f>
        <v>111.273215083693</v>
      </c>
    </row>
    <row r="40" customFormat="false" ht="15" hidden="false" customHeight="false" outlineLevel="0" collapsed="false">
      <c r="C40" s="1" t="s">
        <v>45</v>
      </c>
      <c r="D40" s="5" t="n">
        <f aca="false">S38/3*2</f>
        <v>89.4814814814815</v>
      </c>
      <c r="E40" s="5" t="n">
        <f aca="false">T38/3*2</f>
        <v>374.074074074074</v>
      </c>
      <c r="F40" s="5" t="n">
        <f aca="false">U38/3*2</f>
        <v>104.555555555556</v>
      </c>
    </row>
    <row r="41" customFormat="false" ht="15" hidden="false" customHeight="false" outlineLevel="0" collapsed="false">
      <c r="C41" s="1" t="s">
        <v>46</v>
      </c>
      <c r="D41" s="5" t="n">
        <f aca="false">V38</f>
        <v>95</v>
      </c>
      <c r="E41" s="5" t="n">
        <f aca="false">W38</f>
        <v>526.888888888889</v>
      </c>
      <c r="F41" s="5" t="n">
        <f aca="false">X38</f>
        <v>113.833333333333</v>
      </c>
    </row>
    <row r="43" customFormat="false" ht="15" hidden="false" customHeight="false" outlineLevel="0" collapsed="false">
      <c r="A43" s="1" t="s">
        <v>145</v>
      </c>
      <c r="B43" s="1" t="s">
        <v>289</v>
      </c>
      <c r="C43" s="1" t="s">
        <v>4</v>
      </c>
      <c r="D43" s="1" t="n">
        <v>0.1143</v>
      </c>
      <c r="E43" s="1" t="n">
        <v>0.2019</v>
      </c>
      <c r="F43" s="1" t="n">
        <v>0.1051</v>
      </c>
      <c r="G43" s="1" t="n">
        <v>41.63</v>
      </c>
      <c r="H43" s="1" t="n">
        <v>3.61</v>
      </c>
      <c r="I43" s="1" t="n">
        <v>1.94</v>
      </c>
      <c r="J43" s="1" t="n">
        <v>8.4</v>
      </c>
      <c r="K43" s="1" t="n">
        <v>22.8</v>
      </c>
      <c r="L43" s="1" t="n">
        <v>1.04</v>
      </c>
      <c r="M43" s="1" t="n">
        <v>2.36</v>
      </c>
      <c r="N43" s="1" t="n">
        <v>4.74</v>
      </c>
      <c r="O43" s="1" t="n">
        <v>2.1</v>
      </c>
      <c r="P43" s="1" t="n">
        <v>0.17</v>
      </c>
      <c r="Q43" s="1" t="n">
        <v>7.83</v>
      </c>
      <c r="R43" s="1" t="n">
        <v>97.0413</v>
      </c>
      <c r="S43" s="1" t="n">
        <v>0.0155</v>
      </c>
      <c r="T43" s="1" t="n">
        <v>0.0632</v>
      </c>
      <c r="U43" s="1" t="n">
        <v>0.0148</v>
      </c>
      <c r="V43" s="1" t="n">
        <v>93</v>
      </c>
      <c r="W43" s="1" t="n">
        <v>564</v>
      </c>
      <c r="X43" s="1" t="n">
        <v>122</v>
      </c>
      <c r="Y43" s="1" t="n">
        <v>12833</v>
      </c>
      <c r="Z43" s="1" t="n">
        <v>-17039</v>
      </c>
      <c r="AA43" s="1" t="n">
        <v>-483</v>
      </c>
      <c r="AB43" s="1" t="n">
        <v>0</v>
      </c>
      <c r="AC43" s="1" t="s">
        <v>289</v>
      </c>
    </row>
    <row r="44" customFormat="false" ht="15" hidden="false" customHeight="false" outlineLevel="0" collapsed="false">
      <c r="A44" s="1" t="s">
        <v>305</v>
      </c>
      <c r="B44" s="1" t="s">
        <v>289</v>
      </c>
      <c r="C44" s="1" t="s">
        <v>4</v>
      </c>
      <c r="D44" s="1" t="n">
        <v>0.1074</v>
      </c>
      <c r="E44" s="1" t="n">
        <v>0.2378</v>
      </c>
      <c r="F44" s="1" t="n">
        <v>0.1166</v>
      </c>
      <c r="G44" s="1" t="n">
        <v>41.63</v>
      </c>
      <c r="H44" s="1" t="n">
        <v>3.61</v>
      </c>
      <c r="I44" s="1" t="n">
        <v>1.94</v>
      </c>
      <c r="J44" s="1" t="n">
        <v>8.4</v>
      </c>
      <c r="K44" s="1" t="n">
        <v>22.8</v>
      </c>
      <c r="L44" s="1" t="n">
        <v>1.04</v>
      </c>
      <c r="M44" s="1" t="n">
        <v>2.36</v>
      </c>
      <c r="N44" s="1" t="n">
        <v>4.74</v>
      </c>
      <c r="O44" s="1" t="n">
        <v>2.1</v>
      </c>
      <c r="P44" s="1" t="n">
        <v>0.17</v>
      </c>
      <c r="Q44" s="1" t="n">
        <v>7.83</v>
      </c>
      <c r="R44" s="1" t="n">
        <v>97.0818</v>
      </c>
      <c r="S44" s="1" t="n">
        <v>0.0152</v>
      </c>
      <c r="T44" s="1" t="n">
        <v>0.0629</v>
      </c>
      <c r="U44" s="1" t="n">
        <v>0.0148</v>
      </c>
      <c r="V44" s="1" t="n">
        <v>97</v>
      </c>
      <c r="W44" s="1" t="n">
        <v>516</v>
      </c>
      <c r="X44" s="1" t="n">
        <v>115</v>
      </c>
      <c r="Y44" s="1" t="n">
        <v>12817</v>
      </c>
      <c r="Z44" s="1" t="n">
        <v>-17026</v>
      </c>
      <c r="AA44" s="1" t="n">
        <v>-483</v>
      </c>
      <c r="AB44" s="1" t="n">
        <v>20.62</v>
      </c>
      <c r="AC44" s="1" t="s">
        <v>289</v>
      </c>
    </row>
    <row r="45" customFormat="false" ht="15" hidden="false" customHeight="false" outlineLevel="0" collapsed="false">
      <c r="A45" s="1" t="s">
        <v>306</v>
      </c>
      <c r="B45" s="1" t="s">
        <v>289</v>
      </c>
      <c r="C45" s="1" t="s">
        <v>4</v>
      </c>
      <c r="D45" s="1" t="n">
        <v>0.1102</v>
      </c>
      <c r="E45" s="1" t="n">
        <v>0.2149</v>
      </c>
      <c r="F45" s="1" t="n">
        <v>0.1175</v>
      </c>
      <c r="G45" s="1" t="n">
        <v>41.63</v>
      </c>
      <c r="H45" s="1" t="n">
        <v>3.61</v>
      </c>
      <c r="I45" s="1" t="n">
        <v>1.94</v>
      </c>
      <c r="J45" s="1" t="n">
        <v>8.4</v>
      </c>
      <c r="K45" s="1" t="n">
        <v>22.8</v>
      </c>
      <c r="L45" s="1" t="n">
        <v>1.04</v>
      </c>
      <c r="M45" s="1" t="n">
        <v>2.36</v>
      </c>
      <c r="N45" s="1" t="n">
        <v>4.74</v>
      </c>
      <c r="O45" s="1" t="n">
        <v>2.1</v>
      </c>
      <c r="P45" s="1" t="n">
        <v>0.17</v>
      </c>
      <c r="Q45" s="1" t="n">
        <v>7.83</v>
      </c>
      <c r="R45" s="1" t="n">
        <v>97.0626</v>
      </c>
      <c r="S45" s="1" t="n">
        <v>0.0152</v>
      </c>
      <c r="T45" s="1" t="n">
        <v>0.0634</v>
      </c>
      <c r="U45" s="1" t="n">
        <v>0.0144</v>
      </c>
      <c r="V45" s="1" t="n">
        <v>93</v>
      </c>
      <c r="W45" s="1" t="n">
        <v>553</v>
      </c>
      <c r="X45" s="1" t="n">
        <v>107</v>
      </c>
      <c r="Y45" s="1" t="n">
        <v>12836</v>
      </c>
      <c r="Z45" s="1" t="n">
        <v>-17014</v>
      </c>
      <c r="AA45" s="1" t="n">
        <v>-483</v>
      </c>
      <c r="AB45" s="1" t="n">
        <v>25.18</v>
      </c>
      <c r="AC45" s="1" t="s">
        <v>289</v>
      </c>
    </row>
    <row r="46" customFormat="false" ht="15" hidden="false" customHeight="false" outlineLevel="0" collapsed="false">
      <c r="A46" s="1" t="s">
        <v>307</v>
      </c>
      <c r="B46" s="1" t="s">
        <v>289</v>
      </c>
      <c r="C46" s="1" t="s">
        <v>4</v>
      </c>
      <c r="D46" s="1" t="n">
        <v>0.1065</v>
      </c>
      <c r="E46" s="1" t="n">
        <v>0.2478</v>
      </c>
      <c r="F46" s="1" t="n">
        <v>0.1108</v>
      </c>
      <c r="G46" s="1" t="n">
        <v>41.63</v>
      </c>
      <c r="H46" s="1" t="n">
        <v>3.61</v>
      </c>
      <c r="I46" s="1" t="n">
        <v>1.94</v>
      </c>
      <c r="J46" s="1" t="n">
        <v>8.4</v>
      </c>
      <c r="K46" s="1" t="n">
        <v>22.8</v>
      </c>
      <c r="L46" s="1" t="n">
        <v>1.04</v>
      </c>
      <c r="M46" s="1" t="n">
        <v>2.36</v>
      </c>
      <c r="N46" s="1" t="n">
        <v>4.74</v>
      </c>
      <c r="O46" s="1" t="n">
        <v>2.1</v>
      </c>
      <c r="P46" s="1" t="n">
        <v>0.17</v>
      </c>
      <c r="Q46" s="1" t="n">
        <v>7.83</v>
      </c>
      <c r="R46" s="1" t="n">
        <v>97.0851</v>
      </c>
      <c r="S46" s="1" t="n">
        <v>0.0151</v>
      </c>
      <c r="T46" s="1" t="n">
        <v>0.0623</v>
      </c>
      <c r="U46" s="1" t="n">
        <v>0.0146</v>
      </c>
      <c r="V46" s="1" t="n">
        <v>95</v>
      </c>
      <c r="W46" s="1" t="n">
        <v>493</v>
      </c>
      <c r="X46" s="1" t="n">
        <v>115</v>
      </c>
      <c r="Y46" s="1" t="n">
        <v>12867</v>
      </c>
      <c r="Z46" s="1" t="n">
        <v>-16989</v>
      </c>
      <c r="AA46" s="1" t="n">
        <v>-483</v>
      </c>
      <c r="AB46" s="1" t="n">
        <v>60.46</v>
      </c>
      <c r="AC46" s="1" t="s">
        <v>289</v>
      </c>
    </row>
    <row r="47" customFormat="false" ht="15" hidden="false" customHeight="false" outlineLevel="0" collapsed="false">
      <c r="A47" s="1" t="s">
        <v>308</v>
      </c>
      <c r="B47" s="1" t="s">
        <v>289</v>
      </c>
      <c r="C47" s="1" t="s">
        <v>4</v>
      </c>
      <c r="D47" s="1" t="n">
        <v>0.1063</v>
      </c>
      <c r="E47" s="1" t="n">
        <v>0.2568</v>
      </c>
      <c r="F47" s="1" t="n">
        <v>0.1163</v>
      </c>
      <c r="G47" s="1" t="n">
        <v>41.63</v>
      </c>
      <c r="H47" s="1" t="n">
        <v>3.61</v>
      </c>
      <c r="I47" s="1" t="n">
        <v>1.94</v>
      </c>
      <c r="J47" s="1" t="n">
        <v>8.4</v>
      </c>
      <c r="K47" s="1" t="n">
        <v>22.8</v>
      </c>
      <c r="L47" s="1" t="n">
        <v>1.04</v>
      </c>
      <c r="M47" s="1" t="n">
        <v>2.36</v>
      </c>
      <c r="N47" s="1" t="n">
        <v>4.74</v>
      </c>
      <c r="O47" s="1" t="n">
        <v>2.1</v>
      </c>
      <c r="P47" s="1" t="n">
        <v>0.17</v>
      </c>
      <c r="Q47" s="1" t="n">
        <v>7.83</v>
      </c>
      <c r="R47" s="1" t="n">
        <v>97.0994</v>
      </c>
      <c r="S47" s="1" t="n">
        <v>0.0152</v>
      </c>
      <c r="T47" s="1" t="n">
        <v>0.064</v>
      </c>
      <c r="U47" s="1" t="n">
        <v>0.0149</v>
      </c>
      <c r="V47" s="1" t="n">
        <v>98</v>
      </c>
      <c r="W47" s="1" t="n">
        <v>511</v>
      </c>
      <c r="X47" s="1" t="n">
        <v>116</v>
      </c>
      <c r="Y47" s="1" t="n">
        <v>12883</v>
      </c>
      <c r="Z47" s="1" t="n">
        <v>-16970</v>
      </c>
      <c r="AA47" s="1" t="n">
        <v>-483</v>
      </c>
      <c r="AB47" s="1" t="n">
        <v>85.21</v>
      </c>
      <c r="AC47" s="1" t="s">
        <v>289</v>
      </c>
    </row>
    <row r="48" customFormat="false" ht="15" hidden="false" customHeight="false" outlineLevel="0" collapsed="false">
      <c r="A48" s="1" t="s">
        <v>124</v>
      </c>
      <c r="B48" s="1" t="s">
        <v>289</v>
      </c>
      <c r="C48" s="1" t="s">
        <v>4</v>
      </c>
      <c r="D48" s="1" t="n">
        <v>0.1029</v>
      </c>
      <c r="E48" s="1" t="n">
        <v>0.2077</v>
      </c>
      <c r="F48" s="1" t="n">
        <v>0.1212</v>
      </c>
      <c r="G48" s="1" t="n">
        <v>41.63</v>
      </c>
      <c r="H48" s="1" t="n">
        <v>3.61</v>
      </c>
      <c r="I48" s="1" t="n">
        <v>1.94</v>
      </c>
      <c r="J48" s="1" t="n">
        <v>8.4</v>
      </c>
      <c r="K48" s="1" t="n">
        <v>22.8</v>
      </c>
      <c r="L48" s="1" t="n">
        <v>1.04</v>
      </c>
      <c r="M48" s="1" t="n">
        <v>2.36</v>
      </c>
      <c r="N48" s="1" t="n">
        <v>4.74</v>
      </c>
      <c r="O48" s="1" t="n">
        <v>2.1</v>
      </c>
      <c r="P48" s="1" t="n">
        <v>0.17</v>
      </c>
      <c r="Q48" s="1" t="n">
        <v>7.83</v>
      </c>
      <c r="R48" s="1" t="n">
        <v>97.0519</v>
      </c>
      <c r="S48" s="1" t="n">
        <v>0.0149</v>
      </c>
      <c r="T48" s="1" t="n">
        <v>0.061</v>
      </c>
      <c r="U48" s="1" t="n">
        <v>0.0148</v>
      </c>
      <c r="V48" s="1" t="n">
        <v>97</v>
      </c>
      <c r="W48" s="1" t="n">
        <v>521</v>
      </c>
      <c r="X48" s="1" t="n">
        <v>112</v>
      </c>
      <c r="Y48" s="1" t="n">
        <v>13072</v>
      </c>
      <c r="Z48" s="1" t="n">
        <v>-17125</v>
      </c>
      <c r="AA48" s="1" t="n">
        <v>-483</v>
      </c>
      <c r="AB48" s="1" t="n">
        <v>0</v>
      </c>
      <c r="AC48" s="1" t="s">
        <v>289</v>
      </c>
    </row>
    <row r="49" customFormat="false" ht="15" hidden="false" customHeight="false" outlineLevel="0" collapsed="false">
      <c r="A49" s="1" t="s">
        <v>125</v>
      </c>
      <c r="B49" s="1" t="s">
        <v>289</v>
      </c>
      <c r="C49" s="1" t="s">
        <v>4</v>
      </c>
      <c r="D49" s="1" t="n">
        <v>0.1149</v>
      </c>
      <c r="E49" s="1" t="n">
        <v>0.2436</v>
      </c>
      <c r="F49" s="1" t="n">
        <v>0.1224</v>
      </c>
      <c r="G49" s="1" t="n">
        <v>41.63</v>
      </c>
      <c r="H49" s="1" t="n">
        <v>3.61</v>
      </c>
      <c r="I49" s="1" t="n">
        <v>1.94</v>
      </c>
      <c r="J49" s="1" t="n">
        <v>8.4</v>
      </c>
      <c r="K49" s="1" t="n">
        <v>22.8</v>
      </c>
      <c r="L49" s="1" t="n">
        <v>1.04</v>
      </c>
      <c r="M49" s="1" t="n">
        <v>2.36</v>
      </c>
      <c r="N49" s="1" t="n">
        <v>4.74</v>
      </c>
      <c r="O49" s="1" t="n">
        <v>2.1</v>
      </c>
      <c r="P49" s="1" t="n">
        <v>0.17</v>
      </c>
      <c r="Q49" s="1" t="n">
        <v>7.83</v>
      </c>
      <c r="R49" s="1" t="n">
        <v>97.1009</v>
      </c>
      <c r="S49" s="1" t="n">
        <v>0.0154</v>
      </c>
      <c r="T49" s="1" t="n">
        <v>0.0627</v>
      </c>
      <c r="U49" s="1" t="n">
        <v>0.0149</v>
      </c>
      <c r="V49" s="1" t="n">
        <v>89</v>
      </c>
      <c r="W49" s="1" t="n">
        <v>506</v>
      </c>
      <c r="X49" s="1" t="n">
        <v>113</v>
      </c>
      <c r="Y49" s="1" t="n">
        <v>13093</v>
      </c>
      <c r="Z49" s="1" t="n">
        <v>-17127</v>
      </c>
      <c r="AA49" s="1" t="n">
        <v>-483</v>
      </c>
      <c r="AB49" s="1" t="n">
        <v>21.1</v>
      </c>
      <c r="AC49" s="1" t="s">
        <v>289</v>
      </c>
    </row>
    <row r="50" customFormat="false" ht="15" hidden="false" customHeight="false" outlineLevel="0" collapsed="false">
      <c r="A50" s="1" t="s">
        <v>126</v>
      </c>
      <c r="B50" s="1" t="s">
        <v>289</v>
      </c>
      <c r="C50" s="1" t="s">
        <v>4</v>
      </c>
      <c r="D50" s="1" t="n">
        <v>0.1093</v>
      </c>
      <c r="E50" s="1" t="n">
        <v>0.2246</v>
      </c>
      <c r="F50" s="1" t="n">
        <v>0.121</v>
      </c>
      <c r="G50" s="1" t="n">
        <v>41.63</v>
      </c>
      <c r="H50" s="1" t="n">
        <v>3.61</v>
      </c>
      <c r="I50" s="1" t="n">
        <v>1.94</v>
      </c>
      <c r="J50" s="1" t="n">
        <v>8.4</v>
      </c>
      <c r="K50" s="1" t="n">
        <v>22.8</v>
      </c>
      <c r="L50" s="1" t="n">
        <v>1.04</v>
      </c>
      <c r="M50" s="1" t="n">
        <v>2.36</v>
      </c>
      <c r="N50" s="1" t="n">
        <v>4.74</v>
      </c>
      <c r="O50" s="1" t="n">
        <v>2.1</v>
      </c>
      <c r="P50" s="1" t="n">
        <v>0.17</v>
      </c>
      <c r="Q50" s="1" t="n">
        <v>7.83</v>
      </c>
      <c r="R50" s="1" t="n">
        <v>97.0749</v>
      </c>
      <c r="S50" s="1" t="n">
        <v>0.0149</v>
      </c>
      <c r="T50" s="1" t="n">
        <v>0.065</v>
      </c>
      <c r="U50" s="1" t="n">
        <v>0.0148</v>
      </c>
      <c r="V50" s="1" t="n">
        <v>86</v>
      </c>
      <c r="W50" s="1" t="n">
        <v>568</v>
      </c>
      <c r="X50" s="1" t="n">
        <v>112</v>
      </c>
      <c r="Y50" s="1" t="n">
        <v>13110</v>
      </c>
      <c r="Z50" s="1" t="n">
        <v>-17142</v>
      </c>
      <c r="AA50" s="1" t="n">
        <v>-483</v>
      </c>
      <c r="AB50" s="1" t="n">
        <v>41.63</v>
      </c>
      <c r="AC50" s="1" t="s">
        <v>289</v>
      </c>
    </row>
    <row r="51" customFormat="false" ht="15" hidden="false" customHeight="false" outlineLevel="0" collapsed="false">
      <c r="A51" s="1" t="s">
        <v>127</v>
      </c>
      <c r="B51" s="1" t="s">
        <v>289</v>
      </c>
      <c r="C51" s="1" t="s">
        <v>4</v>
      </c>
      <c r="D51" s="1" t="n">
        <v>0.1027</v>
      </c>
      <c r="E51" s="1" t="n">
        <v>0.2616</v>
      </c>
      <c r="F51" s="1" t="n">
        <v>0.1089</v>
      </c>
      <c r="G51" s="1" t="n">
        <v>41.63</v>
      </c>
      <c r="H51" s="1" t="n">
        <v>3.61</v>
      </c>
      <c r="I51" s="1" t="n">
        <v>1.94</v>
      </c>
      <c r="J51" s="1" t="n">
        <v>8.4</v>
      </c>
      <c r="K51" s="1" t="n">
        <v>22.8</v>
      </c>
      <c r="L51" s="1" t="n">
        <v>1.04</v>
      </c>
      <c r="M51" s="1" t="n">
        <v>2.36</v>
      </c>
      <c r="N51" s="1" t="n">
        <v>4.74</v>
      </c>
      <c r="O51" s="1" t="n">
        <v>2.1</v>
      </c>
      <c r="P51" s="1" t="n">
        <v>0.17</v>
      </c>
      <c r="Q51" s="1" t="n">
        <v>7.83</v>
      </c>
      <c r="R51" s="1" t="n">
        <v>97.0931</v>
      </c>
      <c r="S51" s="1" t="n">
        <v>0.0147</v>
      </c>
      <c r="T51" s="1" t="n">
        <v>0.0648</v>
      </c>
      <c r="U51" s="1" t="n">
        <v>0.0148</v>
      </c>
      <c r="V51" s="1" t="n">
        <v>92</v>
      </c>
      <c r="W51" s="1" t="n">
        <v>521</v>
      </c>
      <c r="X51" s="1" t="n">
        <v>119</v>
      </c>
      <c r="Y51" s="1" t="n">
        <v>13201</v>
      </c>
      <c r="Z51" s="1" t="n">
        <v>-17126</v>
      </c>
      <c r="AA51" s="1" t="n">
        <v>-483</v>
      </c>
      <c r="AB51" s="1" t="n">
        <v>129</v>
      </c>
      <c r="AC51" s="1" t="s">
        <v>289</v>
      </c>
    </row>
    <row r="52" customFormat="false" ht="15" hidden="false" customHeight="false" outlineLevel="0" collapsed="false">
      <c r="A52" s="1" t="s">
        <v>128</v>
      </c>
      <c r="B52" s="1" t="s">
        <v>289</v>
      </c>
      <c r="C52" s="1" t="s">
        <v>4</v>
      </c>
      <c r="D52" s="1" t="n">
        <v>0.1077</v>
      </c>
      <c r="E52" s="1" t="n">
        <v>0.2117</v>
      </c>
      <c r="F52" s="1" t="n">
        <v>0.1221</v>
      </c>
      <c r="G52" s="1" t="n">
        <v>41.63</v>
      </c>
      <c r="H52" s="1" t="n">
        <v>3.61</v>
      </c>
      <c r="I52" s="1" t="n">
        <v>1.94</v>
      </c>
      <c r="J52" s="1" t="n">
        <v>8.4</v>
      </c>
      <c r="K52" s="1" t="n">
        <v>22.8</v>
      </c>
      <c r="L52" s="1" t="n">
        <v>1.04</v>
      </c>
      <c r="M52" s="1" t="n">
        <v>2.36</v>
      </c>
      <c r="N52" s="1" t="n">
        <v>4.74</v>
      </c>
      <c r="O52" s="1" t="n">
        <v>2.1</v>
      </c>
      <c r="P52" s="1" t="n">
        <v>0.17</v>
      </c>
      <c r="Q52" s="1" t="n">
        <v>7.83</v>
      </c>
      <c r="R52" s="1" t="n">
        <v>97.0615</v>
      </c>
      <c r="S52" s="1" t="n">
        <v>0.0151</v>
      </c>
      <c r="T52" s="1" t="n">
        <v>0.064</v>
      </c>
      <c r="U52" s="1" t="n">
        <v>0.0152</v>
      </c>
      <c r="V52" s="1" t="n">
        <v>94</v>
      </c>
      <c r="W52" s="1" t="n">
        <v>566</v>
      </c>
      <c r="X52" s="1" t="n">
        <v>118</v>
      </c>
      <c r="Y52" s="1" t="n">
        <v>13210</v>
      </c>
      <c r="Z52" s="1" t="n">
        <v>-17073</v>
      </c>
      <c r="AA52" s="1" t="n">
        <v>-483</v>
      </c>
      <c r="AB52" s="1" t="n">
        <v>147.47</v>
      </c>
      <c r="AC52" s="1" t="s">
        <v>289</v>
      </c>
    </row>
    <row r="53" customFormat="false" ht="15" hidden="false" customHeight="false" outlineLevel="0" collapsed="false">
      <c r="A53" s="1" t="s">
        <v>146</v>
      </c>
      <c r="B53" s="1" t="s">
        <v>289</v>
      </c>
      <c r="C53" s="1" t="s">
        <v>4</v>
      </c>
      <c r="D53" s="1" t="n">
        <v>0.1112</v>
      </c>
      <c r="E53" s="1" t="n">
        <v>0.2713</v>
      </c>
      <c r="F53" s="1" t="n">
        <v>0.1109</v>
      </c>
      <c r="G53" s="1" t="n">
        <v>41.63</v>
      </c>
      <c r="H53" s="1" t="n">
        <v>3.61</v>
      </c>
      <c r="I53" s="1" t="n">
        <v>1.94</v>
      </c>
      <c r="J53" s="1" t="n">
        <v>8.4</v>
      </c>
      <c r="K53" s="1" t="n">
        <v>22.8</v>
      </c>
      <c r="L53" s="1" t="n">
        <v>1.04</v>
      </c>
      <c r="M53" s="1" t="n">
        <v>2.36</v>
      </c>
      <c r="N53" s="1" t="n">
        <v>4.74</v>
      </c>
      <c r="O53" s="1" t="n">
        <v>2.1</v>
      </c>
      <c r="P53" s="1" t="n">
        <v>0.17</v>
      </c>
      <c r="Q53" s="1" t="n">
        <v>7.83</v>
      </c>
      <c r="R53" s="1" t="n">
        <v>97.1133</v>
      </c>
      <c r="S53" s="1" t="n">
        <v>0.0153</v>
      </c>
      <c r="T53" s="1" t="n">
        <v>0.0664</v>
      </c>
      <c r="U53" s="1" t="n">
        <v>0.0147</v>
      </c>
      <c r="V53" s="1" t="n">
        <v>92</v>
      </c>
      <c r="W53" s="1" t="n">
        <v>537</v>
      </c>
      <c r="X53" s="1" t="n">
        <v>116</v>
      </c>
      <c r="Y53" s="1" t="n">
        <v>13496</v>
      </c>
      <c r="Z53" s="1" t="n">
        <v>-17127</v>
      </c>
      <c r="AA53" s="1" t="n">
        <v>-483</v>
      </c>
      <c r="AB53" s="1" t="n">
        <v>0</v>
      </c>
      <c r="AC53" s="1" t="s">
        <v>289</v>
      </c>
    </row>
    <row r="54" customFormat="false" ht="15" hidden="false" customHeight="false" outlineLevel="0" collapsed="false">
      <c r="A54" s="1" t="s">
        <v>309</v>
      </c>
      <c r="B54" s="1" t="s">
        <v>289</v>
      </c>
      <c r="C54" s="1" t="s">
        <v>4</v>
      </c>
      <c r="D54" s="1" t="n">
        <v>0.1121</v>
      </c>
      <c r="E54" s="21" t="n">
        <v>0.2254</v>
      </c>
      <c r="F54" s="21" t="n">
        <v>0.112</v>
      </c>
      <c r="G54" s="5" t="n">
        <v>41.63</v>
      </c>
      <c r="H54" s="1" t="n">
        <v>3.61</v>
      </c>
      <c r="I54" s="1" t="n">
        <v>1.94</v>
      </c>
      <c r="J54" s="1" t="n">
        <v>8.4</v>
      </c>
      <c r="K54" s="1" t="n">
        <v>22.8</v>
      </c>
      <c r="L54" s="1" t="n">
        <v>1.04</v>
      </c>
      <c r="M54" s="1" t="n">
        <v>2.36</v>
      </c>
      <c r="N54" s="1" t="n">
        <v>4.74</v>
      </c>
      <c r="O54" s="1" t="n">
        <v>2.1</v>
      </c>
      <c r="P54" s="1" t="n">
        <v>0.17</v>
      </c>
      <c r="Q54" s="1" t="n">
        <v>7.83</v>
      </c>
      <c r="R54" s="1" t="n">
        <v>97.0695</v>
      </c>
      <c r="S54" s="1" t="n">
        <v>0.0153</v>
      </c>
      <c r="T54" s="1" t="n">
        <v>0.0643</v>
      </c>
      <c r="U54" s="1" t="n">
        <v>0.0146</v>
      </c>
      <c r="V54" s="1" t="n">
        <v>92</v>
      </c>
      <c r="W54" s="1" t="n">
        <v>556</v>
      </c>
      <c r="X54" s="1" t="n">
        <v>114</v>
      </c>
      <c r="Y54" s="1" t="n">
        <v>13522</v>
      </c>
      <c r="Z54" s="1" t="n">
        <v>-17133</v>
      </c>
      <c r="AA54" s="1" t="n">
        <v>-483</v>
      </c>
      <c r="AB54" s="1" t="n">
        <v>26.68</v>
      </c>
      <c r="AC54" s="1" t="s">
        <v>289</v>
      </c>
    </row>
    <row r="55" customFormat="false" ht="15" hidden="false" customHeight="false" outlineLevel="0" collapsed="false">
      <c r="A55" s="1" t="s">
        <v>310</v>
      </c>
      <c r="B55" s="1" t="s">
        <v>289</v>
      </c>
      <c r="C55" s="1" t="s">
        <v>4</v>
      </c>
      <c r="D55" s="1" t="n">
        <v>0.1096</v>
      </c>
      <c r="E55" s="1" t="n">
        <v>0.2334</v>
      </c>
      <c r="F55" s="1" t="n">
        <v>0.1218</v>
      </c>
      <c r="G55" s="1" t="n">
        <v>41.63</v>
      </c>
      <c r="H55" s="1" t="n">
        <v>3.61</v>
      </c>
      <c r="I55" s="1" t="n">
        <v>1.94</v>
      </c>
      <c r="J55" s="1" t="n">
        <v>8.4</v>
      </c>
      <c r="K55" s="1" t="n">
        <v>22.8</v>
      </c>
      <c r="L55" s="1" t="n">
        <v>1.04</v>
      </c>
      <c r="M55" s="1" t="n">
        <v>2.36</v>
      </c>
      <c r="N55" s="1" t="n">
        <v>4.74</v>
      </c>
      <c r="O55" s="1" t="n">
        <v>2.1</v>
      </c>
      <c r="P55" s="1" t="n">
        <v>0.17</v>
      </c>
      <c r="Q55" s="1" t="n">
        <v>7.83</v>
      </c>
      <c r="R55" s="1" t="n">
        <v>97.0848</v>
      </c>
      <c r="S55" s="1" t="n">
        <v>0.0155</v>
      </c>
      <c r="T55" s="1" t="n">
        <v>0.0646</v>
      </c>
      <c r="U55" s="1" t="n">
        <v>0.0147</v>
      </c>
      <c r="V55" s="1" t="n">
        <v>99</v>
      </c>
      <c r="W55" s="1" t="n">
        <v>552</v>
      </c>
      <c r="X55" s="1" t="n">
        <v>110</v>
      </c>
      <c r="Y55" s="1" t="n">
        <v>13557</v>
      </c>
      <c r="Z55" s="1" t="n">
        <v>-17140</v>
      </c>
      <c r="AA55" s="1" t="n">
        <v>-483</v>
      </c>
      <c r="AB55" s="1" t="n">
        <v>62.37</v>
      </c>
      <c r="AC55" s="1" t="s">
        <v>289</v>
      </c>
    </row>
    <row r="56" customFormat="false" ht="15" hidden="false" customHeight="false" outlineLevel="0" collapsed="false">
      <c r="A56" s="1" t="s">
        <v>311</v>
      </c>
      <c r="B56" s="1" t="s">
        <v>289</v>
      </c>
      <c r="C56" s="1" t="s">
        <v>4</v>
      </c>
      <c r="D56" s="1" t="n">
        <v>0.1036</v>
      </c>
      <c r="E56" s="1" t="n">
        <v>0.2553</v>
      </c>
      <c r="F56" s="1" t="n">
        <v>0.1097</v>
      </c>
      <c r="G56" s="1" t="n">
        <v>41.63</v>
      </c>
      <c r="H56" s="1" t="n">
        <v>3.61</v>
      </c>
      <c r="I56" s="1" t="n">
        <v>1.94</v>
      </c>
      <c r="J56" s="1" t="n">
        <v>8.4</v>
      </c>
      <c r="K56" s="1" t="n">
        <v>22.8</v>
      </c>
      <c r="L56" s="1" t="n">
        <v>1.04</v>
      </c>
      <c r="M56" s="1" t="n">
        <v>2.36</v>
      </c>
      <c r="N56" s="1" t="n">
        <v>4.74</v>
      </c>
      <c r="O56" s="1" t="n">
        <v>2.1</v>
      </c>
      <c r="P56" s="1" t="n">
        <v>0.17</v>
      </c>
      <c r="Q56" s="1" t="n">
        <v>7.83</v>
      </c>
      <c r="R56" s="1" t="n">
        <v>97.0886</v>
      </c>
      <c r="S56" s="1" t="n">
        <v>0.0151</v>
      </c>
      <c r="T56" s="1" t="n">
        <v>0.0627</v>
      </c>
      <c r="U56" s="1" t="n">
        <v>0.0147</v>
      </c>
      <c r="V56" s="1" t="n">
        <v>101</v>
      </c>
      <c r="W56" s="1" t="n">
        <v>489</v>
      </c>
      <c r="X56" s="1" t="n">
        <v>117</v>
      </c>
      <c r="Y56" s="1" t="n">
        <v>13495</v>
      </c>
      <c r="Z56" s="1" t="n">
        <v>-17176</v>
      </c>
      <c r="AA56" s="1" t="n">
        <v>-483</v>
      </c>
      <c r="AB56" s="1" t="n">
        <v>49.01</v>
      </c>
      <c r="AC56" s="1" t="s">
        <v>289</v>
      </c>
    </row>
    <row r="57" customFormat="false" ht="15" hidden="false" customHeight="false" outlineLevel="0" collapsed="false">
      <c r="A57" s="1" t="s">
        <v>312</v>
      </c>
      <c r="B57" s="1" t="s">
        <v>289</v>
      </c>
      <c r="C57" s="1" t="s">
        <v>4</v>
      </c>
      <c r="D57" s="1" t="n">
        <v>0.1015</v>
      </c>
      <c r="E57" s="1" t="n">
        <v>0.2105</v>
      </c>
      <c r="F57" s="1" t="n">
        <v>0.1153</v>
      </c>
      <c r="G57" s="1" t="n">
        <v>41.63</v>
      </c>
      <c r="H57" s="1" t="n">
        <v>3.61</v>
      </c>
      <c r="I57" s="1" t="n">
        <v>1.94</v>
      </c>
      <c r="J57" s="1" t="n">
        <v>8.4</v>
      </c>
      <c r="K57" s="1" t="n">
        <v>22.8</v>
      </c>
      <c r="L57" s="1" t="n">
        <v>1.04</v>
      </c>
      <c r="M57" s="1" t="n">
        <v>2.36</v>
      </c>
      <c r="N57" s="1" t="n">
        <v>4.74</v>
      </c>
      <c r="O57" s="1" t="n">
        <v>2.1</v>
      </c>
      <c r="P57" s="1" t="n">
        <v>0.17</v>
      </c>
      <c r="Q57" s="1" t="n">
        <v>7.83</v>
      </c>
      <c r="R57" s="1" t="n">
        <v>97.0473</v>
      </c>
      <c r="S57" s="1" t="n">
        <v>0.0148</v>
      </c>
      <c r="T57" s="1" t="n">
        <v>0.0632</v>
      </c>
      <c r="U57" s="1" t="n">
        <v>0.0148</v>
      </c>
      <c r="V57" s="1" t="n">
        <v>97</v>
      </c>
      <c r="W57" s="1" t="n">
        <v>554</v>
      </c>
      <c r="X57" s="1" t="n">
        <v>116</v>
      </c>
      <c r="Y57" s="1" t="n">
        <v>13516</v>
      </c>
      <c r="Z57" s="1" t="n">
        <v>-17213</v>
      </c>
      <c r="AA57" s="1" t="n">
        <v>-483</v>
      </c>
      <c r="AB57" s="1" t="n">
        <v>88.29</v>
      </c>
      <c r="AC57" s="1" t="s">
        <v>289</v>
      </c>
    </row>
    <row r="58" customFormat="false" ht="15" hidden="false" customHeight="false" outlineLevel="0" collapsed="false">
      <c r="A58" s="1" t="s">
        <v>147</v>
      </c>
      <c r="B58" s="1" t="s">
        <v>289</v>
      </c>
      <c r="C58" s="1" t="s">
        <v>4</v>
      </c>
      <c r="D58" s="1" t="n">
        <v>0.1037</v>
      </c>
      <c r="E58" s="1" t="n">
        <v>0.2169</v>
      </c>
      <c r="F58" s="1" t="n">
        <v>0.1096</v>
      </c>
      <c r="G58" s="1" t="n">
        <v>41.63</v>
      </c>
      <c r="H58" s="1" t="n">
        <v>3.61</v>
      </c>
      <c r="I58" s="1" t="n">
        <v>1.94</v>
      </c>
      <c r="J58" s="1" t="n">
        <v>8.4</v>
      </c>
      <c r="K58" s="1" t="n">
        <v>22.8</v>
      </c>
      <c r="L58" s="1" t="n">
        <v>1.04</v>
      </c>
      <c r="M58" s="1" t="n">
        <v>2.36</v>
      </c>
      <c r="N58" s="1" t="n">
        <v>4.74</v>
      </c>
      <c r="O58" s="1" t="n">
        <v>2.1</v>
      </c>
      <c r="P58" s="1" t="n">
        <v>0.17</v>
      </c>
      <c r="Q58" s="1" t="n">
        <v>7.83</v>
      </c>
      <c r="R58" s="1" t="n">
        <v>97.0502</v>
      </c>
      <c r="S58" s="1" t="n">
        <v>0.0152</v>
      </c>
      <c r="T58" s="1" t="n">
        <v>0.0598</v>
      </c>
      <c r="U58" s="1" t="n">
        <v>0.0147</v>
      </c>
      <c r="V58" s="1" t="n">
        <v>102</v>
      </c>
      <c r="W58" s="1" t="n">
        <v>488</v>
      </c>
      <c r="X58" s="1" t="n">
        <v>118</v>
      </c>
      <c r="Y58" s="1" t="n">
        <v>14306</v>
      </c>
      <c r="Z58" s="1" t="n">
        <v>-17413</v>
      </c>
      <c r="AA58" s="1" t="n">
        <v>-483</v>
      </c>
      <c r="AB58" s="1" t="n">
        <v>0</v>
      </c>
      <c r="AC58" s="1" t="s">
        <v>289</v>
      </c>
    </row>
    <row r="59" customFormat="false" ht="15" hidden="false" customHeight="false" outlineLevel="0" collapsed="false">
      <c r="A59" s="1" t="s">
        <v>313</v>
      </c>
      <c r="B59" s="1" t="s">
        <v>289</v>
      </c>
      <c r="C59" s="1" t="s">
        <v>4</v>
      </c>
      <c r="D59" s="1" t="n">
        <v>0.1082</v>
      </c>
      <c r="E59" s="1" t="n">
        <v>0.2318</v>
      </c>
      <c r="F59" s="1" t="n">
        <v>0.1112</v>
      </c>
      <c r="G59" s="1" t="n">
        <v>41.63</v>
      </c>
      <c r="H59" s="1" t="n">
        <v>3.61</v>
      </c>
      <c r="I59" s="1" t="n">
        <v>1.94</v>
      </c>
      <c r="J59" s="1" t="n">
        <v>8.4</v>
      </c>
      <c r="K59" s="1" t="n">
        <v>22.8</v>
      </c>
      <c r="L59" s="1" t="n">
        <v>1.04</v>
      </c>
      <c r="M59" s="1" t="n">
        <v>2.36</v>
      </c>
      <c r="N59" s="1" t="n">
        <v>4.74</v>
      </c>
      <c r="O59" s="1" t="n">
        <v>2.1</v>
      </c>
      <c r="P59" s="1" t="n">
        <v>0.17</v>
      </c>
      <c r="Q59" s="1" t="n">
        <v>7.83</v>
      </c>
      <c r="R59" s="1" t="n">
        <v>97.0712</v>
      </c>
      <c r="S59" s="1" t="n">
        <v>0.0152</v>
      </c>
      <c r="T59" s="1" t="n">
        <v>0.0639</v>
      </c>
      <c r="U59" s="1" t="n">
        <v>0.0144</v>
      </c>
      <c r="V59" s="1" t="n">
        <v>94</v>
      </c>
      <c r="W59" s="1" t="n">
        <v>541</v>
      </c>
      <c r="X59" s="1" t="n">
        <v>110</v>
      </c>
      <c r="Y59" s="1" t="n">
        <v>14299</v>
      </c>
      <c r="Z59" s="1" t="n">
        <v>-17370</v>
      </c>
      <c r="AA59" s="1" t="n">
        <v>-483</v>
      </c>
      <c r="AB59" s="1" t="n">
        <v>43.57</v>
      </c>
      <c r="AC59" s="1" t="s">
        <v>289</v>
      </c>
    </row>
    <row r="60" customFormat="false" ht="15" hidden="false" customHeight="false" outlineLevel="0" collapsed="false">
      <c r="A60" s="1" t="s">
        <v>314</v>
      </c>
      <c r="B60" s="1" t="s">
        <v>289</v>
      </c>
      <c r="C60" s="1" t="s">
        <v>4</v>
      </c>
      <c r="D60" s="1" t="n">
        <v>0.0992</v>
      </c>
      <c r="E60" s="1" t="n">
        <v>0.2517</v>
      </c>
      <c r="F60" s="1" t="n">
        <v>0.1189</v>
      </c>
      <c r="G60" s="1" t="n">
        <v>41.63</v>
      </c>
      <c r="H60" s="1" t="n">
        <v>3.61</v>
      </c>
      <c r="I60" s="1" t="n">
        <v>1.94</v>
      </c>
      <c r="J60" s="1" t="n">
        <v>8.4</v>
      </c>
      <c r="K60" s="1" t="n">
        <v>22.8</v>
      </c>
      <c r="L60" s="1" t="n">
        <v>1.04</v>
      </c>
      <c r="M60" s="1" t="n">
        <v>2.36</v>
      </c>
      <c r="N60" s="1" t="n">
        <v>4.74</v>
      </c>
      <c r="O60" s="1" t="n">
        <v>2.1</v>
      </c>
      <c r="P60" s="1" t="n">
        <v>0.17</v>
      </c>
      <c r="Q60" s="1" t="n">
        <v>7.83</v>
      </c>
      <c r="R60" s="1" t="n">
        <v>97.0898</v>
      </c>
      <c r="S60" s="1" t="n">
        <v>0.0148</v>
      </c>
      <c r="T60" s="1" t="n">
        <v>0.0632</v>
      </c>
      <c r="U60" s="1" t="n">
        <v>0.0149</v>
      </c>
      <c r="V60" s="1" t="n">
        <v>99</v>
      </c>
      <c r="W60" s="1" t="n">
        <v>503</v>
      </c>
      <c r="X60" s="1" t="n">
        <v>115</v>
      </c>
      <c r="Y60" s="1" t="n">
        <v>14327</v>
      </c>
      <c r="Z60" s="1" t="n">
        <v>-17350</v>
      </c>
      <c r="AA60" s="1" t="n">
        <v>-483</v>
      </c>
      <c r="AB60" s="1" t="n">
        <v>66.41</v>
      </c>
      <c r="AC60" s="1" t="s">
        <v>289</v>
      </c>
    </row>
    <row r="61" customFormat="false" ht="15" hidden="false" customHeight="false" outlineLevel="0" collapsed="false">
      <c r="A61" s="1" t="s">
        <v>315</v>
      </c>
      <c r="B61" s="1" t="s">
        <v>289</v>
      </c>
      <c r="C61" s="1" t="s">
        <v>4</v>
      </c>
      <c r="D61" s="1" t="n">
        <v>0.1024</v>
      </c>
      <c r="E61" s="1" t="n">
        <v>0.2618</v>
      </c>
      <c r="F61" s="1" t="n">
        <v>0.1126</v>
      </c>
      <c r="G61" s="1" t="n">
        <v>41.63</v>
      </c>
      <c r="H61" s="1" t="n">
        <v>3.61</v>
      </c>
      <c r="I61" s="1" t="n">
        <v>1.94</v>
      </c>
      <c r="J61" s="1" t="n">
        <v>8.4</v>
      </c>
      <c r="K61" s="1" t="n">
        <v>22.8</v>
      </c>
      <c r="L61" s="1" t="n">
        <v>1.04</v>
      </c>
      <c r="M61" s="1" t="n">
        <v>2.36</v>
      </c>
      <c r="N61" s="1" t="n">
        <v>4.74</v>
      </c>
      <c r="O61" s="1" t="n">
        <v>2.1</v>
      </c>
      <c r="P61" s="1" t="n">
        <v>0.17</v>
      </c>
      <c r="Q61" s="1" t="n">
        <v>7.83</v>
      </c>
      <c r="R61" s="1" t="n">
        <v>97.0968</v>
      </c>
      <c r="S61" s="1" t="n">
        <v>0.0148</v>
      </c>
      <c r="T61" s="1" t="n">
        <v>0.066</v>
      </c>
      <c r="U61" s="1" t="n">
        <v>0.0148</v>
      </c>
      <c r="V61" s="1" t="n">
        <v>95</v>
      </c>
      <c r="W61" s="1" t="n">
        <v>541</v>
      </c>
      <c r="X61" s="1" t="n">
        <v>117</v>
      </c>
      <c r="Y61" s="1" t="n">
        <v>14370</v>
      </c>
      <c r="Z61" s="1" t="n">
        <v>-17405</v>
      </c>
      <c r="AA61" s="1" t="n">
        <v>-483</v>
      </c>
      <c r="AB61" s="1" t="n">
        <v>64.5</v>
      </c>
      <c r="AC61" s="1" t="s">
        <v>289</v>
      </c>
    </row>
    <row r="62" customFormat="false" ht="15" hidden="false" customHeight="false" outlineLevel="0" collapsed="false">
      <c r="A62" s="1" t="s">
        <v>316</v>
      </c>
      <c r="B62" s="1" t="s">
        <v>289</v>
      </c>
      <c r="C62" s="1" t="s">
        <v>4</v>
      </c>
      <c r="D62" s="1" t="n">
        <v>0.11</v>
      </c>
      <c r="E62" s="1" t="n">
        <v>0.2468</v>
      </c>
      <c r="F62" s="1" t="n">
        <v>0.1094</v>
      </c>
      <c r="G62" s="1" t="n">
        <v>41.63</v>
      </c>
      <c r="H62" s="1" t="n">
        <v>3.61</v>
      </c>
      <c r="I62" s="1" t="n">
        <v>1.94</v>
      </c>
      <c r="J62" s="1" t="n">
        <v>8.4</v>
      </c>
      <c r="K62" s="1" t="n">
        <v>22.8</v>
      </c>
      <c r="L62" s="1" t="n">
        <v>1.04</v>
      </c>
      <c r="M62" s="1" t="n">
        <v>2.36</v>
      </c>
      <c r="N62" s="1" t="n">
        <v>4.74</v>
      </c>
      <c r="O62" s="1" t="n">
        <v>2.1</v>
      </c>
      <c r="P62" s="1" t="n">
        <v>0.17</v>
      </c>
      <c r="Q62" s="1" t="n">
        <v>7.83</v>
      </c>
      <c r="R62" s="1" t="n">
        <v>97.0861</v>
      </c>
      <c r="S62" s="1" t="n">
        <v>0.0153</v>
      </c>
      <c r="T62" s="1" t="n">
        <v>0.063</v>
      </c>
      <c r="U62" s="1" t="n">
        <v>0.0146</v>
      </c>
      <c r="V62" s="1" t="n">
        <v>96</v>
      </c>
      <c r="W62" s="1" t="n">
        <v>506</v>
      </c>
      <c r="X62" s="1" t="n">
        <v>116</v>
      </c>
      <c r="Y62" s="1" t="n">
        <v>14223</v>
      </c>
      <c r="Z62" s="1" t="n">
        <v>-17435</v>
      </c>
      <c r="AA62" s="1" t="n">
        <v>-483</v>
      </c>
      <c r="AB62" s="1" t="n">
        <v>85.87</v>
      </c>
      <c r="AC62" s="1" t="s">
        <v>289</v>
      </c>
    </row>
    <row r="63" customFormat="false" ht="15" hidden="false" customHeight="false" outlineLevel="0" collapsed="false">
      <c r="C63" s="1" t="s">
        <v>43</v>
      </c>
      <c r="D63" s="5" t="n">
        <f aca="false">AVERAGE(D43:D62)*10000</f>
        <v>1071.85</v>
      </c>
      <c r="E63" s="5" t="n">
        <f aca="false">AVERAGE(E43:E62)*10000</f>
        <v>2356.65</v>
      </c>
      <c r="F63" s="5" t="n">
        <f aca="false">AVERAGE(F43:F62)*10000</f>
        <v>1146.65</v>
      </c>
      <c r="S63" s="5" t="n">
        <f aca="false">AVERAGE(S43:S62)*10000</f>
        <v>151.25</v>
      </c>
      <c r="T63" s="5" t="n">
        <f aca="false">AVERAGE(T43:T62)*10000</f>
        <v>635.2</v>
      </c>
      <c r="U63" s="5" t="n">
        <f aca="false">AVERAGE(U43:U62)*10000</f>
        <v>147.45</v>
      </c>
      <c r="V63" s="5" t="n">
        <f aca="false">AVERAGE(V43:V62)</f>
        <v>95.05</v>
      </c>
      <c r="W63" s="5" t="n">
        <f aca="false">AVERAGE(W43:W62)</f>
        <v>529.3</v>
      </c>
      <c r="X63" s="5" t="n">
        <f aca="false">AVERAGE(X43:X62)</f>
        <v>114.9</v>
      </c>
    </row>
    <row r="64" customFormat="false" ht="15" hidden="false" customHeight="false" outlineLevel="0" collapsed="false">
      <c r="C64" s="1" t="s">
        <v>44</v>
      </c>
      <c r="D64" s="5" t="n">
        <f aca="false">_xlfn.STDEV.P(D43:D62)*2*10000</f>
        <v>85.1804555047694</v>
      </c>
      <c r="E64" s="5" t="n">
        <f aca="false">_xlfn.STDEV.P(E43:E62)*2*10000</f>
        <v>405.327657580876</v>
      </c>
      <c r="F64" s="5" t="n">
        <f aca="false">_xlfn.STDEV.P(F43:F62)*2*10000</f>
        <v>103.622922174585</v>
      </c>
    </row>
    <row r="65" customFormat="false" ht="15" hidden="false" customHeight="false" outlineLevel="0" collapsed="false">
      <c r="C65" s="1" t="s">
        <v>45</v>
      </c>
      <c r="D65" s="5" t="n">
        <f aca="false">S63/3*2</f>
        <v>100.833333333333</v>
      </c>
      <c r="E65" s="5" t="n">
        <f aca="false">T63/3*2</f>
        <v>423.466666666667</v>
      </c>
      <c r="F65" s="5" t="n">
        <f aca="false">U63/3*2</f>
        <v>98.3</v>
      </c>
    </row>
    <row r="66" customFormat="false" ht="15" hidden="false" customHeight="false" outlineLevel="0" collapsed="false">
      <c r="C66" s="1" t="s">
        <v>46</v>
      </c>
      <c r="D66" s="5" t="n">
        <f aca="false">V63</f>
        <v>95.05</v>
      </c>
      <c r="E66" s="5" t="n">
        <f aca="false">W63</f>
        <v>529.3</v>
      </c>
      <c r="F66" s="5" t="n">
        <f aca="false">X63</f>
        <v>114.9</v>
      </c>
    </row>
    <row r="68" customFormat="false" ht="15" hidden="false" customHeight="false" outlineLevel="0" collapsed="false">
      <c r="A68" s="1" t="s">
        <v>148</v>
      </c>
      <c r="B68" s="1" t="s">
        <v>289</v>
      </c>
      <c r="C68" s="1" t="s">
        <v>7</v>
      </c>
      <c r="D68" s="1" t="n">
        <v>0.0657</v>
      </c>
      <c r="E68" s="1" t="n">
        <v>0.1448</v>
      </c>
      <c r="F68" s="1" t="n">
        <v>0.1788</v>
      </c>
      <c r="G68" s="1" t="n">
        <v>41.63</v>
      </c>
      <c r="H68" s="1" t="n">
        <v>3.61</v>
      </c>
      <c r="I68" s="1" t="n">
        <v>1.94</v>
      </c>
      <c r="J68" s="1" t="n">
        <v>8.4</v>
      </c>
      <c r="K68" s="1" t="n">
        <v>22.8</v>
      </c>
      <c r="L68" s="1" t="n">
        <v>1.04</v>
      </c>
      <c r="M68" s="1" t="n">
        <v>2.36</v>
      </c>
      <c r="N68" s="1" t="n">
        <v>4.74</v>
      </c>
      <c r="O68" s="1" t="n">
        <v>2.1</v>
      </c>
      <c r="P68" s="1" t="n">
        <v>0.17</v>
      </c>
      <c r="Q68" s="1" t="n">
        <v>7.83</v>
      </c>
      <c r="R68" s="1" t="n">
        <v>97.0094</v>
      </c>
      <c r="S68" s="1" t="n">
        <v>0.0123</v>
      </c>
      <c r="T68" s="1" t="n">
        <v>0.0544</v>
      </c>
      <c r="U68" s="1" t="n">
        <v>0.0171</v>
      </c>
      <c r="V68" s="1" t="n">
        <v>94</v>
      </c>
      <c r="W68" s="1" t="n">
        <v>493</v>
      </c>
      <c r="X68" s="1" t="n">
        <v>115</v>
      </c>
      <c r="Y68" s="1" t="n">
        <v>5956</v>
      </c>
      <c r="Z68" s="1" t="n">
        <v>-22965</v>
      </c>
      <c r="AA68" s="1" t="n">
        <v>-458</v>
      </c>
      <c r="AB68" s="1" t="n">
        <v>0</v>
      </c>
      <c r="AC68" s="1" t="s">
        <v>289</v>
      </c>
    </row>
    <row r="69" customFormat="false" ht="15" hidden="false" customHeight="false" outlineLevel="0" collapsed="false">
      <c r="A69" s="1" t="s">
        <v>317</v>
      </c>
      <c r="B69" s="1" t="s">
        <v>289</v>
      </c>
      <c r="C69" s="1" t="s">
        <v>7</v>
      </c>
      <c r="D69" s="1" t="n">
        <v>0.065</v>
      </c>
      <c r="E69" s="1" t="n">
        <v>0.1748</v>
      </c>
      <c r="F69" s="1" t="n">
        <v>0.1821</v>
      </c>
      <c r="G69" s="1" t="n">
        <v>41.63</v>
      </c>
      <c r="H69" s="1" t="n">
        <v>3.61</v>
      </c>
      <c r="I69" s="1" t="n">
        <v>1.94</v>
      </c>
      <c r="J69" s="1" t="n">
        <v>8.4</v>
      </c>
      <c r="K69" s="1" t="n">
        <v>22.8</v>
      </c>
      <c r="L69" s="1" t="n">
        <v>1.04</v>
      </c>
      <c r="M69" s="1" t="n">
        <v>2.36</v>
      </c>
      <c r="N69" s="1" t="n">
        <v>4.74</v>
      </c>
      <c r="O69" s="1" t="n">
        <v>2.1</v>
      </c>
      <c r="P69" s="1" t="n">
        <v>0.17</v>
      </c>
      <c r="Q69" s="1" t="n">
        <v>7.83</v>
      </c>
      <c r="R69" s="1" t="n">
        <v>97.0419</v>
      </c>
      <c r="S69" s="1" t="n">
        <v>0.0124</v>
      </c>
      <c r="T69" s="1" t="n">
        <v>0.0577</v>
      </c>
      <c r="U69" s="1" t="n">
        <v>0.0169</v>
      </c>
      <c r="V69" s="1" t="n">
        <v>96</v>
      </c>
      <c r="W69" s="1" t="n">
        <v>508</v>
      </c>
      <c r="X69" s="1" t="n">
        <v>109</v>
      </c>
      <c r="Y69" s="1" t="n">
        <v>5890</v>
      </c>
      <c r="Z69" s="1" t="n">
        <v>-22908</v>
      </c>
      <c r="AA69" s="1" t="n">
        <v>-458</v>
      </c>
      <c r="AB69" s="1" t="n">
        <v>87.21</v>
      </c>
      <c r="AC69" s="1" t="s">
        <v>289</v>
      </c>
    </row>
    <row r="70" customFormat="false" ht="15" hidden="false" customHeight="false" outlineLevel="0" collapsed="false">
      <c r="A70" s="1" t="s">
        <v>318</v>
      </c>
      <c r="B70" s="1" t="s">
        <v>289</v>
      </c>
      <c r="C70" s="1" t="s">
        <v>7</v>
      </c>
      <c r="D70" s="1" t="n">
        <v>0.0606</v>
      </c>
      <c r="E70" s="1" t="n">
        <v>0.1528</v>
      </c>
      <c r="F70" s="1" t="n">
        <v>0.1757</v>
      </c>
      <c r="G70" s="1" t="n">
        <v>41.63</v>
      </c>
      <c r="H70" s="1" t="n">
        <v>3.61</v>
      </c>
      <c r="I70" s="1" t="n">
        <v>1.94</v>
      </c>
      <c r="J70" s="1" t="n">
        <v>8.4</v>
      </c>
      <c r="K70" s="1" t="n">
        <v>22.8</v>
      </c>
      <c r="L70" s="1" t="n">
        <v>1.04</v>
      </c>
      <c r="M70" s="1" t="n">
        <v>2.36</v>
      </c>
      <c r="N70" s="1" t="n">
        <v>4.74</v>
      </c>
      <c r="O70" s="1" t="n">
        <v>2.1</v>
      </c>
      <c r="P70" s="1" t="n">
        <v>0.17</v>
      </c>
      <c r="Q70" s="1" t="n">
        <v>7.83</v>
      </c>
      <c r="R70" s="1" t="n">
        <v>97.009</v>
      </c>
      <c r="S70" s="1" t="n">
        <v>0.012</v>
      </c>
      <c r="T70" s="1" t="n">
        <v>0.056</v>
      </c>
      <c r="U70" s="1" t="n">
        <v>0.017</v>
      </c>
      <c r="V70" s="1" t="n">
        <v>95</v>
      </c>
      <c r="W70" s="1" t="n">
        <v>508</v>
      </c>
      <c r="X70" s="1" t="n">
        <v>115</v>
      </c>
      <c r="Y70" s="1" t="n">
        <v>5675</v>
      </c>
      <c r="Z70" s="1" t="n">
        <v>-23004</v>
      </c>
      <c r="AA70" s="1" t="n">
        <v>-458</v>
      </c>
      <c r="AB70" s="1" t="n">
        <v>283.69</v>
      </c>
      <c r="AC70" s="1" t="s">
        <v>289</v>
      </c>
    </row>
    <row r="71" customFormat="false" ht="15" hidden="false" customHeight="false" outlineLevel="0" collapsed="false">
      <c r="A71" s="1" t="s">
        <v>319</v>
      </c>
      <c r="B71" s="1" t="s">
        <v>289</v>
      </c>
      <c r="C71" s="1" t="s">
        <v>7</v>
      </c>
      <c r="D71" s="1" t="n">
        <v>0.0658</v>
      </c>
      <c r="E71" s="1" t="n">
        <v>0.1358</v>
      </c>
      <c r="F71" s="1" t="n">
        <v>0.1806</v>
      </c>
      <c r="G71" s="1" t="n">
        <v>41.63</v>
      </c>
      <c r="H71" s="1" t="n">
        <v>3.61</v>
      </c>
      <c r="I71" s="1" t="n">
        <v>1.94</v>
      </c>
      <c r="J71" s="1" t="n">
        <v>8.4</v>
      </c>
      <c r="K71" s="1" t="n">
        <v>22.8</v>
      </c>
      <c r="L71" s="1" t="n">
        <v>1.04</v>
      </c>
      <c r="M71" s="1" t="n">
        <v>2.36</v>
      </c>
      <c r="N71" s="1" t="n">
        <v>4.74</v>
      </c>
      <c r="O71" s="1" t="n">
        <v>2.1</v>
      </c>
      <c r="P71" s="1" t="n">
        <v>0.17</v>
      </c>
      <c r="Q71" s="1" t="n">
        <v>7.83</v>
      </c>
      <c r="R71" s="1" t="n">
        <v>97.0023</v>
      </c>
      <c r="S71" s="1" t="n">
        <v>0.0123</v>
      </c>
      <c r="T71" s="1" t="n">
        <v>0.0576</v>
      </c>
      <c r="U71" s="1" t="n">
        <v>0.0172</v>
      </c>
      <c r="V71" s="1" t="n">
        <v>93</v>
      </c>
      <c r="W71" s="1" t="n">
        <v>555</v>
      </c>
      <c r="X71" s="1" t="n">
        <v>116</v>
      </c>
      <c r="Y71" s="1" t="n">
        <v>5637</v>
      </c>
      <c r="Z71" s="1" t="n">
        <v>-23008</v>
      </c>
      <c r="AA71" s="1" t="n">
        <v>-458</v>
      </c>
      <c r="AB71" s="1" t="n">
        <v>321.89</v>
      </c>
      <c r="AC71" s="1" t="s">
        <v>289</v>
      </c>
    </row>
    <row r="72" customFormat="false" ht="15" hidden="false" customHeight="false" outlineLevel="0" collapsed="false">
      <c r="A72" s="1" t="s">
        <v>320</v>
      </c>
      <c r="B72" s="1" t="s">
        <v>289</v>
      </c>
      <c r="C72" s="1" t="s">
        <v>7</v>
      </c>
      <c r="D72" s="1" t="n">
        <v>0.0688</v>
      </c>
      <c r="E72" s="1" t="n">
        <v>0.1838</v>
      </c>
      <c r="F72" s="1" t="n">
        <v>0.1771</v>
      </c>
      <c r="G72" s="1" t="n">
        <v>41.63</v>
      </c>
      <c r="H72" s="1" t="n">
        <v>3.61</v>
      </c>
      <c r="I72" s="1" t="n">
        <v>1.94</v>
      </c>
      <c r="J72" s="1" t="n">
        <v>8.4</v>
      </c>
      <c r="K72" s="1" t="n">
        <v>22.8</v>
      </c>
      <c r="L72" s="1" t="n">
        <v>1.04</v>
      </c>
      <c r="M72" s="1" t="n">
        <v>2.36</v>
      </c>
      <c r="N72" s="1" t="n">
        <v>4.74</v>
      </c>
      <c r="O72" s="1" t="n">
        <v>2.1</v>
      </c>
      <c r="P72" s="1" t="n">
        <v>0.17</v>
      </c>
      <c r="Q72" s="1" t="n">
        <v>7.83</v>
      </c>
      <c r="R72" s="1" t="n">
        <v>97.0496</v>
      </c>
      <c r="S72" s="1" t="n">
        <v>0.0125</v>
      </c>
      <c r="T72" s="1" t="n">
        <v>0.0581</v>
      </c>
      <c r="U72" s="1" t="n">
        <v>0.0171</v>
      </c>
      <c r="V72" s="1" t="n">
        <v>93</v>
      </c>
      <c r="W72" s="1" t="n">
        <v>503</v>
      </c>
      <c r="X72" s="1" t="n">
        <v>117</v>
      </c>
      <c r="Y72" s="1" t="n">
        <v>5732</v>
      </c>
      <c r="Z72" s="1" t="n">
        <v>-22874</v>
      </c>
      <c r="AA72" s="1" t="n">
        <v>-458</v>
      </c>
      <c r="AB72" s="1" t="n">
        <v>241.78</v>
      </c>
      <c r="AC72" s="1" t="s">
        <v>289</v>
      </c>
    </row>
    <row r="73" customFormat="false" ht="15" hidden="false" customHeight="false" outlineLevel="0" collapsed="false">
      <c r="A73" s="1" t="s">
        <v>149</v>
      </c>
      <c r="B73" s="1" t="s">
        <v>289</v>
      </c>
      <c r="C73" s="1" t="s">
        <v>7</v>
      </c>
      <c r="D73" s="1" t="n">
        <v>0.0692</v>
      </c>
      <c r="E73" s="1" t="n">
        <v>0.1402</v>
      </c>
      <c r="F73" s="1" t="n">
        <v>0.1616</v>
      </c>
      <c r="G73" s="1" t="n">
        <v>41.63</v>
      </c>
      <c r="H73" s="1" t="n">
        <v>3.61</v>
      </c>
      <c r="I73" s="1" t="n">
        <v>1.94</v>
      </c>
      <c r="J73" s="1" t="n">
        <v>8.4</v>
      </c>
      <c r="K73" s="1" t="n">
        <v>22.8</v>
      </c>
      <c r="L73" s="1" t="n">
        <v>1.04</v>
      </c>
      <c r="M73" s="1" t="n">
        <v>2.36</v>
      </c>
      <c r="N73" s="1" t="n">
        <v>4.74</v>
      </c>
      <c r="O73" s="1" t="n">
        <v>2.1</v>
      </c>
      <c r="P73" s="1" t="n">
        <v>0.17</v>
      </c>
      <c r="Q73" s="1" t="n">
        <v>7.83</v>
      </c>
      <c r="R73" s="1" t="n">
        <v>96.9909</v>
      </c>
      <c r="S73" s="1" t="n">
        <v>0.0126</v>
      </c>
      <c r="T73" s="1" t="n">
        <v>0.0575</v>
      </c>
      <c r="U73" s="1" t="n">
        <v>0.0167</v>
      </c>
      <c r="V73" s="1" t="n">
        <v>94</v>
      </c>
      <c r="W73" s="1" t="n">
        <v>547</v>
      </c>
      <c r="X73" s="1" t="n">
        <v>119</v>
      </c>
      <c r="Y73" s="1" t="n">
        <v>2493</v>
      </c>
      <c r="Z73" s="1" t="n">
        <v>-23727</v>
      </c>
      <c r="AA73" s="1" t="n">
        <v>-463</v>
      </c>
      <c r="AB73" s="1" t="n">
        <v>0</v>
      </c>
      <c r="AC73" s="1" t="s">
        <v>289</v>
      </c>
    </row>
    <row r="74" customFormat="false" ht="15" hidden="false" customHeight="false" outlineLevel="0" collapsed="false">
      <c r="A74" s="1" t="s">
        <v>321</v>
      </c>
      <c r="B74" s="1" t="s">
        <v>289</v>
      </c>
      <c r="C74" s="1" t="s">
        <v>7</v>
      </c>
      <c r="D74" s="1" t="n">
        <v>0.0651</v>
      </c>
      <c r="E74" s="1" t="n">
        <v>0.1552</v>
      </c>
      <c r="F74" s="1" t="n">
        <v>0.1796</v>
      </c>
      <c r="G74" s="1" t="n">
        <v>41.63</v>
      </c>
      <c r="H74" s="1" t="n">
        <v>3.61</v>
      </c>
      <c r="I74" s="1" t="n">
        <v>1.94</v>
      </c>
      <c r="J74" s="1" t="n">
        <v>8.4</v>
      </c>
      <c r="K74" s="1" t="n">
        <v>22.8</v>
      </c>
      <c r="L74" s="1" t="n">
        <v>1.04</v>
      </c>
      <c r="M74" s="1" t="n">
        <v>2.36</v>
      </c>
      <c r="N74" s="1" t="n">
        <v>4.74</v>
      </c>
      <c r="O74" s="1" t="n">
        <v>2.1</v>
      </c>
      <c r="P74" s="1" t="n">
        <v>0.17</v>
      </c>
      <c r="Q74" s="1" t="n">
        <v>7.83</v>
      </c>
      <c r="R74" s="1" t="n">
        <v>97.0199</v>
      </c>
      <c r="S74" s="1" t="n">
        <v>0.0122</v>
      </c>
      <c r="T74" s="1" t="n">
        <v>0.0591</v>
      </c>
      <c r="U74" s="1" t="n">
        <v>0.0172</v>
      </c>
      <c r="V74" s="1" t="n">
        <v>93</v>
      </c>
      <c r="W74" s="1" t="n">
        <v>554</v>
      </c>
      <c r="X74" s="1" t="n">
        <v>116</v>
      </c>
      <c r="Y74" s="1" t="n">
        <v>2487</v>
      </c>
      <c r="Z74" s="1" t="n">
        <v>-23707</v>
      </c>
      <c r="AA74" s="1" t="n">
        <v>-463</v>
      </c>
      <c r="AB74" s="1" t="n">
        <v>20.88</v>
      </c>
      <c r="AC74" s="1" t="s">
        <v>289</v>
      </c>
    </row>
    <row r="75" customFormat="false" ht="15" hidden="false" customHeight="false" outlineLevel="0" collapsed="false">
      <c r="A75" s="1" t="s">
        <v>322</v>
      </c>
      <c r="B75" s="1" t="s">
        <v>289</v>
      </c>
      <c r="C75" s="1" t="s">
        <v>7</v>
      </c>
      <c r="D75" s="1" t="n">
        <v>0.0654</v>
      </c>
      <c r="E75" s="1" t="n">
        <v>0.1392</v>
      </c>
      <c r="F75" s="1" t="n">
        <v>0.1735</v>
      </c>
      <c r="G75" s="1" t="n">
        <v>41.63</v>
      </c>
      <c r="H75" s="1" t="n">
        <v>3.61</v>
      </c>
      <c r="I75" s="1" t="n">
        <v>1.94</v>
      </c>
      <c r="J75" s="1" t="n">
        <v>8.4</v>
      </c>
      <c r="K75" s="1" t="n">
        <v>22.8</v>
      </c>
      <c r="L75" s="1" t="n">
        <v>1.04</v>
      </c>
      <c r="M75" s="1" t="n">
        <v>2.36</v>
      </c>
      <c r="N75" s="1" t="n">
        <v>4.74</v>
      </c>
      <c r="O75" s="1" t="n">
        <v>2.1</v>
      </c>
      <c r="P75" s="1" t="n">
        <v>0.17</v>
      </c>
      <c r="Q75" s="1" t="n">
        <v>7.83</v>
      </c>
      <c r="R75" s="1" t="n">
        <v>96.998</v>
      </c>
      <c r="S75" s="1" t="n">
        <v>0.0125</v>
      </c>
      <c r="T75" s="1" t="n">
        <v>0.0564</v>
      </c>
      <c r="U75" s="1" t="n">
        <v>0.0168</v>
      </c>
      <c r="V75" s="1" t="n">
        <v>98</v>
      </c>
      <c r="W75" s="1" t="n">
        <v>532</v>
      </c>
      <c r="X75" s="1" t="n">
        <v>112</v>
      </c>
      <c r="Y75" s="1" t="n">
        <v>2525</v>
      </c>
      <c r="Z75" s="1" t="n">
        <v>-23686</v>
      </c>
      <c r="AA75" s="1" t="n">
        <v>-463</v>
      </c>
      <c r="AB75" s="1" t="n">
        <v>52.01</v>
      </c>
      <c r="AC75" s="1" t="s">
        <v>289</v>
      </c>
    </row>
    <row r="76" customFormat="false" ht="15" hidden="false" customHeight="false" outlineLevel="0" collapsed="false">
      <c r="A76" s="1" t="s">
        <v>323</v>
      </c>
      <c r="B76" s="1" t="s">
        <v>289</v>
      </c>
      <c r="C76" s="1" t="s">
        <v>7</v>
      </c>
      <c r="D76" s="1" t="n">
        <v>0.0606</v>
      </c>
      <c r="E76" s="1" t="n">
        <v>0.1311</v>
      </c>
      <c r="F76" s="1" t="n">
        <v>0.1769</v>
      </c>
      <c r="G76" s="1" t="n">
        <v>41.63</v>
      </c>
      <c r="H76" s="1" t="n">
        <v>3.61</v>
      </c>
      <c r="I76" s="1" t="n">
        <v>1.94</v>
      </c>
      <c r="J76" s="1" t="n">
        <v>8.4</v>
      </c>
      <c r="K76" s="1" t="n">
        <v>22.8</v>
      </c>
      <c r="L76" s="1" t="n">
        <v>1.04</v>
      </c>
      <c r="M76" s="1" t="n">
        <v>2.36</v>
      </c>
      <c r="N76" s="1" t="n">
        <v>4.74</v>
      </c>
      <c r="O76" s="1" t="n">
        <v>2.1</v>
      </c>
      <c r="P76" s="1" t="n">
        <v>0.17</v>
      </c>
      <c r="Q76" s="1" t="n">
        <v>7.83</v>
      </c>
      <c r="R76" s="1" t="n">
        <v>96.9886</v>
      </c>
      <c r="S76" s="1" t="n">
        <v>0.0122</v>
      </c>
      <c r="T76" s="1" t="n">
        <v>0.0558</v>
      </c>
      <c r="U76" s="1" t="n">
        <v>0.0172</v>
      </c>
      <c r="V76" s="1" t="n">
        <v>98</v>
      </c>
      <c r="W76" s="1" t="n">
        <v>532</v>
      </c>
      <c r="X76" s="1" t="n">
        <v>119</v>
      </c>
      <c r="Y76" s="1" t="n">
        <v>2538</v>
      </c>
      <c r="Z76" s="1" t="n">
        <v>-23668</v>
      </c>
      <c r="AA76" s="1" t="n">
        <v>-463</v>
      </c>
      <c r="AB76" s="1" t="n">
        <v>74.2</v>
      </c>
      <c r="AC76" s="1" t="s">
        <v>289</v>
      </c>
    </row>
    <row r="77" customFormat="false" ht="15" hidden="false" customHeight="false" outlineLevel="0" collapsed="false">
      <c r="A77" s="1" t="s">
        <v>324</v>
      </c>
      <c r="B77" s="1" t="s">
        <v>289</v>
      </c>
      <c r="C77" s="1" t="s">
        <v>7</v>
      </c>
      <c r="D77" s="1" t="n">
        <v>0.0649</v>
      </c>
      <c r="E77" s="1" t="n">
        <v>0.1642</v>
      </c>
      <c r="F77" s="1" t="n">
        <v>0.1717</v>
      </c>
      <c r="G77" s="1" t="n">
        <v>41.63</v>
      </c>
      <c r="H77" s="1" t="n">
        <v>3.61</v>
      </c>
      <c r="I77" s="1" t="n">
        <v>1.94</v>
      </c>
      <c r="J77" s="1" t="n">
        <v>8.4</v>
      </c>
      <c r="K77" s="1" t="n">
        <v>22.8</v>
      </c>
      <c r="L77" s="1" t="n">
        <v>1.04</v>
      </c>
      <c r="M77" s="1" t="n">
        <v>2.36</v>
      </c>
      <c r="N77" s="1" t="n">
        <v>4.74</v>
      </c>
      <c r="O77" s="1" t="n">
        <v>2.1</v>
      </c>
      <c r="P77" s="1" t="n">
        <v>0.17</v>
      </c>
      <c r="Q77" s="1" t="n">
        <v>7.83</v>
      </c>
      <c r="R77" s="1" t="n">
        <v>97.0208</v>
      </c>
      <c r="S77" s="1" t="n">
        <v>0.0121</v>
      </c>
      <c r="T77" s="1" t="n">
        <v>0.0605</v>
      </c>
      <c r="U77" s="1" t="n">
        <v>0.0168</v>
      </c>
      <c r="V77" s="1" t="n">
        <v>90</v>
      </c>
      <c r="W77" s="1" t="n">
        <v>565</v>
      </c>
      <c r="X77" s="1" t="n">
        <v>113</v>
      </c>
      <c r="Y77" s="1" t="n">
        <v>2461</v>
      </c>
      <c r="Z77" s="1" t="n">
        <v>-23677</v>
      </c>
      <c r="AA77" s="1" t="n">
        <v>-463</v>
      </c>
      <c r="AB77" s="1" t="n">
        <v>59.36</v>
      </c>
      <c r="AC77" s="1" t="s">
        <v>289</v>
      </c>
    </row>
    <row r="78" customFormat="false" ht="15" hidden="false" customHeight="false" outlineLevel="0" collapsed="false">
      <c r="A78" s="1" t="s">
        <v>150</v>
      </c>
      <c r="B78" s="1" t="s">
        <v>289</v>
      </c>
      <c r="C78" s="1" t="s">
        <v>7</v>
      </c>
      <c r="D78" s="1" t="n">
        <v>0.0584</v>
      </c>
      <c r="E78" s="5" t="n">
        <v>0.1143</v>
      </c>
      <c r="F78" s="5" t="n">
        <v>0.1803</v>
      </c>
      <c r="G78" s="5" t="n">
        <v>41.63</v>
      </c>
      <c r="H78" s="1" t="n">
        <v>3.61</v>
      </c>
      <c r="I78" s="1" t="n">
        <v>1.94</v>
      </c>
      <c r="J78" s="1" t="n">
        <v>8.4</v>
      </c>
      <c r="K78" s="1" t="n">
        <v>22.8</v>
      </c>
      <c r="L78" s="1" t="n">
        <v>1.04</v>
      </c>
      <c r="M78" s="1" t="n">
        <v>2.36</v>
      </c>
      <c r="N78" s="1" t="n">
        <v>4.74</v>
      </c>
      <c r="O78" s="1" t="n">
        <v>2.1</v>
      </c>
      <c r="P78" s="1" t="n">
        <v>0.17</v>
      </c>
      <c r="Q78" s="1" t="n">
        <v>7.83</v>
      </c>
      <c r="R78" s="1" t="n">
        <v>96.9731</v>
      </c>
      <c r="S78" s="1" t="n">
        <v>0.012</v>
      </c>
      <c r="T78" s="1" t="n">
        <v>0.0535</v>
      </c>
      <c r="U78" s="1" t="n">
        <v>0.0169</v>
      </c>
      <c r="V78" s="1" t="n">
        <v>97</v>
      </c>
      <c r="W78" s="1" t="n">
        <v>518</v>
      </c>
      <c r="X78" s="1" t="n">
        <v>110</v>
      </c>
      <c r="Y78" s="1" t="n">
        <v>2842</v>
      </c>
      <c r="Z78" s="1" t="n">
        <v>-25741</v>
      </c>
      <c r="AA78" s="1" t="n">
        <v>-462</v>
      </c>
      <c r="AB78" s="1" t="n">
        <v>0</v>
      </c>
      <c r="AC78" s="1" t="s">
        <v>289</v>
      </c>
    </row>
    <row r="79" customFormat="false" ht="15" hidden="false" customHeight="false" outlineLevel="0" collapsed="false">
      <c r="A79" s="1" t="s">
        <v>325</v>
      </c>
      <c r="B79" s="1" t="s">
        <v>289</v>
      </c>
      <c r="C79" s="1" t="s">
        <v>7</v>
      </c>
      <c r="D79" s="1" t="n">
        <v>0.0651</v>
      </c>
      <c r="E79" s="1" t="n">
        <v>0.1454</v>
      </c>
      <c r="F79" s="1" t="n">
        <v>0.1826</v>
      </c>
      <c r="G79" s="1" t="n">
        <v>41.63</v>
      </c>
      <c r="H79" s="1" t="n">
        <v>3.61</v>
      </c>
      <c r="I79" s="1" t="n">
        <v>1.94</v>
      </c>
      <c r="J79" s="1" t="n">
        <v>8.4</v>
      </c>
      <c r="K79" s="1" t="n">
        <v>22.8</v>
      </c>
      <c r="L79" s="1" t="n">
        <v>1.04</v>
      </c>
      <c r="M79" s="1" t="n">
        <v>2.36</v>
      </c>
      <c r="N79" s="1" t="n">
        <v>4.74</v>
      </c>
      <c r="O79" s="1" t="n">
        <v>2.1</v>
      </c>
      <c r="P79" s="1" t="n">
        <v>0.17</v>
      </c>
      <c r="Q79" s="1" t="n">
        <v>7.83</v>
      </c>
      <c r="R79" s="1" t="n">
        <v>97.0131</v>
      </c>
      <c r="S79" s="1" t="n">
        <v>0.0123</v>
      </c>
      <c r="T79" s="1" t="n">
        <v>0.0581</v>
      </c>
      <c r="U79" s="1" t="n">
        <v>0.0171</v>
      </c>
      <c r="V79" s="1" t="n">
        <v>94</v>
      </c>
      <c r="W79" s="1" t="n">
        <v>550</v>
      </c>
      <c r="X79" s="1" t="n">
        <v>112</v>
      </c>
      <c r="Y79" s="1" t="n">
        <v>2882</v>
      </c>
      <c r="Z79" s="1" t="n">
        <v>-25764</v>
      </c>
      <c r="AA79" s="1" t="n">
        <v>-462</v>
      </c>
      <c r="AB79" s="1" t="n">
        <v>46.14</v>
      </c>
      <c r="AC79" s="1" t="s">
        <v>289</v>
      </c>
    </row>
    <row r="80" customFormat="false" ht="15" hidden="false" customHeight="false" outlineLevel="0" collapsed="false">
      <c r="A80" s="1" t="s">
        <v>326</v>
      </c>
      <c r="B80" s="1" t="s">
        <v>289</v>
      </c>
      <c r="C80" s="1" t="s">
        <v>7</v>
      </c>
      <c r="D80" s="1" t="n">
        <v>0.0643</v>
      </c>
      <c r="E80" s="1" t="n">
        <v>0.1234</v>
      </c>
      <c r="F80" s="1" t="n">
        <v>0.1807</v>
      </c>
      <c r="G80" s="1" t="n">
        <v>41.63</v>
      </c>
      <c r="H80" s="1" t="n">
        <v>3.61</v>
      </c>
      <c r="I80" s="1" t="n">
        <v>1.94</v>
      </c>
      <c r="J80" s="1" t="n">
        <v>8.4</v>
      </c>
      <c r="K80" s="1" t="n">
        <v>22.8</v>
      </c>
      <c r="L80" s="1" t="n">
        <v>1.04</v>
      </c>
      <c r="M80" s="1" t="n">
        <v>2.36</v>
      </c>
      <c r="N80" s="1" t="n">
        <v>4.74</v>
      </c>
      <c r="O80" s="1" t="n">
        <v>2.1</v>
      </c>
      <c r="P80" s="1" t="n">
        <v>0.17</v>
      </c>
      <c r="Q80" s="1" t="n">
        <v>7.83</v>
      </c>
      <c r="R80" s="1" t="n">
        <v>96.9885</v>
      </c>
      <c r="S80" s="1" t="n">
        <v>0.0122</v>
      </c>
      <c r="T80" s="1" t="n">
        <v>0.0527</v>
      </c>
      <c r="U80" s="1" t="n">
        <v>0.017</v>
      </c>
      <c r="V80" s="1" t="n">
        <v>93</v>
      </c>
      <c r="W80" s="1" t="n">
        <v>495</v>
      </c>
      <c r="X80" s="1" t="n">
        <v>112</v>
      </c>
      <c r="Y80" s="1" t="n">
        <v>2939</v>
      </c>
      <c r="Z80" s="1" t="n">
        <v>-25789</v>
      </c>
      <c r="AA80" s="1" t="n">
        <v>-462</v>
      </c>
      <c r="AB80" s="1" t="n">
        <v>108.23</v>
      </c>
      <c r="AC80" s="1" t="s">
        <v>289</v>
      </c>
    </row>
    <row r="81" customFormat="false" ht="15" hidden="false" customHeight="false" outlineLevel="0" collapsed="false">
      <c r="A81" s="1" t="s">
        <v>327</v>
      </c>
      <c r="B81" s="1" t="s">
        <v>289</v>
      </c>
      <c r="C81" s="1" t="s">
        <v>7</v>
      </c>
      <c r="D81" s="1" t="n">
        <v>0.0655</v>
      </c>
      <c r="E81" s="1" t="n">
        <v>0.1273</v>
      </c>
      <c r="F81" s="1" t="n">
        <v>0.1794</v>
      </c>
      <c r="G81" s="1" t="n">
        <v>41.63</v>
      </c>
      <c r="H81" s="1" t="n">
        <v>3.61</v>
      </c>
      <c r="I81" s="1" t="n">
        <v>1.94</v>
      </c>
      <c r="J81" s="1" t="n">
        <v>8.4</v>
      </c>
      <c r="K81" s="1" t="n">
        <v>22.8</v>
      </c>
      <c r="L81" s="1" t="n">
        <v>1.04</v>
      </c>
      <c r="M81" s="1" t="n">
        <v>2.36</v>
      </c>
      <c r="N81" s="1" t="n">
        <v>4.74</v>
      </c>
      <c r="O81" s="1" t="n">
        <v>2.1</v>
      </c>
      <c r="P81" s="1" t="n">
        <v>0.17</v>
      </c>
      <c r="Q81" s="1" t="n">
        <v>7.83</v>
      </c>
      <c r="R81" s="1" t="n">
        <v>96.9922</v>
      </c>
      <c r="S81" s="1" t="n">
        <v>0.0125</v>
      </c>
      <c r="T81" s="1" t="n">
        <v>0.0551</v>
      </c>
      <c r="U81" s="1" t="n">
        <v>0.0168</v>
      </c>
      <c r="V81" s="1" t="n">
        <v>98</v>
      </c>
      <c r="W81" s="1" t="n">
        <v>525</v>
      </c>
      <c r="X81" s="1" t="n">
        <v>107</v>
      </c>
      <c r="Y81" s="1" t="n">
        <v>2921</v>
      </c>
      <c r="Z81" s="1" t="n">
        <v>-25804</v>
      </c>
      <c r="AA81" s="1" t="n">
        <v>-462</v>
      </c>
      <c r="AB81" s="1" t="n">
        <v>101.04</v>
      </c>
      <c r="AC81" s="1" t="s">
        <v>289</v>
      </c>
    </row>
    <row r="82" customFormat="false" ht="15" hidden="false" customHeight="false" outlineLevel="0" collapsed="false">
      <c r="A82" s="1" t="s">
        <v>328</v>
      </c>
      <c r="B82" s="1" t="s">
        <v>289</v>
      </c>
      <c r="C82" s="1" t="s">
        <v>7</v>
      </c>
      <c r="D82" s="1" t="n">
        <v>0.0603</v>
      </c>
      <c r="E82" s="1" t="n">
        <v>0.1524</v>
      </c>
      <c r="F82" s="1" t="n">
        <v>0.173</v>
      </c>
      <c r="G82" s="1" t="n">
        <v>41.63</v>
      </c>
      <c r="H82" s="1" t="n">
        <v>3.61</v>
      </c>
      <c r="I82" s="1" t="n">
        <v>1.94</v>
      </c>
      <c r="J82" s="1" t="n">
        <v>8.4</v>
      </c>
      <c r="K82" s="1" t="n">
        <v>22.8</v>
      </c>
      <c r="L82" s="1" t="n">
        <v>1.04</v>
      </c>
      <c r="M82" s="1" t="n">
        <v>2.36</v>
      </c>
      <c r="N82" s="1" t="n">
        <v>4.74</v>
      </c>
      <c r="O82" s="1" t="n">
        <v>2.1</v>
      </c>
      <c r="P82" s="1" t="n">
        <v>0.17</v>
      </c>
      <c r="Q82" s="1" t="n">
        <v>7.83</v>
      </c>
      <c r="R82" s="1" t="n">
        <v>97.0056</v>
      </c>
      <c r="S82" s="1" t="n">
        <v>0.0118</v>
      </c>
      <c r="T82" s="1" t="n">
        <v>0.0572</v>
      </c>
      <c r="U82" s="1" t="n">
        <v>0.0169</v>
      </c>
      <c r="V82" s="1" t="n">
        <v>91</v>
      </c>
      <c r="W82" s="1" t="n">
        <v>528</v>
      </c>
      <c r="X82" s="1" t="n">
        <v>114</v>
      </c>
      <c r="Y82" s="1" t="n">
        <v>3068</v>
      </c>
      <c r="Z82" s="1" t="n">
        <v>-25790</v>
      </c>
      <c r="AA82" s="1" t="n">
        <v>-462</v>
      </c>
      <c r="AB82" s="1" t="n">
        <v>231.25</v>
      </c>
      <c r="AC82" s="1" t="s">
        <v>289</v>
      </c>
    </row>
    <row r="83" customFormat="false" ht="15" hidden="false" customHeight="false" outlineLevel="0" collapsed="false">
      <c r="A83" s="1" t="s">
        <v>154</v>
      </c>
      <c r="B83" s="1" t="s">
        <v>289</v>
      </c>
      <c r="C83" s="1" t="s">
        <v>7</v>
      </c>
      <c r="D83" s="1" t="n">
        <v>0.0606</v>
      </c>
      <c r="E83" s="1" t="n">
        <v>0.1792</v>
      </c>
      <c r="F83" s="1" t="n">
        <v>0.1812</v>
      </c>
      <c r="G83" s="1" t="n">
        <v>41.63</v>
      </c>
      <c r="H83" s="1" t="n">
        <v>3.61</v>
      </c>
      <c r="I83" s="1" t="n">
        <v>1.94</v>
      </c>
      <c r="J83" s="1" t="n">
        <v>8.4</v>
      </c>
      <c r="K83" s="1" t="n">
        <v>22.8</v>
      </c>
      <c r="L83" s="1" t="n">
        <v>1.04</v>
      </c>
      <c r="M83" s="1" t="n">
        <v>2.36</v>
      </c>
      <c r="N83" s="1" t="n">
        <v>4.74</v>
      </c>
      <c r="O83" s="1" t="n">
        <v>2.1</v>
      </c>
      <c r="P83" s="1" t="n">
        <v>0.17</v>
      </c>
      <c r="Q83" s="1" t="n">
        <v>7.83</v>
      </c>
      <c r="R83" s="1" t="n">
        <v>97.041</v>
      </c>
      <c r="S83" s="1" t="n">
        <v>0.0118</v>
      </c>
      <c r="T83" s="1" t="n">
        <v>0.0584</v>
      </c>
      <c r="U83" s="1" t="n">
        <v>0.0169</v>
      </c>
      <c r="V83" s="1" t="n">
        <v>91</v>
      </c>
      <c r="W83" s="1" t="n">
        <v>514</v>
      </c>
      <c r="X83" s="1" t="n">
        <v>111</v>
      </c>
      <c r="Y83" s="1" t="n">
        <v>4914</v>
      </c>
      <c r="Z83" s="1" t="n">
        <v>-26835</v>
      </c>
      <c r="AA83" s="1" t="n">
        <v>-458</v>
      </c>
      <c r="AB83" s="1" t="n">
        <v>0</v>
      </c>
      <c r="AC83" s="1" t="s">
        <v>289</v>
      </c>
    </row>
    <row r="84" customFormat="false" ht="15" hidden="false" customHeight="false" outlineLevel="0" collapsed="false">
      <c r="A84" s="1" t="s">
        <v>329</v>
      </c>
      <c r="B84" s="1" t="s">
        <v>289</v>
      </c>
      <c r="C84" s="1" t="s">
        <v>7</v>
      </c>
      <c r="D84" s="1" t="n">
        <v>0.0685</v>
      </c>
      <c r="E84" s="1" t="n">
        <v>0.1225</v>
      </c>
      <c r="F84" s="1" t="n">
        <v>0.1852</v>
      </c>
      <c r="G84" s="1" t="n">
        <v>41.63</v>
      </c>
      <c r="H84" s="1" t="n">
        <v>3.61</v>
      </c>
      <c r="I84" s="1" t="n">
        <v>1.94</v>
      </c>
      <c r="J84" s="1" t="n">
        <v>8.4</v>
      </c>
      <c r="K84" s="1" t="n">
        <v>22.8</v>
      </c>
      <c r="L84" s="1" t="n">
        <v>1.04</v>
      </c>
      <c r="M84" s="1" t="n">
        <v>2.36</v>
      </c>
      <c r="N84" s="1" t="n">
        <v>4.74</v>
      </c>
      <c r="O84" s="1" t="n">
        <v>2.1</v>
      </c>
      <c r="P84" s="1" t="n">
        <v>0.17</v>
      </c>
      <c r="Q84" s="1" t="n">
        <v>7.83</v>
      </c>
      <c r="R84" s="1" t="n">
        <v>96.9961</v>
      </c>
      <c r="S84" s="1" t="n">
        <v>0.0123</v>
      </c>
      <c r="T84" s="1" t="n">
        <v>0.0575</v>
      </c>
      <c r="U84" s="1" t="n">
        <v>0.0171</v>
      </c>
      <c r="V84" s="1" t="n">
        <v>90</v>
      </c>
      <c r="W84" s="1" t="n">
        <v>569</v>
      </c>
      <c r="X84" s="1" t="n">
        <v>111</v>
      </c>
      <c r="Y84" s="1" t="n">
        <v>4926</v>
      </c>
      <c r="Z84" s="1" t="n">
        <v>-26801</v>
      </c>
      <c r="AA84" s="1" t="n">
        <v>-458</v>
      </c>
      <c r="AB84" s="1" t="n">
        <v>36.06</v>
      </c>
      <c r="AC84" s="1" t="s">
        <v>289</v>
      </c>
    </row>
    <row r="85" customFormat="false" ht="15" hidden="false" customHeight="false" outlineLevel="0" collapsed="false">
      <c r="A85" s="1" t="s">
        <v>330</v>
      </c>
      <c r="B85" s="1" t="s">
        <v>289</v>
      </c>
      <c r="C85" s="1" t="s">
        <v>7</v>
      </c>
      <c r="D85" s="1" t="n">
        <v>0.0629</v>
      </c>
      <c r="E85" s="1" t="n">
        <v>0.1682</v>
      </c>
      <c r="F85" s="1" t="n">
        <v>0.1782</v>
      </c>
      <c r="G85" s="1" t="n">
        <v>41.63</v>
      </c>
      <c r="H85" s="1" t="n">
        <v>3.61</v>
      </c>
      <c r="I85" s="1" t="n">
        <v>1.94</v>
      </c>
      <c r="J85" s="1" t="n">
        <v>8.4</v>
      </c>
      <c r="K85" s="1" t="n">
        <v>22.8</v>
      </c>
      <c r="L85" s="1" t="n">
        <v>1.04</v>
      </c>
      <c r="M85" s="1" t="n">
        <v>2.36</v>
      </c>
      <c r="N85" s="1" t="n">
        <v>4.74</v>
      </c>
      <c r="O85" s="1" t="n">
        <v>2.1</v>
      </c>
      <c r="P85" s="1" t="n">
        <v>0.17</v>
      </c>
      <c r="Q85" s="1" t="n">
        <v>7.83</v>
      </c>
      <c r="R85" s="1" t="n">
        <v>97.0293</v>
      </c>
      <c r="S85" s="1" t="n">
        <v>0.0122</v>
      </c>
      <c r="T85" s="1" t="n">
        <v>0.0579</v>
      </c>
      <c r="U85" s="1" t="n">
        <v>0.017</v>
      </c>
      <c r="V85" s="1" t="n">
        <v>95</v>
      </c>
      <c r="W85" s="1" t="n">
        <v>519</v>
      </c>
      <c r="X85" s="1" t="n">
        <v>115</v>
      </c>
      <c r="Y85" s="1" t="n">
        <v>4952</v>
      </c>
      <c r="Z85" s="1" t="n">
        <v>-26760</v>
      </c>
      <c r="AA85" s="1" t="n">
        <v>-458</v>
      </c>
      <c r="AB85" s="1" t="n">
        <v>84.08</v>
      </c>
      <c r="AC85" s="1" t="s">
        <v>289</v>
      </c>
    </row>
    <row r="86" customFormat="false" ht="15" hidden="false" customHeight="false" outlineLevel="0" collapsed="false">
      <c r="A86" s="1" t="s">
        <v>331</v>
      </c>
      <c r="B86" s="1" t="s">
        <v>289</v>
      </c>
      <c r="C86" s="1" t="s">
        <v>7</v>
      </c>
      <c r="D86" s="1" t="n">
        <v>0.0653</v>
      </c>
      <c r="E86" s="1" t="n">
        <v>0.1593</v>
      </c>
      <c r="F86" s="1" t="n">
        <v>0.1792</v>
      </c>
      <c r="G86" s="1" t="n">
        <v>41.63</v>
      </c>
      <c r="H86" s="1" t="n">
        <v>3.61</v>
      </c>
      <c r="I86" s="1" t="n">
        <v>1.94</v>
      </c>
      <c r="J86" s="1" t="n">
        <v>8.4</v>
      </c>
      <c r="K86" s="1" t="n">
        <v>22.8</v>
      </c>
      <c r="L86" s="1" t="n">
        <v>1.04</v>
      </c>
      <c r="M86" s="1" t="n">
        <v>2.36</v>
      </c>
      <c r="N86" s="1" t="n">
        <v>4.74</v>
      </c>
      <c r="O86" s="1" t="n">
        <v>2.1</v>
      </c>
      <c r="P86" s="1" t="n">
        <v>0.17</v>
      </c>
      <c r="Q86" s="1" t="n">
        <v>7.83</v>
      </c>
      <c r="R86" s="1" t="n">
        <v>97.0238</v>
      </c>
      <c r="S86" s="1" t="n">
        <v>0.0123</v>
      </c>
      <c r="T86" s="1" t="n">
        <v>0.0551</v>
      </c>
      <c r="U86" s="1" t="n">
        <v>0.0171</v>
      </c>
      <c r="V86" s="1" t="n">
        <v>94</v>
      </c>
      <c r="W86" s="1" t="n">
        <v>486</v>
      </c>
      <c r="X86" s="1" t="n">
        <v>116</v>
      </c>
      <c r="Y86" s="1" t="n">
        <v>5069</v>
      </c>
      <c r="Z86" s="1" t="n">
        <v>-26823</v>
      </c>
      <c r="AA86" s="1" t="n">
        <v>-458</v>
      </c>
      <c r="AB86" s="1" t="n">
        <v>155.46</v>
      </c>
      <c r="AC86" s="1" t="s">
        <v>289</v>
      </c>
    </row>
    <row r="87" customFormat="false" ht="15" hidden="false" customHeight="false" outlineLevel="0" collapsed="false">
      <c r="A87" s="1" t="s">
        <v>332</v>
      </c>
      <c r="B87" s="1" t="s">
        <v>289</v>
      </c>
      <c r="C87" s="1" t="s">
        <v>7</v>
      </c>
      <c r="D87" s="1" t="n">
        <v>0.0638</v>
      </c>
      <c r="E87" s="1" t="n">
        <v>0.1414</v>
      </c>
      <c r="F87" s="1" t="n">
        <v>0.1714</v>
      </c>
      <c r="G87" s="1" t="n">
        <v>41.63</v>
      </c>
      <c r="H87" s="1" t="n">
        <v>3.61</v>
      </c>
      <c r="I87" s="1" t="n">
        <v>1.94</v>
      </c>
      <c r="J87" s="1" t="n">
        <v>8.4</v>
      </c>
      <c r="K87" s="1" t="n">
        <v>22.8</v>
      </c>
      <c r="L87" s="1" t="n">
        <v>1.04</v>
      </c>
      <c r="M87" s="1" t="n">
        <v>2.36</v>
      </c>
      <c r="N87" s="1" t="n">
        <v>4.74</v>
      </c>
      <c r="O87" s="1" t="n">
        <v>2.1</v>
      </c>
      <c r="P87" s="1" t="n">
        <v>0.17</v>
      </c>
      <c r="Q87" s="1" t="n">
        <v>7.83</v>
      </c>
      <c r="R87" s="1" t="n">
        <v>96.9965</v>
      </c>
      <c r="S87" s="1" t="n">
        <v>0.0119</v>
      </c>
      <c r="T87" s="1" t="n">
        <v>0.0567</v>
      </c>
      <c r="U87" s="1" t="n">
        <v>0.0167</v>
      </c>
      <c r="V87" s="1" t="n">
        <v>88</v>
      </c>
      <c r="W87" s="1" t="n">
        <v>534</v>
      </c>
      <c r="X87" s="1" t="n">
        <v>113</v>
      </c>
      <c r="Y87" s="1" t="n">
        <v>5184</v>
      </c>
      <c r="Z87" s="1" t="n">
        <v>-26839</v>
      </c>
      <c r="AA87" s="1" t="n">
        <v>-458</v>
      </c>
      <c r="AB87" s="1" t="n">
        <v>270.03</v>
      </c>
      <c r="AC87" s="1" t="s">
        <v>289</v>
      </c>
    </row>
    <row r="88" customFormat="false" ht="15" hidden="false" customHeight="false" outlineLevel="0" collapsed="false">
      <c r="C88" s="1" t="s">
        <v>43</v>
      </c>
      <c r="D88" s="5" t="n">
        <f aca="false">AVERAGE(D68:D87)*10000</f>
        <v>642.9</v>
      </c>
      <c r="E88" s="5" t="n">
        <f aca="false">AVERAGE(E68:E87)*10000</f>
        <v>1477.65</v>
      </c>
      <c r="F88" s="5" t="n">
        <f aca="false">AVERAGE(F68:F87)*10000</f>
        <v>1774.4</v>
      </c>
      <c r="S88" s="5" t="n">
        <f aca="false">AVERAGE(S68:S87)*10000</f>
        <v>122.2</v>
      </c>
      <c r="T88" s="5" t="n">
        <f aca="false">AVERAGE(T68:T87)*10000</f>
        <v>567.65</v>
      </c>
      <c r="U88" s="5" t="n">
        <f aca="false">AVERAGE(U68:U87)*10000</f>
        <v>169.75</v>
      </c>
      <c r="V88" s="5" t="n">
        <f aca="false">AVERAGE(V68:V87)</f>
        <v>93.75</v>
      </c>
      <c r="W88" s="5" t="n">
        <f aca="false">AVERAGE(W68:W87)</f>
        <v>526.75</v>
      </c>
      <c r="X88" s="5" t="n">
        <f aca="false">AVERAGE(X68:X87)</f>
        <v>113.6</v>
      </c>
    </row>
    <row r="89" customFormat="false" ht="15" hidden="false" customHeight="false" outlineLevel="0" collapsed="false">
      <c r="C89" s="1" t="s">
        <v>44</v>
      </c>
      <c r="D89" s="5" t="n">
        <f aca="false">_xlfn.STDEV.P(D68:D87)*2*10000</f>
        <v>57.6156228812984</v>
      </c>
      <c r="E89" s="5" t="n">
        <f aca="false">_xlfn.STDEV.P(E68:E87)*2*10000</f>
        <v>382.557329037096</v>
      </c>
      <c r="F89" s="5" t="n">
        <f aca="false">_xlfn.STDEV.P(F68:F87)*2*10000</f>
        <v>102.423434818405</v>
      </c>
    </row>
    <row r="90" customFormat="false" ht="15" hidden="false" customHeight="false" outlineLevel="0" collapsed="false">
      <c r="C90" s="1" t="s">
        <v>45</v>
      </c>
      <c r="D90" s="5" t="n">
        <f aca="false">S88/3*2</f>
        <v>81.4666666666667</v>
      </c>
      <c r="E90" s="5" t="n">
        <f aca="false">T88/3*2</f>
        <v>378.433333333333</v>
      </c>
      <c r="F90" s="5" t="n">
        <f aca="false">U88/3*2</f>
        <v>113.166666666667</v>
      </c>
    </row>
    <row r="91" customFormat="false" ht="15" hidden="false" customHeight="false" outlineLevel="0" collapsed="false">
      <c r="C91" s="1" t="s">
        <v>46</v>
      </c>
      <c r="D91" s="5" t="n">
        <f aca="false">V88</f>
        <v>93.75</v>
      </c>
      <c r="E91" s="5" t="n">
        <f aca="false">W88</f>
        <v>526.75</v>
      </c>
      <c r="F91" s="5" t="n">
        <f aca="false">X88</f>
        <v>113.6</v>
      </c>
    </row>
    <row r="93" customFormat="false" ht="15" hidden="false" customHeight="false" outlineLevel="0" collapsed="false">
      <c r="A93" s="1" t="s">
        <v>155</v>
      </c>
      <c r="B93" s="1" t="s">
        <v>289</v>
      </c>
      <c r="C93" s="1" t="s">
        <v>6</v>
      </c>
      <c r="D93" s="1" t="n">
        <v>0.1297</v>
      </c>
      <c r="E93" s="1" t="n">
        <v>0.1971</v>
      </c>
      <c r="F93" s="1" t="n">
        <v>0.1304</v>
      </c>
      <c r="G93" s="1" t="n">
        <v>41.63</v>
      </c>
      <c r="H93" s="1" t="n">
        <v>3.61</v>
      </c>
      <c r="I93" s="1" t="n">
        <v>1.94</v>
      </c>
      <c r="J93" s="1" t="n">
        <v>8.4</v>
      </c>
      <c r="K93" s="1" t="n">
        <v>22.8</v>
      </c>
      <c r="L93" s="1" t="n">
        <v>1.04</v>
      </c>
      <c r="M93" s="1" t="n">
        <v>2.36</v>
      </c>
      <c r="N93" s="1" t="n">
        <v>4.74</v>
      </c>
      <c r="O93" s="1" t="n">
        <v>2.1</v>
      </c>
      <c r="P93" s="1" t="n">
        <v>0.17</v>
      </c>
      <c r="Q93" s="1" t="n">
        <v>7.83</v>
      </c>
      <c r="R93" s="1" t="n">
        <v>97.0772</v>
      </c>
      <c r="S93" s="1" t="n">
        <v>0.0164</v>
      </c>
      <c r="T93" s="1" t="n">
        <v>0.059</v>
      </c>
      <c r="U93" s="1" t="n">
        <v>0.0153</v>
      </c>
      <c r="V93" s="1" t="n">
        <v>92</v>
      </c>
      <c r="W93" s="1" t="n">
        <v>501</v>
      </c>
      <c r="X93" s="1" t="n">
        <v>114</v>
      </c>
      <c r="Y93" s="1" t="n">
        <v>16487</v>
      </c>
      <c r="Z93" s="1" t="n">
        <v>-29067</v>
      </c>
      <c r="AA93" s="1" t="n">
        <v>-474</v>
      </c>
      <c r="AB93" s="1" t="n">
        <v>0</v>
      </c>
      <c r="AC93" s="1" t="s">
        <v>289</v>
      </c>
    </row>
    <row r="94" customFormat="false" ht="15" hidden="false" customHeight="false" outlineLevel="0" collapsed="false">
      <c r="A94" s="1" t="s">
        <v>333</v>
      </c>
      <c r="B94" s="1" t="s">
        <v>289</v>
      </c>
      <c r="C94" s="1" t="s">
        <v>6</v>
      </c>
      <c r="D94" s="1" t="n">
        <v>0.1296</v>
      </c>
      <c r="E94" s="1" t="n">
        <v>0.2249</v>
      </c>
      <c r="F94" s="1" t="n">
        <v>0.1446</v>
      </c>
      <c r="G94" s="1" t="n">
        <v>41.63</v>
      </c>
      <c r="H94" s="1" t="n">
        <v>3.61</v>
      </c>
      <c r="I94" s="1" t="n">
        <v>1.94</v>
      </c>
      <c r="J94" s="1" t="n">
        <v>8.4</v>
      </c>
      <c r="K94" s="1" t="n">
        <v>22.8</v>
      </c>
      <c r="L94" s="1" t="n">
        <v>1.04</v>
      </c>
      <c r="M94" s="1" t="n">
        <v>2.36</v>
      </c>
      <c r="N94" s="1" t="n">
        <v>4.74</v>
      </c>
      <c r="O94" s="1" t="n">
        <v>2.1</v>
      </c>
      <c r="P94" s="1" t="n">
        <v>0.17</v>
      </c>
      <c r="Q94" s="1" t="n">
        <v>7.83</v>
      </c>
      <c r="R94" s="1" t="n">
        <v>97.1191</v>
      </c>
      <c r="S94" s="1" t="n">
        <v>0.0166</v>
      </c>
      <c r="T94" s="1" t="n">
        <v>0.0628</v>
      </c>
      <c r="U94" s="1" t="n">
        <v>0.0157</v>
      </c>
      <c r="V94" s="1" t="n">
        <v>96</v>
      </c>
      <c r="W94" s="1" t="n">
        <v>531</v>
      </c>
      <c r="X94" s="1" t="n">
        <v>112</v>
      </c>
      <c r="Y94" s="1" t="n">
        <v>16507</v>
      </c>
      <c r="Z94" s="1" t="n">
        <v>-29037</v>
      </c>
      <c r="AA94" s="1" t="n">
        <v>-474</v>
      </c>
      <c r="AB94" s="1" t="n">
        <v>36.06</v>
      </c>
      <c r="AC94" s="1" t="s">
        <v>289</v>
      </c>
    </row>
    <row r="95" customFormat="false" ht="15" hidden="false" customHeight="false" outlineLevel="0" collapsed="false">
      <c r="A95" s="1" t="s">
        <v>334</v>
      </c>
      <c r="B95" s="1" t="s">
        <v>289</v>
      </c>
      <c r="C95" s="1" t="s">
        <v>6</v>
      </c>
      <c r="D95" s="1" t="n">
        <v>0.1295</v>
      </c>
      <c r="E95" s="1" t="n">
        <v>0.186</v>
      </c>
      <c r="F95" s="1" t="n">
        <v>0.1392</v>
      </c>
      <c r="G95" s="1" t="n">
        <v>41.63</v>
      </c>
      <c r="H95" s="1" t="n">
        <v>3.61</v>
      </c>
      <c r="I95" s="1" t="n">
        <v>1.94</v>
      </c>
      <c r="J95" s="1" t="n">
        <v>8.4</v>
      </c>
      <c r="K95" s="1" t="n">
        <v>22.8</v>
      </c>
      <c r="L95" s="1" t="n">
        <v>1.04</v>
      </c>
      <c r="M95" s="1" t="n">
        <v>2.36</v>
      </c>
      <c r="N95" s="1" t="n">
        <v>4.74</v>
      </c>
      <c r="O95" s="1" t="n">
        <v>2.1</v>
      </c>
      <c r="P95" s="1" t="n">
        <v>0.17</v>
      </c>
      <c r="Q95" s="1" t="n">
        <v>7.83</v>
      </c>
      <c r="R95" s="1" t="n">
        <v>97.0748</v>
      </c>
      <c r="S95" s="1" t="n">
        <v>0.0165</v>
      </c>
      <c r="T95" s="1" t="n">
        <v>0.0608</v>
      </c>
      <c r="U95" s="1" t="n">
        <v>0.0156</v>
      </c>
      <c r="V95" s="1" t="n">
        <v>93</v>
      </c>
      <c r="W95" s="1" t="n">
        <v>545</v>
      </c>
      <c r="X95" s="1" t="n">
        <v>113</v>
      </c>
      <c r="Y95" s="1" t="n">
        <v>16506</v>
      </c>
      <c r="Z95" s="1" t="n">
        <v>-29008</v>
      </c>
      <c r="AA95" s="1" t="n">
        <v>-474</v>
      </c>
      <c r="AB95" s="1" t="n">
        <v>61.98</v>
      </c>
      <c r="AC95" s="1" t="s">
        <v>289</v>
      </c>
    </row>
    <row r="96" customFormat="false" ht="15" hidden="false" customHeight="false" outlineLevel="0" collapsed="false">
      <c r="A96" s="1" t="s">
        <v>335</v>
      </c>
      <c r="B96" s="1" t="s">
        <v>289</v>
      </c>
      <c r="C96" s="1" t="s">
        <v>6</v>
      </c>
      <c r="D96" s="1" t="n">
        <v>0.1379</v>
      </c>
      <c r="E96" s="1" t="n">
        <v>0.1612</v>
      </c>
      <c r="F96" s="1" t="n">
        <v>0.1471</v>
      </c>
      <c r="G96" s="1" t="n">
        <v>41.63</v>
      </c>
      <c r="H96" s="1" t="n">
        <v>3.61</v>
      </c>
      <c r="I96" s="1" t="n">
        <v>1.94</v>
      </c>
      <c r="J96" s="1" t="n">
        <v>8.4</v>
      </c>
      <c r="K96" s="1" t="n">
        <v>22.8</v>
      </c>
      <c r="L96" s="1" t="n">
        <v>1.04</v>
      </c>
      <c r="M96" s="1" t="n">
        <v>2.36</v>
      </c>
      <c r="N96" s="1" t="n">
        <v>4.74</v>
      </c>
      <c r="O96" s="1" t="n">
        <v>2.1</v>
      </c>
      <c r="P96" s="1" t="n">
        <v>0.17</v>
      </c>
      <c r="Q96" s="1" t="n">
        <v>7.83</v>
      </c>
      <c r="R96" s="1" t="n">
        <v>97.0662</v>
      </c>
      <c r="S96" s="1" t="n">
        <v>0.0171</v>
      </c>
      <c r="T96" s="1" t="n">
        <v>0.0597</v>
      </c>
      <c r="U96" s="1" t="n">
        <v>0.0158</v>
      </c>
      <c r="V96" s="1" t="n">
        <v>96</v>
      </c>
      <c r="W96" s="1" t="n">
        <v>557</v>
      </c>
      <c r="X96" s="1" t="n">
        <v>112</v>
      </c>
      <c r="Y96" s="1" t="n">
        <v>16510</v>
      </c>
      <c r="Z96" s="1" t="n">
        <v>-28980</v>
      </c>
      <c r="AA96" s="1" t="n">
        <v>-474</v>
      </c>
      <c r="AB96" s="1" t="n">
        <v>89.99</v>
      </c>
      <c r="AC96" s="1" t="s">
        <v>289</v>
      </c>
    </row>
    <row r="97" customFormat="false" ht="15" hidden="false" customHeight="false" outlineLevel="0" collapsed="false">
      <c r="A97" s="1" t="s">
        <v>336</v>
      </c>
      <c r="B97" s="1" t="s">
        <v>289</v>
      </c>
      <c r="C97" s="1" t="s">
        <v>6</v>
      </c>
      <c r="D97" s="1" t="n">
        <v>0.1279</v>
      </c>
      <c r="E97" s="1" t="n">
        <v>0.2119</v>
      </c>
      <c r="F97" s="1" t="n">
        <v>0.1442</v>
      </c>
      <c r="G97" s="1" t="n">
        <v>41.63</v>
      </c>
      <c r="H97" s="1" t="n">
        <v>3.61</v>
      </c>
      <c r="I97" s="1" t="n">
        <v>1.94</v>
      </c>
      <c r="J97" s="1" t="n">
        <v>8.4</v>
      </c>
      <c r="K97" s="1" t="n">
        <v>22.8</v>
      </c>
      <c r="L97" s="1" t="n">
        <v>1.04</v>
      </c>
      <c r="M97" s="1" t="n">
        <v>2.36</v>
      </c>
      <c r="N97" s="1" t="n">
        <v>4.74</v>
      </c>
      <c r="O97" s="1" t="n">
        <v>2.1</v>
      </c>
      <c r="P97" s="1" t="n">
        <v>0.17</v>
      </c>
      <c r="Q97" s="1" t="n">
        <v>7.83</v>
      </c>
      <c r="R97" s="1" t="n">
        <v>97.104</v>
      </c>
      <c r="S97" s="1" t="n">
        <v>0.0164</v>
      </c>
      <c r="T97" s="1" t="n">
        <v>0.0594</v>
      </c>
      <c r="U97" s="1" t="n">
        <v>0.0157</v>
      </c>
      <c r="V97" s="1" t="n">
        <v>95</v>
      </c>
      <c r="W97" s="1" t="n">
        <v>488</v>
      </c>
      <c r="X97" s="1" t="n">
        <v>111</v>
      </c>
      <c r="Y97" s="1" t="n">
        <v>16526</v>
      </c>
      <c r="Z97" s="1" t="n">
        <v>-28949</v>
      </c>
      <c r="AA97" s="1" t="n">
        <v>-474</v>
      </c>
      <c r="AB97" s="1" t="n">
        <v>124.28</v>
      </c>
      <c r="AC97" s="1" t="s">
        <v>289</v>
      </c>
    </row>
    <row r="98" customFormat="false" ht="15" hidden="false" customHeight="false" outlineLevel="0" collapsed="false">
      <c r="A98" s="1" t="s">
        <v>140</v>
      </c>
      <c r="B98" s="1" t="s">
        <v>289</v>
      </c>
      <c r="C98" s="1" t="s">
        <v>6</v>
      </c>
      <c r="D98" s="1" t="n">
        <v>0.1261</v>
      </c>
      <c r="E98" s="1" t="n">
        <v>0.1834</v>
      </c>
      <c r="F98" s="1" t="n">
        <v>0.1416</v>
      </c>
      <c r="G98" s="1" t="n">
        <v>41.63</v>
      </c>
      <c r="H98" s="1" t="n">
        <v>3.61</v>
      </c>
      <c r="I98" s="1" t="n">
        <v>1.94</v>
      </c>
      <c r="J98" s="1" t="n">
        <v>8.4</v>
      </c>
      <c r="K98" s="1" t="n">
        <v>22.8</v>
      </c>
      <c r="L98" s="1" t="n">
        <v>1.04</v>
      </c>
      <c r="M98" s="1" t="n">
        <v>2.36</v>
      </c>
      <c r="N98" s="1" t="n">
        <v>4.74</v>
      </c>
      <c r="O98" s="1" t="n">
        <v>2.1</v>
      </c>
      <c r="P98" s="1" t="n">
        <v>0.17</v>
      </c>
      <c r="Q98" s="1" t="n">
        <v>7.83</v>
      </c>
      <c r="R98" s="1" t="n">
        <v>97.0711</v>
      </c>
      <c r="S98" s="1" t="n">
        <v>0.0166</v>
      </c>
      <c r="T98" s="1" t="n">
        <v>0.06</v>
      </c>
      <c r="U98" s="1" t="n">
        <v>0.0158</v>
      </c>
      <c r="V98" s="1" t="n">
        <v>100</v>
      </c>
      <c r="W98" s="1" t="n">
        <v>535</v>
      </c>
      <c r="X98" s="1" t="n">
        <v>116</v>
      </c>
      <c r="Y98" s="1" t="n">
        <v>16699</v>
      </c>
      <c r="Z98" s="1" t="n">
        <v>-28931</v>
      </c>
      <c r="AA98" s="1" t="n">
        <v>-474</v>
      </c>
      <c r="AB98" s="1" t="n">
        <v>0</v>
      </c>
      <c r="AC98" s="1" t="s">
        <v>289</v>
      </c>
    </row>
    <row r="99" customFormat="false" ht="15" hidden="false" customHeight="false" outlineLevel="0" collapsed="false">
      <c r="A99" s="1" t="s">
        <v>337</v>
      </c>
      <c r="B99" s="1" t="s">
        <v>289</v>
      </c>
      <c r="C99" s="1" t="s">
        <v>6</v>
      </c>
      <c r="D99" s="1" t="n">
        <v>0.1298</v>
      </c>
      <c r="E99" s="1" t="n">
        <v>0.1874</v>
      </c>
      <c r="F99" s="1" t="n">
        <v>0.136</v>
      </c>
      <c r="G99" s="1" t="n">
        <v>41.63</v>
      </c>
      <c r="H99" s="1" t="n">
        <v>3.61</v>
      </c>
      <c r="I99" s="1" t="n">
        <v>1.94</v>
      </c>
      <c r="J99" s="1" t="n">
        <v>8.4</v>
      </c>
      <c r="K99" s="1" t="n">
        <v>22.8</v>
      </c>
      <c r="L99" s="1" t="n">
        <v>1.04</v>
      </c>
      <c r="M99" s="1" t="n">
        <v>2.36</v>
      </c>
      <c r="N99" s="1" t="n">
        <v>4.74</v>
      </c>
      <c r="O99" s="1" t="n">
        <v>2.1</v>
      </c>
      <c r="P99" s="1" t="n">
        <v>0.17</v>
      </c>
      <c r="Q99" s="1" t="n">
        <v>7.83</v>
      </c>
      <c r="R99" s="1" t="n">
        <v>97.0732</v>
      </c>
      <c r="S99" s="1" t="n">
        <v>0.0165</v>
      </c>
      <c r="T99" s="1" t="n">
        <v>0.0604</v>
      </c>
      <c r="U99" s="1" t="n">
        <v>0.0154</v>
      </c>
      <c r="V99" s="1" t="n">
        <v>94</v>
      </c>
      <c r="W99" s="1" t="n">
        <v>537</v>
      </c>
      <c r="X99" s="1" t="n">
        <v>111</v>
      </c>
      <c r="Y99" s="1" t="n">
        <v>16706</v>
      </c>
      <c r="Z99" s="1" t="n">
        <v>-28910</v>
      </c>
      <c r="AA99" s="1" t="n">
        <v>-474</v>
      </c>
      <c r="AB99" s="1" t="n">
        <v>22.14</v>
      </c>
      <c r="AC99" s="1" t="s">
        <v>289</v>
      </c>
    </row>
    <row r="100" customFormat="false" ht="15" hidden="false" customHeight="false" outlineLevel="0" collapsed="false">
      <c r="A100" s="1" t="s">
        <v>338</v>
      </c>
      <c r="B100" s="1" t="s">
        <v>289</v>
      </c>
      <c r="C100" s="1" t="s">
        <v>6</v>
      </c>
      <c r="D100" s="1" t="n">
        <v>0.1385</v>
      </c>
      <c r="E100" s="1" t="n">
        <v>0.1904</v>
      </c>
      <c r="F100" s="1" t="n">
        <v>0.138</v>
      </c>
      <c r="G100" s="1" t="n">
        <v>41.63</v>
      </c>
      <c r="H100" s="1" t="n">
        <v>3.61</v>
      </c>
      <c r="I100" s="1" t="n">
        <v>1.94</v>
      </c>
      <c r="J100" s="1" t="n">
        <v>8.4</v>
      </c>
      <c r="K100" s="1" t="n">
        <v>22.8</v>
      </c>
      <c r="L100" s="1" t="n">
        <v>1.04</v>
      </c>
      <c r="M100" s="1" t="n">
        <v>2.36</v>
      </c>
      <c r="N100" s="1" t="n">
        <v>4.74</v>
      </c>
      <c r="O100" s="1" t="n">
        <v>2.1</v>
      </c>
      <c r="P100" s="1" t="n">
        <v>0.17</v>
      </c>
      <c r="Q100" s="1" t="n">
        <v>7.83</v>
      </c>
      <c r="R100" s="1" t="n">
        <v>97.0868</v>
      </c>
      <c r="S100" s="1" t="n">
        <v>0.0171</v>
      </c>
      <c r="T100" s="1" t="n">
        <v>0.0614</v>
      </c>
      <c r="U100" s="1" t="n">
        <v>0.0157</v>
      </c>
      <c r="V100" s="1" t="n">
        <v>95</v>
      </c>
      <c r="W100" s="1" t="n">
        <v>549</v>
      </c>
      <c r="X100" s="1" t="n">
        <v>116</v>
      </c>
      <c r="Y100" s="1" t="n">
        <v>16718</v>
      </c>
      <c r="Z100" s="1" t="n">
        <v>-28886</v>
      </c>
      <c r="AA100" s="1" t="n">
        <v>-474</v>
      </c>
      <c r="AB100" s="1" t="n">
        <v>48.85</v>
      </c>
      <c r="AC100" s="1" t="s">
        <v>289</v>
      </c>
    </row>
    <row r="101" customFormat="false" ht="15" hidden="false" customHeight="false" outlineLevel="0" collapsed="false">
      <c r="A101" s="1" t="s">
        <v>339</v>
      </c>
      <c r="B101" s="1" t="s">
        <v>289</v>
      </c>
      <c r="C101" s="1" t="s">
        <v>6</v>
      </c>
      <c r="D101" s="1" t="n">
        <v>0.1408</v>
      </c>
      <c r="E101" s="1" t="n">
        <v>0.1634</v>
      </c>
      <c r="F101" s="1" t="n">
        <v>0.1405</v>
      </c>
      <c r="G101" s="1" t="n">
        <v>41.63</v>
      </c>
      <c r="H101" s="1" t="n">
        <v>3.61</v>
      </c>
      <c r="I101" s="1" t="n">
        <v>1.94</v>
      </c>
      <c r="J101" s="1" t="n">
        <v>8.4</v>
      </c>
      <c r="K101" s="1" t="n">
        <v>22.8</v>
      </c>
      <c r="L101" s="1" t="n">
        <v>1.04</v>
      </c>
      <c r="M101" s="1" t="n">
        <v>2.36</v>
      </c>
      <c r="N101" s="1" t="n">
        <v>4.74</v>
      </c>
      <c r="O101" s="1" t="n">
        <v>2.1</v>
      </c>
      <c r="P101" s="1" t="n">
        <v>0.17</v>
      </c>
      <c r="Q101" s="1" t="n">
        <v>7.83</v>
      </c>
      <c r="R101" s="1" t="n">
        <v>97.0647</v>
      </c>
      <c r="S101" s="1" t="n">
        <v>0.0173</v>
      </c>
      <c r="T101" s="1" t="n">
        <v>0.0585</v>
      </c>
      <c r="U101" s="1" t="n">
        <v>0.0158</v>
      </c>
      <c r="V101" s="1" t="n">
        <v>95</v>
      </c>
      <c r="W101" s="1" t="n">
        <v>534</v>
      </c>
      <c r="X101" s="1" t="n">
        <v>117</v>
      </c>
      <c r="Y101" s="1" t="n">
        <v>16731</v>
      </c>
      <c r="Z101" s="1" t="n">
        <v>-28860</v>
      </c>
      <c r="AA101" s="1" t="n">
        <v>-474</v>
      </c>
      <c r="AB101" s="1" t="n">
        <v>77.88</v>
      </c>
      <c r="AC101" s="1" t="s">
        <v>289</v>
      </c>
    </row>
    <row r="102" customFormat="false" ht="15" hidden="false" customHeight="false" outlineLevel="0" collapsed="false">
      <c r="A102" s="1" t="s">
        <v>340</v>
      </c>
      <c r="B102" s="1" t="s">
        <v>289</v>
      </c>
      <c r="C102" s="1" t="s">
        <v>6</v>
      </c>
      <c r="D102" s="1" t="n">
        <v>0.1306</v>
      </c>
      <c r="E102" s="1" t="n">
        <v>0.1545</v>
      </c>
      <c r="F102" s="1" t="n">
        <v>0.1496</v>
      </c>
      <c r="G102" s="1" t="n">
        <v>41.63</v>
      </c>
      <c r="H102" s="1" t="n">
        <v>3.61</v>
      </c>
      <c r="I102" s="1" t="n">
        <v>1.94</v>
      </c>
      <c r="J102" s="1" t="n">
        <v>8.4</v>
      </c>
      <c r="K102" s="1" t="n">
        <v>22.8</v>
      </c>
      <c r="L102" s="1" t="n">
        <v>1.04</v>
      </c>
      <c r="M102" s="1" t="n">
        <v>2.36</v>
      </c>
      <c r="N102" s="1" t="n">
        <v>4.74</v>
      </c>
      <c r="O102" s="1" t="n">
        <v>2.1</v>
      </c>
      <c r="P102" s="1" t="n">
        <v>0.17</v>
      </c>
      <c r="Q102" s="1" t="n">
        <v>7.83</v>
      </c>
      <c r="R102" s="1" t="n">
        <v>97.0547</v>
      </c>
      <c r="S102" s="1" t="n">
        <v>0.0166</v>
      </c>
      <c r="T102" s="1" t="n">
        <v>0.0582</v>
      </c>
      <c r="U102" s="1" t="n">
        <v>0.0162</v>
      </c>
      <c r="V102" s="1" t="n">
        <v>94</v>
      </c>
      <c r="W102" s="1" t="n">
        <v>542</v>
      </c>
      <c r="X102" s="1" t="n">
        <v>117</v>
      </c>
      <c r="Y102" s="1" t="n">
        <v>16765</v>
      </c>
      <c r="Z102" s="1" t="n">
        <v>-28858</v>
      </c>
      <c r="AA102" s="1" t="n">
        <v>-474</v>
      </c>
      <c r="AB102" s="1" t="n">
        <v>98.41</v>
      </c>
      <c r="AC102" s="1" t="s">
        <v>289</v>
      </c>
    </row>
    <row r="103" customFormat="false" ht="15" hidden="false" customHeight="false" outlineLevel="0" collapsed="false">
      <c r="A103" s="1" t="s">
        <v>141</v>
      </c>
      <c r="B103" s="1" t="s">
        <v>289</v>
      </c>
      <c r="C103" s="1" t="s">
        <v>6</v>
      </c>
      <c r="D103" s="1" t="n">
        <v>0.1332</v>
      </c>
      <c r="E103" s="1" t="n">
        <v>0.1743</v>
      </c>
      <c r="F103" s="1" t="n">
        <v>0.1397</v>
      </c>
      <c r="G103" s="1" t="n">
        <v>41.63</v>
      </c>
      <c r="H103" s="1" t="n">
        <v>3.61</v>
      </c>
      <c r="I103" s="1" t="n">
        <v>1.94</v>
      </c>
      <c r="J103" s="1" t="n">
        <v>8.4</v>
      </c>
      <c r="K103" s="1" t="n">
        <v>22.8</v>
      </c>
      <c r="L103" s="1" t="n">
        <v>1.04</v>
      </c>
      <c r="M103" s="1" t="n">
        <v>2.36</v>
      </c>
      <c r="N103" s="1" t="n">
        <v>4.74</v>
      </c>
      <c r="O103" s="1" t="n">
        <v>2.1</v>
      </c>
      <c r="P103" s="1" t="n">
        <v>0.17</v>
      </c>
      <c r="Q103" s="1" t="n">
        <v>7.83</v>
      </c>
      <c r="R103" s="1" t="n">
        <v>97.0672</v>
      </c>
      <c r="S103" s="1" t="n">
        <v>0.0168</v>
      </c>
      <c r="T103" s="1" t="n">
        <v>0.0596</v>
      </c>
      <c r="U103" s="1" t="n">
        <v>0.0157</v>
      </c>
      <c r="V103" s="1" t="n">
        <v>94</v>
      </c>
      <c r="W103" s="1" t="n">
        <v>539</v>
      </c>
      <c r="X103" s="1" t="n">
        <v>115</v>
      </c>
      <c r="Y103" s="1" t="n">
        <v>16931</v>
      </c>
      <c r="Z103" s="1" t="n">
        <v>-28840</v>
      </c>
      <c r="AA103" s="1" t="n">
        <v>-474</v>
      </c>
      <c r="AB103" s="1" t="n">
        <v>0</v>
      </c>
      <c r="AC103" s="1" t="s">
        <v>289</v>
      </c>
    </row>
    <row r="104" customFormat="false" ht="15" hidden="false" customHeight="false" outlineLevel="0" collapsed="false">
      <c r="A104" s="1" t="s">
        <v>341</v>
      </c>
      <c r="B104" s="1" t="s">
        <v>289</v>
      </c>
      <c r="C104" s="1" t="s">
        <v>6</v>
      </c>
      <c r="D104" s="1" t="n">
        <v>0.1362</v>
      </c>
      <c r="E104" s="1" t="n">
        <v>0.1833</v>
      </c>
      <c r="F104" s="1" t="n">
        <v>0.1381</v>
      </c>
      <c r="G104" s="1" t="n">
        <v>41.63</v>
      </c>
      <c r="H104" s="1" t="n">
        <v>3.61</v>
      </c>
      <c r="I104" s="1" t="n">
        <v>1.94</v>
      </c>
      <c r="J104" s="1" t="n">
        <v>8.4</v>
      </c>
      <c r="K104" s="1" t="n">
        <v>22.8</v>
      </c>
      <c r="L104" s="1" t="n">
        <v>1.04</v>
      </c>
      <c r="M104" s="1" t="n">
        <v>2.36</v>
      </c>
      <c r="N104" s="1" t="n">
        <v>4.74</v>
      </c>
      <c r="O104" s="1" t="n">
        <v>2.1</v>
      </c>
      <c r="P104" s="1" t="n">
        <v>0.17</v>
      </c>
      <c r="Q104" s="1" t="n">
        <v>7.83</v>
      </c>
      <c r="R104" s="1" t="n">
        <v>97.0776</v>
      </c>
      <c r="S104" s="1" t="n">
        <v>0.0169</v>
      </c>
      <c r="T104" s="1" t="n">
        <v>0.0593</v>
      </c>
      <c r="U104" s="1" t="n">
        <v>0.0154</v>
      </c>
      <c r="V104" s="1" t="n">
        <v>93</v>
      </c>
      <c r="W104" s="1" t="n">
        <v>524</v>
      </c>
      <c r="X104" s="1" t="n">
        <v>111</v>
      </c>
      <c r="Y104" s="1" t="n">
        <v>16959</v>
      </c>
      <c r="Z104" s="1" t="n">
        <v>-28825</v>
      </c>
      <c r="AA104" s="1" t="n">
        <v>-474</v>
      </c>
      <c r="AB104" s="1" t="n">
        <v>31.76</v>
      </c>
      <c r="AC104" s="1" t="s">
        <v>289</v>
      </c>
    </row>
    <row r="105" customFormat="false" ht="15" hidden="false" customHeight="false" outlineLevel="0" collapsed="false">
      <c r="A105" s="1" t="s">
        <v>342</v>
      </c>
      <c r="B105" s="1" t="s">
        <v>289</v>
      </c>
      <c r="C105" s="1" t="s">
        <v>6</v>
      </c>
      <c r="D105" s="1" t="n">
        <v>0.1252</v>
      </c>
      <c r="E105" s="1" t="n">
        <v>0.1873</v>
      </c>
      <c r="F105" s="1" t="n">
        <v>0.1343</v>
      </c>
      <c r="G105" s="1" t="n">
        <v>41.63</v>
      </c>
      <c r="H105" s="1" t="n">
        <v>3.61</v>
      </c>
      <c r="I105" s="1" t="n">
        <v>1.94</v>
      </c>
      <c r="J105" s="1" t="n">
        <v>8.4</v>
      </c>
      <c r="K105" s="1" t="n">
        <v>22.8</v>
      </c>
      <c r="L105" s="1" t="n">
        <v>1.04</v>
      </c>
      <c r="M105" s="1" t="n">
        <v>2.36</v>
      </c>
      <c r="N105" s="1" t="n">
        <v>4.74</v>
      </c>
      <c r="O105" s="1" t="n">
        <v>2.1</v>
      </c>
      <c r="P105" s="1" t="n">
        <v>0.17</v>
      </c>
      <c r="Q105" s="1" t="n">
        <v>7.83</v>
      </c>
      <c r="R105" s="1" t="n">
        <v>97.0668</v>
      </c>
      <c r="S105" s="1" t="n">
        <v>0.0161</v>
      </c>
      <c r="T105" s="1" t="n">
        <v>0.0586</v>
      </c>
      <c r="U105" s="1" t="n">
        <v>0.0157</v>
      </c>
      <c r="V105" s="1" t="n">
        <v>90</v>
      </c>
      <c r="W105" s="1" t="n">
        <v>507</v>
      </c>
      <c r="X105" s="1" t="n">
        <v>119</v>
      </c>
      <c r="Y105" s="1" t="n">
        <v>16984</v>
      </c>
      <c r="Z105" s="1" t="n">
        <v>-28806</v>
      </c>
      <c r="AA105" s="1" t="n">
        <v>-474</v>
      </c>
      <c r="AB105" s="1" t="n">
        <v>62.97</v>
      </c>
      <c r="AC105" s="1" t="s">
        <v>289</v>
      </c>
    </row>
    <row r="106" customFormat="false" ht="15" hidden="false" customHeight="false" outlineLevel="0" collapsed="false">
      <c r="A106" s="1" t="s">
        <v>343</v>
      </c>
      <c r="B106" s="1" t="s">
        <v>289</v>
      </c>
      <c r="C106" s="1" t="s">
        <v>6</v>
      </c>
      <c r="D106" s="1" t="n">
        <v>0.136</v>
      </c>
      <c r="E106" s="1" t="n">
        <v>0.1763</v>
      </c>
      <c r="F106" s="1" t="n">
        <v>0.1417</v>
      </c>
      <c r="G106" s="1" t="n">
        <v>41.63</v>
      </c>
      <c r="H106" s="1" t="n">
        <v>3.61</v>
      </c>
      <c r="I106" s="1" t="n">
        <v>1.94</v>
      </c>
      <c r="J106" s="1" t="n">
        <v>8.4</v>
      </c>
      <c r="K106" s="1" t="n">
        <v>22.8</v>
      </c>
      <c r="L106" s="1" t="n">
        <v>1.04</v>
      </c>
      <c r="M106" s="1" t="n">
        <v>2.36</v>
      </c>
      <c r="N106" s="1" t="n">
        <v>4.74</v>
      </c>
      <c r="O106" s="1" t="n">
        <v>2.1</v>
      </c>
      <c r="P106" s="1" t="n">
        <v>0.17</v>
      </c>
      <c r="Q106" s="1" t="n">
        <v>7.83</v>
      </c>
      <c r="R106" s="1" t="n">
        <v>97.0739</v>
      </c>
      <c r="S106" s="1" t="n">
        <v>0.017</v>
      </c>
      <c r="T106" s="1" t="n">
        <v>0.06</v>
      </c>
      <c r="U106" s="1" t="n">
        <v>0.0155</v>
      </c>
      <c r="V106" s="1" t="n">
        <v>97</v>
      </c>
      <c r="W106" s="1" t="n">
        <v>544</v>
      </c>
      <c r="X106" s="1" t="n">
        <v>110</v>
      </c>
      <c r="Y106" s="1" t="n">
        <v>16996</v>
      </c>
      <c r="Z106" s="1" t="n">
        <v>-28784</v>
      </c>
      <c r="AA106" s="1" t="n">
        <v>-474</v>
      </c>
      <c r="AB106" s="1" t="n">
        <v>85.8</v>
      </c>
      <c r="AC106" s="1" t="s">
        <v>289</v>
      </c>
    </row>
    <row r="107" customFormat="false" ht="15" hidden="false" customHeight="false" outlineLevel="0" collapsed="false">
      <c r="A107" s="1" t="s">
        <v>344</v>
      </c>
      <c r="B107" s="1" t="s">
        <v>289</v>
      </c>
      <c r="C107" s="1" t="s">
        <v>6</v>
      </c>
      <c r="D107" s="1" t="n">
        <v>0.1316</v>
      </c>
      <c r="E107" s="1" t="n">
        <v>0.1793</v>
      </c>
      <c r="F107" s="1" t="n">
        <v>0.1306</v>
      </c>
      <c r="G107" s="1" t="n">
        <v>41.63</v>
      </c>
      <c r="H107" s="1" t="n">
        <v>3.61</v>
      </c>
      <c r="I107" s="1" t="n">
        <v>1.94</v>
      </c>
      <c r="J107" s="1" t="n">
        <v>8.4</v>
      </c>
      <c r="K107" s="1" t="n">
        <v>22.8</v>
      </c>
      <c r="L107" s="1" t="n">
        <v>1.04</v>
      </c>
      <c r="M107" s="1" t="n">
        <v>2.36</v>
      </c>
      <c r="N107" s="1" t="n">
        <v>4.74</v>
      </c>
      <c r="O107" s="1" t="n">
        <v>2.1</v>
      </c>
      <c r="P107" s="1" t="n">
        <v>0.17</v>
      </c>
      <c r="Q107" s="1" t="n">
        <v>7.83</v>
      </c>
      <c r="R107" s="1" t="n">
        <v>97.0615</v>
      </c>
      <c r="S107" s="1" t="n">
        <v>0.0168</v>
      </c>
      <c r="T107" s="1" t="n">
        <v>0.0561</v>
      </c>
      <c r="U107" s="1" t="n">
        <v>0.0154</v>
      </c>
      <c r="V107" s="1" t="n">
        <v>98</v>
      </c>
      <c r="W107" s="1" t="n">
        <v>475</v>
      </c>
      <c r="X107" s="1" t="n">
        <v>116</v>
      </c>
      <c r="Y107" s="1" t="n">
        <v>17002</v>
      </c>
      <c r="Z107" s="1" t="n">
        <v>-28757</v>
      </c>
      <c r="AA107" s="1" t="n">
        <v>-474</v>
      </c>
      <c r="AB107" s="1" t="n">
        <v>109.22</v>
      </c>
      <c r="AC107" s="1" t="s">
        <v>289</v>
      </c>
    </row>
    <row r="108" customFormat="false" ht="15" hidden="false" customHeight="false" outlineLevel="0" collapsed="false">
      <c r="A108" s="1" t="s">
        <v>142</v>
      </c>
      <c r="B108" s="1" t="s">
        <v>289</v>
      </c>
      <c r="C108" s="1" t="s">
        <v>6</v>
      </c>
      <c r="D108" s="1" t="n">
        <v>0.1305</v>
      </c>
      <c r="E108" s="1" t="n">
        <v>0.1974</v>
      </c>
      <c r="F108" s="1" t="n">
        <v>0.1479</v>
      </c>
      <c r="G108" s="1" t="n">
        <v>41.63</v>
      </c>
      <c r="H108" s="1" t="n">
        <v>3.61</v>
      </c>
      <c r="I108" s="1" t="n">
        <v>1.94</v>
      </c>
      <c r="J108" s="1" t="n">
        <v>8.4</v>
      </c>
      <c r="K108" s="1" t="n">
        <v>22.8</v>
      </c>
      <c r="L108" s="1" t="n">
        <v>1.04</v>
      </c>
      <c r="M108" s="1" t="n">
        <v>2.36</v>
      </c>
      <c r="N108" s="1" t="n">
        <v>4.74</v>
      </c>
      <c r="O108" s="1" t="n">
        <v>2.1</v>
      </c>
      <c r="P108" s="1" t="n">
        <v>0.17</v>
      </c>
      <c r="Q108" s="1" t="n">
        <v>7.83</v>
      </c>
      <c r="R108" s="1" t="n">
        <v>97.0958</v>
      </c>
      <c r="S108" s="1" t="n">
        <v>0.0169</v>
      </c>
      <c r="T108" s="1" t="n">
        <v>0.0609</v>
      </c>
      <c r="U108" s="1" t="n">
        <v>0.016</v>
      </c>
      <c r="V108" s="1" t="n">
        <v>101</v>
      </c>
      <c r="W108" s="1" t="n">
        <v>532</v>
      </c>
      <c r="X108" s="1" t="n">
        <v>115</v>
      </c>
      <c r="Y108" s="1" t="n">
        <v>16949</v>
      </c>
      <c r="Z108" s="1" t="n">
        <v>-28682</v>
      </c>
      <c r="AA108" s="1" t="n">
        <v>-474</v>
      </c>
      <c r="AB108" s="1" t="n">
        <v>0</v>
      </c>
      <c r="AC108" s="1" t="s">
        <v>289</v>
      </c>
    </row>
    <row r="109" customFormat="false" ht="15" hidden="false" customHeight="false" outlineLevel="0" collapsed="false">
      <c r="A109" s="1" t="s">
        <v>345</v>
      </c>
      <c r="B109" s="1" t="s">
        <v>289</v>
      </c>
      <c r="C109" s="1" t="s">
        <v>6</v>
      </c>
      <c r="D109" s="1" t="n">
        <v>0.1248</v>
      </c>
      <c r="E109" s="1" t="n">
        <v>0.1585</v>
      </c>
      <c r="F109" s="1" t="n">
        <v>0.1552</v>
      </c>
      <c r="G109" s="1" t="n">
        <v>41.63</v>
      </c>
      <c r="H109" s="1" t="n">
        <v>3.61</v>
      </c>
      <c r="I109" s="1" t="n">
        <v>1.94</v>
      </c>
      <c r="J109" s="1" t="n">
        <v>8.4</v>
      </c>
      <c r="K109" s="1" t="n">
        <v>22.8</v>
      </c>
      <c r="L109" s="1" t="n">
        <v>1.04</v>
      </c>
      <c r="M109" s="1" t="n">
        <v>2.36</v>
      </c>
      <c r="N109" s="1" t="n">
        <v>4.74</v>
      </c>
      <c r="O109" s="1" t="n">
        <v>2.1</v>
      </c>
      <c r="P109" s="1" t="n">
        <v>0.17</v>
      </c>
      <c r="Q109" s="1" t="n">
        <v>7.83</v>
      </c>
      <c r="R109" s="1" t="n">
        <v>97.0586</v>
      </c>
      <c r="S109" s="1" t="n">
        <v>0.0161</v>
      </c>
      <c r="T109" s="1" t="n">
        <v>0.0582</v>
      </c>
      <c r="U109" s="1" t="n">
        <v>0.0163</v>
      </c>
      <c r="V109" s="1" t="n">
        <v>92</v>
      </c>
      <c r="W109" s="1" t="n">
        <v>537</v>
      </c>
      <c r="X109" s="1" t="n">
        <v>115</v>
      </c>
      <c r="Y109" s="1" t="n">
        <v>17096</v>
      </c>
      <c r="Z109" s="1" t="n">
        <v>-28711</v>
      </c>
      <c r="AA109" s="1" t="n">
        <v>-474</v>
      </c>
      <c r="AB109" s="1" t="n">
        <v>149.83</v>
      </c>
      <c r="AC109" s="1" t="s">
        <v>289</v>
      </c>
    </row>
    <row r="110" customFormat="false" ht="15" hidden="false" customHeight="false" outlineLevel="0" collapsed="false">
      <c r="A110" s="1" t="s">
        <v>346</v>
      </c>
      <c r="B110" s="1" t="s">
        <v>289</v>
      </c>
      <c r="C110" s="1" t="s">
        <v>6</v>
      </c>
      <c r="D110" s="1" t="n">
        <v>0.1315</v>
      </c>
      <c r="E110" s="1" t="n">
        <v>0.2213</v>
      </c>
      <c r="F110" s="1" t="n">
        <v>0.1479</v>
      </c>
      <c r="G110" s="1" t="n">
        <v>41.63</v>
      </c>
      <c r="H110" s="1" t="n">
        <v>3.61</v>
      </c>
      <c r="I110" s="1" t="n">
        <v>1.94</v>
      </c>
      <c r="J110" s="1" t="n">
        <v>8.4</v>
      </c>
      <c r="K110" s="1" t="n">
        <v>22.8</v>
      </c>
      <c r="L110" s="1" t="n">
        <v>1.04</v>
      </c>
      <c r="M110" s="1" t="n">
        <v>2.36</v>
      </c>
      <c r="N110" s="1" t="n">
        <v>4.74</v>
      </c>
      <c r="O110" s="1" t="n">
        <v>2.1</v>
      </c>
      <c r="P110" s="1" t="n">
        <v>0.17</v>
      </c>
      <c r="Q110" s="1" t="n">
        <v>7.83</v>
      </c>
      <c r="R110" s="1" t="n">
        <v>97.1207</v>
      </c>
      <c r="S110" s="1" t="n">
        <v>0.0166</v>
      </c>
      <c r="T110" s="1" t="n">
        <v>0.0597</v>
      </c>
      <c r="U110" s="1" t="n">
        <v>0.0156</v>
      </c>
      <c r="V110" s="1" t="n">
        <v>93</v>
      </c>
      <c r="W110" s="1" t="n">
        <v>481</v>
      </c>
      <c r="X110" s="1" t="n">
        <v>108</v>
      </c>
      <c r="Y110" s="1" t="n">
        <v>17121</v>
      </c>
      <c r="Z110" s="1" t="n">
        <v>-28711</v>
      </c>
      <c r="AA110" s="1" t="n">
        <v>-474</v>
      </c>
      <c r="AB110" s="1" t="n">
        <v>174.43</v>
      </c>
      <c r="AC110" s="1" t="s">
        <v>289</v>
      </c>
    </row>
    <row r="111" customFormat="false" ht="15" hidden="false" customHeight="false" outlineLevel="0" collapsed="false">
      <c r="A111" s="1" t="s">
        <v>347</v>
      </c>
      <c r="B111" s="1" t="s">
        <v>289</v>
      </c>
      <c r="C111" s="1" t="s">
        <v>6</v>
      </c>
      <c r="D111" s="1" t="n">
        <v>0.1356</v>
      </c>
      <c r="E111" s="1" t="n">
        <v>0.1865</v>
      </c>
      <c r="F111" s="1" t="n">
        <v>0.1458</v>
      </c>
      <c r="G111" s="1" t="n">
        <v>41.63</v>
      </c>
      <c r="H111" s="1" t="n">
        <v>3.61</v>
      </c>
      <c r="I111" s="1" t="n">
        <v>1.94</v>
      </c>
      <c r="J111" s="1" t="n">
        <v>8.4</v>
      </c>
      <c r="K111" s="1" t="n">
        <v>22.8</v>
      </c>
      <c r="L111" s="1" t="n">
        <v>1.04</v>
      </c>
      <c r="M111" s="1" t="n">
        <v>2.36</v>
      </c>
      <c r="N111" s="1" t="n">
        <v>4.74</v>
      </c>
      <c r="O111" s="1" t="n">
        <v>2.1</v>
      </c>
      <c r="P111" s="1" t="n">
        <v>0.17</v>
      </c>
      <c r="Q111" s="1" t="n">
        <v>7.83</v>
      </c>
      <c r="R111" s="1" t="n">
        <v>97.0879</v>
      </c>
      <c r="S111" s="1" t="n">
        <v>0.0168</v>
      </c>
      <c r="T111" s="1" t="n">
        <v>0.0611</v>
      </c>
      <c r="U111" s="1" t="n">
        <v>0.0159</v>
      </c>
      <c r="V111" s="1" t="n">
        <v>92</v>
      </c>
      <c r="W111" s="1" t="n">
        <v>549</v>
      </c>
      <c r="X111" s="1" t="n">
        <v>114</v>
      </c>
      <c r="Y111" s="1" t="n">
        <v>17041</v>
      </c>
      <c r="Z111" s="1" t="n">
        <v>-28713</v>
      </c>
      <c r="AA111" s="1" t="n">
        <v>-474</v>
      </c>
      <c r="AB111" s="1" t="n">
        <v>97.08</v>
      </c>
      <c r="AC111" s="1" t="s">
        <v>289</v>
      </c>
    </row>
    <row r="112" customFormat="false" ht="15" hidden="false" customHeight="false" outlineLevel="0" collapsed="false">
      <c r="A112" s="1" t="s">
        <v>348</v>
      </c>
      <c r="B112" s="1" t="s">
        <v>289</v>
      </c>
      <c r="C112" s="1" t="s">
        <v>6</v>
      </c>
      <c r="D112" s="1" t="n">
        <v>0.1311</v>
      </c>
      <c r="E112" s="1" t="n">
        <v>0.2204</v>
      </c>
      <c r="F112" s="1" t="n">
        <v>0.1407</v>
      </c>
      <c r="G112" s="1" t="n">
        <v>41.63</v>
      </c>
      <c r="H112" s="1" t="n">
        <v>3.61</v>
      </c>
      <c r="I112" s="1" t="n">
        <v>1.94</v>
      </c>
      <c r="J112" s="1" t="n">
        <v>8.4</v>
      </c>
      <c r="K112" s="1" t="n">
        <v>22.8</v>
      </c>
      <c r="L112" s="1" t="n">
        <v>1.04</v>
      </c>
      <c r="M112" s="1" t="n">
        <v>2.36</v>
      </c>
      <c r="N112" s="1" t="n">
        <v>4.74</v>
      </c>
      <c r="O112" s="1" t="n">
        <v>2.1</v>
      </c>
      <c r="P112" s="1" t="n">
        <v>0.17</v>
      </c>
      <c r="Q112" s="1" t="n">
        <v>7.83</v>
      </c>
      <c r="R112" s="1" t="n">
        <v>97.1122</v>
      </c>
      <c r="S112" s="1" t="n">
        <v>0.0168</v>
      </c>
      <c r="T112" s="1" t="n">
        <v>0.0601</v>
      </c>
      <c r="U112" s="1" t="n">
        <v>0.0158</v>
      </c>
      <c r="V112" s="1" t="n">
        <v>98</v>
      </c>
      <c r="W112" s="1" t="n">
        <v>489</v>
      </c>
      <c r="X112" s="1" t="n">
        <v>116</v>
      </c>
      <c r="Y112" s="1" t="n">
        <v>16960</v>
      </c>
      <c r="Z112" s="1" t="n">
        <v>-28700</v>
      </c>
      <c r="AA112" s="1" t="n">
        <v>-474</v>
      </c>
      <c r="AB112" s="1" t="n">
        <v>21.1</v>
      </c>
      <c r="AC112" s="1" t="s">
        <v>289</v>
      </c>
    </row>
    <row r="113" customFormat="false" ht="15" hidden="false" customHeight="false" outlineLevel="0" collapsed="false">
      <c r="C113" s="1" t="s">
        <v>43</v>
      </c>
      <c r="D113" s="5" t="n">
        <f aca="false">AVERAGE(D93:D112)*10000</f>
        <v>1318.05</v>
      </c>
      <c r="E113" s="5" t="n">
        <f aca="false">AVERAGE(E93:E112)*10000</f>
        <v>1872.4</v>
      </c>
      <c r="F113" s="5" t="n">
        <f aca="false">AVERAGE(F93:F112)*10000</f>
        <v>1416.55</v>
      </c>
      <c r="S113" s="5" t="n">
        <f aca="false">AVERAGE(S93:S112)*10000</f>
        <v>166.95</v>
      </c>
      <c r="T113" s="5" t="n">
        <f aca="false">AVERAGE(T93:T112)*10000</f>
        <v>596.9</v>
      </c>
      <c r="U113" s="5" t="n">
        <f aca="false">AVERAGE(U93:U112)*10000</f>
        <v>157.15</v>
      </c>
      <c r="V113" s="5" t="n">
        <f aca="false">AVERAGE(V93:V112)</f>
        <v>94.9</v>
      </c>
      <c r="W113" s="5" t="n">
        <f aca="false">AVERAGE(W93:W112)</f>
        <v>524.8</v>
      </c>
      <c r="X113" s="5" t="n">
        <f aca="false">AVERAGE(X93:X112)</f>
        <v>113.9</v>
      </c>
    </row>
    <row r="114" customFormat="false" ht="15" hidden="false" customHeight="false" outlineLevel="0" collapsed="false">
      <c r="C114" s="1" t="s">
        <v>44</v>
      </c>
      <c r="D114" s="5" t="n">
        <f aca="false">_xlfn.STDEV.P(D93:D112)*2*10000</f>
        <v>87.0688807783815</v>
      </c>
      <c r="E114" s="5" t="n">
        <f aca="false">_xlfn.STDEV.P(E93:E112)*2*10000</f>
        <v>400.583774009878</v>
      </c>
      <c r="F114" s="5" t="n">
        <f aca="false">_xlfn.STDEV.P(F93:F112)*2*10000</f>
        <v>123.258224877693</v>
      </c>
    </row>
    <row r="115" customFormat="false" ht="15" hidden="false" customHeight="false" outlineLevel="0" collapsed="false">
      <c r="C115" s="1" t="s">
        <v>45</v>
      </c>
      <c r="D115" s="5" t="n">
        <f aca="false">S113/3*2</f>
        <v>111.3</v>
      </c>
      <c r="E115" s="5" t="n">
        <f aca="false">T113/3*2</f>
        <v>397.933333333333</v>
      </c>
      <c r="F115" s="5" t="n">
        <f aca="false">U113/3*2</f>
        <v>104.766666666667</v>
      </c>
    </row>
    <row r="116" customFormat="false" ht="15" hidden="false" customHeight="false" outlineLevel="0" collapsed="false">
      <c r="C116" s="1" t="s">
        <v>46</v>
      </c>
      <c r="D116" s="5" t="n">
        <f aca="false">V113</f>
        <v>94.9</v>
      </c>
      <c r="E116" s="5" t="n">
        <f aca="false">W113</f>
        <v>524.8</v>
      </c>
      <c r="F116" s="5" t="n">
        <f aca="false">X113</f>
        <v>113.9</v>
      </c>
    </row>
    <row r="118" customFormat="false" ht="15" hidden="false" customHeight="false" outlineLevel="0" collapsed="false">
      <c r="A118" s="1" t="s">
        <v>129</v>
      </c>
      <c r="B118" s="1" t="s">
        <v>349</v>
      </c>
      <c r="C118" s="1" t="s">
        <v>13</v>
      </c>
      <c r="D118" s="1" t="n">
        <v>0.0042</v>
      </c>
      <c r="E118" s="1" t="n">
        <v>0.2418</v>
      </c>
      <c r="F118" s="1" t="n">
        <v>0.2431</v>
      </c>
      <c r="G118" s="1" t="n">
        <v>43.7</v>
      </c>
      <c r="H118" s="1" t="n">
        <v>5.51</v>
      </c>
      <c r="I118" s="1" t="n">
        <v>0.17</v>
      </c>
      <c r="J118" s="1" t="n">
        <v>9.34</v>
      </c>
      <c r="K118" s="1" t="n">
        <v>26.9</v>
      </c>
      <c r="L118" s="1" t="n">
        <v>0.15</v>
      </c>
      <c r="M118" s="1" t="n">
        <v>4.83</v>
      </c>
      <c r="N118" s="1" t="n">
        <v>0.95</v>
      </c>
      <c r="O118" s="1" t="n">
        <v>0.11</v>
      </c>
      <c r="P118" s="1" t="n">
        <v>0.19</v>
      </c>
      <c r="Q118" s="1" t="n">
        <v>4.24</v>
      </c>
      <c r="R118" s="1" t="n">
        <v>96.5791</v>
      </c>
      <c r="S118" s="1" t="n">
        <v>0.008</v>
      </c>
      <c r="T118" s="1" t="n">
        <v>0.0643</v>
      </c>
      <c r="U118" s="1" t="n">
        <v>0.0191</v>
      </c>
      <c r="V118" s="1" t="n">
        <v>93</v>
      </c>
      <c r="W118" s="1" t="n">
        <v>536</v>
      </c>
      <c r="X118" s="1" t="n">
        <v>110</v>
      </c>
      <c r="Y118" s="1" t="n">
        <v>13168</v>
      </c>
      <c r="Z118" s="1" t="n">
        <v>1434</v>
      </c>
      <c r="AA118" s="1" t="n">
        <v>-476</v>
      </c>
      <c r="AB118" s="1" t="n">
        <v>0</v>
      </c>
      <c r="AC118" s="1" t="s">
        <v>349</v>
      </c>
    </row>
    <row r="119" customFormat="false" ht="15" hidden="false" customHeight="false" outlineLevel="0" collapsed="false">
      <c r="A119" s="1" t="s">
        <v>350</v>
      </c>
      <c r="B119" s="1" t="s">
        <v>349</v>
      </c>
      <c r="C119" s="1" t="s">
        <v>13</v>
      </c>
      <c r="D119" s="1" t="n">
        <v>0.0065</v>
      </c>
      <c r="E119" s="1" t="n">
        <v>0.2469</v>
      </c>
      <c r="F119" s="1" t="n">
        <v>0.2222</v>
      </c>
      <c r="G119" s="1" t="n">
        <v>43.7</v>
      </c>
      <c r="H119" s="1" t="n">
        <v>5.51</v>
      </c>
      <c r="I119" s="1" t="n">
        <v>0.17</v>
      </c>
      <c r="J119" s="1" t="n">
        <v>9.34</v>
      </c>
      <c r="K119" s="1" t="n">
        <v>26.9</v>
      </c>
      <c r="L119" s="1" t="n">
        <v>0.15</v>
      </c>
      <c r="M119" s="1" t="n">
        <v>4.83</v>
      </c>
      <c r="N119" s="1" t="n">
        <v>0.95</v>
      </c>
      <c r="O119" s="1" t="n">
        <v>0.11</v>
      </c>
      <c r="P119" s="1" t="n">
        <v>0.19</v>
      </c>
      <c r="Q119" s="1" t="n">
        <v>4.24</v>
      </c>
      <c r="R119" s="1" t="n">
        <v>96.5656</v>
      </c>
      <c r="S119" s="1" t="n">
        <v>0.0078</v>
      </c>
      <c r="T119" s="1" t="n">
        <v>0.064</v>
      </c>
      <c r="U119" s="1" t="n">
        <v>0.0185</v>
      </c>
      <c r="V119" s="1" t="n">
        <v>88</v>
      </c>
      <c r="W119" s="1" t="n">
        <v>524</v>
      </c>
      <c r="X119" s="1" t="n">
        <v>113</v>
      </c>
      <c r="Y119" s="1" t="n">
        <v>13149</v>
      </c>
      <c r="Z119" s="1" t="n">
        <v>1449</v>
      </c>
      <c r="AA119" s="1" t="n">
        <v>-476</v>
      </c>
      <c r="AB119" s="1" t="n">
        <v>24.21</v>
      </c>
      <c r="AC119" s="1" t="s">
        <v>349</v>
      </c>
    </row>
    <row r="120" customFormat="false" ht="15" hidden="false" customHeight="false" outlineLevel="0" collapsed="false">
      <c r="A120" s="1" t="s">
        <v>351</v>
      </c>
      <c r="B120" s="1" t="s">
        <v>349</v>
      </c>
      <c r="C120" s="1" t="s">
        <v>13</v>
      </c>
      <c r="D120" s="1" t="n">
        <v>0.0018</v>
      </c>
      <c r="E120" s="1" t="n">
        <v>0.2069</v>
      </c>
      <c r="F120" s="1" t="n">
        <v>0.2336</v>
      </c>
      <c r="G120" s="1" t="n">
        <v>43.7</v>
      </c>
      <c r="H120" s="1" t="n">
        <v>5.51</v>
      </c>
      <c r="I120" s="1" t="n">
        <v>0.17</v>
      </c>
      <c r="J120" s="1" t="n">
        <v>9.34</v>
      </c>
      <c r="K120" s="1" t="n">
        <v>26.9</v>
      </c>
      <c r="L120" s="1" t="n">
        <v>0.15</v>
      </c>
      <c r="M120" s="1" t="n">
        <v>4.83</v>
      </c>
      <c r="N120" s="1" t="n">
        <v>0.95</v>
      </c>
      <c r="O120" s="1" t="n">
        <v>0.11</v>
      </c>
      <c r="P120" s="1" t="n">
        <v>0.19</v>
      </c>
      <c r="Q120" s="1" t="n">
        <v>4.24</v>
      </c>
      <c r="R120" s="1" t="n">
        <v>96.5323</v>
      </c>
      <c r="S120" s="1" t="n">
        <v>0.0076</v>
      </c>
      <c r="T120" s="1" t="n">
        <v>0.0614</v>
      </c>
      <c r="U120" s="1" t="n">
        <v>0.0189</v>
      </c>
      <c r="V120" s="1" t="n">
        <v>90</v>
      </c>
      <c r="W120" s="1" t="n">
        <v>529</v>
      </c>
      <c r="X120" s="1" t="n">
        <v>112</v>
      </c>
      <c r="Y120" s="1" t="n">
        <v>13125</v>
      </c>
      <c r="Z120" s="1" t="n">
        <v>1440</v>
      </c>
      <c r="AA120" s="1" t="n">
        <v>-476</v>
      </c>
      <c r="AB120" s="1" t="n">
        <v>43.42</v>
      </c>
      <c r="AC120" s="1" t="s">
        <v>349</v>
      </c>
    </row>
    <row r="121" customFormat="false" ht="15" hidden="false" customHeight="false" outlineLevel="0" collapsed="false">
      <c r="A121" s="1" t="s">
        <v>352</v>
      </c>
      <c r="B121" s="1" t="s">
        <v>349</v>
      </c>
      <c r="C121" s="1" t="s">
        <v>13</v>
      </c>
      <c r="D121" s="1" t="n">
        <v>0.008</v>
      </c>
      <c r="E121" s="1" t="n">
        <v>0.2628</v>
      </c>
      <c r="F121" s="1" t="n">
        <v>0.233</v>
      </c>
      <c r="G121" s="1" t="n">
        <v>43.7</v>
      </c>
      <c r="H121" s="1" t="n">
        <v>5.51</v>
      </c>
      <c r="I121" s="1" t="n">
        <v>0.17</v>
      </c>
      <c r="J121" s="1" t="n">
        <v>9.34</v>
      </c>
      <c r="K121" s="1" t="n">
        <v>26.9</v>
      </c>
      <c r="L121" s="1" t="n">
        <v>0.15</v>
      </c>
      <c r="M121" s="1" t="n">
        <v>4.83</v>
      </c>
      <c r="N121" s="1" t="n">
        <v>0.95</v>
      </c>
      <c r="O121" s="1" t="n">
        <v>0.11</v>
      </c>
      <c r="P121" s="1" t="n">
        <v>0.19</v>
      </c>
      <c r="Q121" s="1" t="n">
        <v>4.24</v>
      </c>
      <c r="R121" s="1" t="n">
        <v>96.5938</v>
      </c>
      <c r="S121" s="1" t="n">
        <v>0.0075</v>
      </c>
      <c r="T121" s="1" t="n">
        <v>0.0622</v>
      </c>
      <c r="U121" s="1" t="n">
        <v>0.0188</v>
      </c>
      <c r="V121" s="1" t="n">
        <v>82</v>
      </c>
      <c r="W121" s="1" t="n">
        <v>469</v>
      </c>
      <c r="X121" s="1" t="n">
        <v>112</v>
      </c>
      <c r="Y121" s="1" t="n">
        <v>13073</v>
      </c>
      <c r="Z121" s="1" t="n">
        <v>1431</v>
      </c>
      <c r="AA121" s="1" t="n">
        <v>-476</v>
      </c>
      <c r="AB121" s="1" t="n">
        <v>95.05</v>
      </c>
      <c r="AC121" s="1" t="s">
        <v>349</v>
      </c>
    </row>
    <row r="122" customFormat="false" ht="15" hidden="false" customHeight="false" outlineLevel="0" collapsed="false">
      <c r="A122" s="1" t="s">
        <v>353</v>
      </c>
      <c r="B122" s="1" t="s">
        <v>349</v>
      </c>
      <c r="C122" s="1" t="s">
        <v>13</v>
      </c>
      <c r="D122" s="1" t="n">
        <v>0.0045</v>
      </c>
      <c r="E122" s="1" t="n">
        <v>0.2259</v>
      </c>
      <c r="F122" s="1" t="n">
        <v>0.2274</v>
      </c>
      <c r="G122" s="1" t="n">
        <v>43.7</v>
      </c>
      <c r="H122" s="1" t="n">
        <v>5.51</v>
      </c>
      <c r="I122" s="1" t="n">
        <v>0.17</v>
      </c>
      <c r="J122" s="1" t="n">
        <v>9.34</v>
      </c>
      <c r="K122" s="1" t="n">
        <v>26.9</v>
      </c>
      <c r="L122" s="1" t="n">
        <v>0.15</v>
      </c>
      <c r="M122" s="1" t="n">
        <v>4.83</v>
      </c>
      <c r="N122" s="1" t="n">
        <v>0.95</v>
      </c>
      <c r="O122" s="1" t="n">
        <v>0.11</v>
      </c>
      <c r="P122" s="1" t="n">
        <v>0.19</v>
      </c>
      <c r="Q122" s="1" t="n">
        <v>4.24</v>
      </c>
      <c r="R122" s="1" t="n">
        <v>96.5478</v>
      </c>
      <c r="S122" s="1" t="n">
        <v>0.0079</v>
      </c>
      <c r="T122" s="1" t="n">
        <v>0.0593</v>
      </c>
      <c r="U122" s="1" t="n">
        <v>0.0188</v>
      </c>
      <c r="V122" s="1" t="n">
        <v>91</v>
      </c>
      <c r="W122" s="1" t="n">
        <v>466</v>
      </c>
      <c r="X122" s="1" t="n">
        <v>116</v>
      </c>
      <c r="Y122" s="1" t="n">
        <v>13046</v>
      </c>
      <c r="Z122" s="1" t="n">
        <v>1408</v>
      </c>
      <c r="AA122" s="1" t="n">
        <v>-476</v>
      </c>
      <c r="AB122" s="1" t="n">
        <v>124.74</v>
      </c>
      <c r="AC122" s="1" t="s">
        <v>349</v>
      </c>
    </row>
    <row r="123" customFormat="false" ht="15" hidden="false" customHeight="false" outlineLevel="0" collapsed="false">
      <c r="A123" s="1" t="s">
        <v>131</v>
      </c>
      <c r="B123" s="1" t="s">
        <v>349</v>
      </c>
      <c r="C123" s="1" t="s">
        <v>13</v>
      </c>
      <c r="D123" s="1" t="n">
        <v>0</v>
      </c>
      <c r="E123" s="1" t="n">
        <v>0.237</v>
      </c>
      <c r="F123" s="1" t="n">
        <v>0.2342</v>
      </c>
      <c r="G123" s="1" t="n">
        <v>43.7</v>
      </c>
      <c r="H123" s="1" t="n">
        <v>5.51</v>
      </c>
      <c r="I123" s="1" t="n">
        <v>0.17</v>
      </c>
      <c r="J123" s="1" t="n">
        <v>9.34</v>
      </c>
      <c r="K123" s="1" t="n">
        <v>26.9</v>
      </c>
      <c r="L123" s="1" t="n">
        <v>0.15</v>
      </c>
      <c r="M123" s="1" t="n">
        <v>4.83</v>
      </c>
      <c r="N123" s="1" t="n">
        <v>0.95</v>
      </c>
      <c r="O123" s="1" t="n">
        <v>0.11</v>
      </c>
      <c r="P123" s="1" t="n">
        <v>0.19</v>
      </c>
      <c r="Q123" s="1" t="n">
        <v>4.24</v>
      </c>
      <c r="R123" s="1" t="n">
        <v>96.5612</v>
      </c>
      <c r="S123" s="1" t="n">
        <v>0</v>
      </c>
      <c r="T123" s="1" t="n">
        <v>0.062</v>
      </c>
      <c r="U123" s="1" t="n">
        <v>0.0189</v>
      </c>
      <c r="W123" s="1" t="n">
        <v>501</v>
      </c>
      <c r="X123" s="1" t="n">
        <v>112</v>
      </c>
      <c r="Y123" s="1" t="n">
        <v>13877</v>
      </c>
      <c r="Z123" s="1" t="n">
        <v>643</v>
      </c>
      <c r="AA123" s="1" t="n">
        <v>-476</v>
      </c>
      <c r="AB123" s="1" t="n">
        <v>0</v>
      </c>
      <c r="AC123" s="1" t="s">
        <v>349</v>
      </c>
    </row>
    <row r="124" customFormat="false" ht="15" hidden="false" customHeight="false" outlineLevel="0" collapsed="false">
      <c r="A124" s="1" t="s">
        <v>354</v>
      </c>
      <c r="B124" s="1" t="s">
        <v>349</v>
      </c>
      <c r="C124" s="1" t="s">
        <v>13</v>
      </c>
      <c r="D124" s="1" t="n">
        <v>0.0052</v>
      </c>
      <c r="E124" s="1" t="n">
        <v>0.24</v>
      </c>
      <c r="F124" s="1" t="n">
        <v>0.2362</v>
      </c>
      <c r="G124" s="1" t="n">
        <v>43.7</v>
      </c>
      <c r="H124" s="1" t="n">
        <v>5.51</v>
      </c>
      <c r="I124" s="1" t="n">
        <v>0.17</v>
      </c>
      <c r="J124" s="1" t="n">
        <v>9.34</v>
      </c>
      <c r="K124" s="1" t="n">
        <v>26.9</v>
      </c>
      <c r="L124" s="1" t="n">
        <v>0.15</v>
      </c>
      <c r="M124" s="1" t="n">
        <v>4.83</v>
      </c>
      <c r="N124" s="1" t="n">
        <v>0.95</v>
      </c>
      <c r="O124" s="1" t="n">
        <v>0.11</v>
      </c>
      <c r="P124" s="1" t="n">
        <v>0.19</v>
      </c>
      <c r="Q124" s="1" t="n">
        <v>4.24</v>
      </c>
      <c r="R124" s="1" t="n">
        <v>96.5715</v>
      </c>
      <c r="S124" s="1" t="n">
        <v>0.0076</v>
      </c>
      <c r="T124" s="1" t="n">
        <v>0.0637</v>
      </c>
      <c r="U124" s="1" t="n">
        <v>0.0187</v>
      </c>
      <c r="V124" s="1" t="n">
        <v>87</v>
      </c>
      <c r="W124" s="1" t="n">
        <v>527</v>
      </c>
      <c r="X124" s="1" t="n">
        <v>105</v>
      </c>
      <c r="Y124" s="1" t="n">
        <v>13863</v>
      </c>
      <c r="Z124" s="1" t="n">
        <v>618</v>
      </c>
      <c r="AA124" s="1" t="n">
        <v>-476</v>
      </c>
      <c r="AB124" s="1" t="n">
        <v>28.65</v>
      </c>
      <c r="AC124" s="1" t="s">
        <v>349</v>
      </c>
    </row>
    <row r="125" customFormat="false" ht="15" hidden="false" customHeight="false" outlineLevel="0" collapsed="false">
      <c r="A125" s="1" t="s">
        <v>355</v>
      </c>
      <c r="B125" s="1" t="s">
        <v>349</v>
      </c>
      <c r="C125" s="1" t="s">
        <v>13</v>
      </c>
      <c r="D125" s="1" t="n">
        <v>0.0026</v>
      </c>
      <c r="E125" s="1" t="n">
        <v>0.257</v>
      </c>
      <c r="F125" s="1" t="n">
        <v>0.2311</v>
      </c>
      <c r="G125" s="1" t="n">
        <v>43.7</v>
      </c>
      <c r="H125" s="1" t="n">
        <v>5.51</v>
      </c>
      <c r="I125" s="1" t="n">
        <v>0.17</v>
      </c>
      <c r="J125" s="1" t="n">
        <v>9.34</v>
      </c>
      <c r="K125" s="1" t="n">
        <v>26.9</v>
      </c>
      <c r="L125" s="1" t="n">
        <v>0.15</v>
      </c>
      <c r="M125" s="1" t="n">
        <v>4.83</v>
      </c>
      <c r="N125" s="1" t="n">
        <v>0.95</v>
      </c>
      <c r="O125" s="1" t="n">
        <v>0.11</v>
      </c>
      <c r="P125" s="1" t="n">
        <v>0.19</v>
      </c>
      <c r="Q125" s="1" t="n">
        <v>4.24</v>
      </c>
      <c r="R125" s="1" t="n">
        <v>96.5807</v>
      </c>
      <c r="S125" s="1" t="n">
        <v>0.0076</v>
      </c>
      <c r="T125" s="1" t="n">
        <v>0.064</v>
      </c>
      <c r="U125" s="1" t="n">
        <v>0.0188</v>
      </c>
      <c r="V125" s="1" t="n">
        <v>89</v>
      </c>
      <c r="W125" s="1" t="n">
        <v>511</v>
      </c>
      <c r="X125" s="1" t="n">
        <v>112</v>
      </c>
      <c r="Y125" s="1" t="n">
        <v>13909</v>
      </c>
      <c r="Z125" s="1" t="n">
        <v>677</v>
      </c>
      <c r="AA125" s="1" t="n">
        <v>-476</v>
      </c>
      <c r="AB125" s="1" t="n">
        <v>46.69</v>
      </c>
      <c r="AC125" s="1" t="s">
        <v>349</v>
      </c>
    </row>
    <row r="126" customFormat="false" ht="15" hidden="false" customHeight="false" outlineLevel="0" collapsed="false">
      <c r="A126" s="1" t="s">
        <v>356</v>
      </c>
      <c r="B126" s="1" t="s">
        <v>349</v>
      </c>
      <c r="C126" s="1" t="s">
        <v>13</v>
      </c>
      <c r="D126" s="1" t="n">
        <v>0.0031</v>
      </c>
      <c r="E126" s="1" t="n">
        <v>0.213</v>
      </c>
      <c r="F126" s="1" t="n">
        <v>0.2342</v>
      </c>
      <c r="G126" s="1" t="n">
        <v>43.7</v>
      </c>
      <c r="H126" s="1" t="n">
        <v>5.51</v>
      </c>
      <c r="I126" s="1" t="n">
        <v>0.17</v>
      </c>
      <c r="J126" s="1" t="n">
        <v>9.34</v>
      </c>
      <c r="K126" s="1" t="n">
        <v>26.9</v>
      </c>
      <c r="L126" s="1" t="n">
        <v>0.15</v>
      </c>
      <c r="M126" s="1" t="n">
        <v>4.83</v>
      </c>
      <c r="N126" s="1" t="n">
        <v>0.95</v>
      </c>
      <c r="O126" s="1" t="n">
        <v>0.11</v>
      </c>
      <c r="P126" s="1" t="n">
        <v>0.19</v>
      </c>
      <c r="Q126" s="1" t="n">
        <v>4.24</v>
      </c>
      <c r="R126" s="1" t="n">
        <v>96.5403</v>
      </c>
      <c r="S126" s="1" t="n">
        <v>0.0078</v>
      </c>
      <c r="T126" s="1" t="n">
        <v>0.061</v>
      </c>
      <c r="U126" s="1" t="n">
        <v>0.0188</v>
      </c>
      <c r="V126" s="1" t="n">
        <v>91</v>
      </c>
      <c r="W126" s="1" t="n">
        <v>514</v>
      </c>
      <c r="X126" s="1" t="n">
        <v>111</v>
      </c>
      <c r="Y126" s="1" t="n">
        <v>13983</v>
      </c>
      <c r="Z126" s="1" t="n">
        <v>708</v>
      </c>
      <c r="AA126" s="1" t="n">
        <v>-476</v>
      </c>
      <c r="AB126" s="1" t="n">
        <v>124.34</v>
      </c>
      <c r="AC126" s="1" t="s">
        <v>349</v>
      </c>
    </row>
    <row r="127" customFormat="false" ht="15" hidden="false" customHeight="false" outlineLevel="0" collapsed="false">
      <c r="A127" s="1" t="s">
        <v>357</v>
      </c>
      <c r="B127" s="1" t="s">
        <v>349</v>
      </c>
      <c r="C127" s="1" t="s">
        <v>13</v>
      </c>
      <c r="D127" s="1" t="n">
        <v>0.002</v>
      </c>
      <c r="E127" s="1" t="n">
        <v>0.235</v>
      </c>
      <c r="F127" s="1" t="n">
        <v>0.2318</v>
      </c>
      <c r="G127" s="1" t="n">
        <v>43.7</v>
      </c>
      <c r="H127" s="1" t="n">
        <v>5.51</v>
      </c>
      <c r="I127" s="1" t="n">
        <v>0.17</v>
      </c>
      <c r="J127" s="1" t="n">
        <v>9.34</v>
      </c>
      <c r="K127" s="1" t="n">
        <v>26.9</v>
      </c>
      <c r="L127" s="1" t="n">
        <v>0.15</v>
      </c>
      <c r="M127" s="1" t="n">
        <v>4.83</v>
      </c>
      <c r="N127" s="1" t="n">
        <v>0.95</v>
      </c>
      <c r="O127" s="1" t="n">
        <v>0.11</v>
      </c>
      <c r="P127" s="1" t="n">
        <v>0.19</v>
      </c>
      <c r="Q127" s="1" t="n">
        <v>4.24</v>
      </c>
      <c r="R127" s="1" t="n">
        <v>96.5588</v>
      </c>
      <c r="S127" s="1" t="n">
        <v>0.0078</v>
      </c>
      <c r="T127" s="1" t="n">
        <v>0.0633</v>
      </c>
      <c r="U127" s="1" t="n">
        <v>0.0187</v>
      </c>
      <c r="V127" s="1" t="n">
        <v>93</v>
      </c>
      <c r="W127" s="1" t="n">
        <v>526</v>
      </c>
      <c r="X127" s="1" t="n">
        <v>108</v>
      </c>
      <c r="Y127" s="1" t="n">
        <v>14009</v>
      </c>
      <c r="Z127" s="1" t="n">
        <v>655</v>
      </c>
      <c r="AA127" s="1" t="n">
        <v>-476</v>
      </c>
      <c r="AB127" s="1" t="n">
        <v>132.54</v>
      </c>
      <c r="AC127" s="1" t="s">
        <v>349</v>
      </c>
    </row>
    <row r="128" customFormat="false" ht="15" hidden="false" customHeight="false" outlineLevel="0" collapsed="false">
      <c r="A128" s="1" t="s">
        <v>132</v>
      </c>
      <c r="B128" s="1" t="s">
        <v>349</v>
      </c>
      <c r="C128" s="1" t="s">
        <v>13</v>
      </c>
      <c r="D128" s="1" t="n">
        <v>0.0003</v>
      </c>
      <c r="E128" s="1" t="n">
        <v>0.207</v>
      </c>
      <c r="F128" s="1" t="n">
        <v>0.2422</v>
      </c>
      <c r="G128" s="1" t="n">
        <v>43.7</v>
      </c>
      <c r="H128" s="1" t="n">
        <v>5.51</v>
      </c>
      <c r="I128" s="1" t="n">
        <v>0.17</v>
      </c>
      <c r="J128" s="1" t="n">
        <v>9.34</v>
      </c>
      <c r="K128" s="1" t="n">
        <v>26.9</v>
      </c>
      <c r="L128" s="1" t="n">
        <v>0.15</v>
      </c>
      <c r="M128" s="1" t="n">
        <v>4.83</v>
      </c>
      <c r="N128" s="1" t="n">
        <v>0.95</v>
      </c>
      <c r="O128" s="1" t="n">
        <v>0.11</v>
      </c>
      <c r="P128" s="1" t="n">
        <v>0.19</v>
      </c>
      <c r="Q128" s="1" t="n">
        <v>4.24</v>
      </c>
      <c r="R128" s="1" t="n">
        <v>96.5394</v>
      </c>
      <c r="S128" s="1" t="n">
        <v>0.0076</v>
      </c>
      <c r="T128" s="1" t="n">
        <v>0.0616</v>
      </c>
      <c r="U128" s="1" t="n">
        <v>0.019</v>
      </c>
      <c r="V128" s="1" t="n">
        <v>92</v>
      </c>
      <c r="W128" s="1" t="n">
        <v>531</v>
      </c>
      <c r="X128" s="1" t="n">
        <v>109</v>
      </c>
      <c r="Y128" s="1" t="n">
        <v>13877</v>
      </c>
      <c r="Z128" s="1" t="n">
        <v>643</v>
      </c>
      <c r="AA128" s="1" t="n">
        <v>-476</v>
      </c>
      <c r="AB128" s="1" t="n">
        <v>0</v>
      </c>
      <c r="AC128" s="1" t="s">
        <v>349</v>
      </c>
    </row>
    <row r="129" customFormat="false" ht="15" hidden="false" customHeight="false" outlineLevel="0" collapsed="false">
      <c r="A129" s="1" t="s">
        <v>358</v>
      </c>
      <c r="B129" s="1" t="s">
        <v>349</v>
      </c>
      <c r="C129" s="1" t="s">
        <v>13</v>
      </c>
      <c r="D129" s="1" t="n">
        <v>0.001</v>
      </c>
      <c r="E129" s="1" t="n">
        <v>0.2688</v>
      </c>
      <c r="F129" s="1" t="n">
        <v>0.2292</v>
      </c>
      <c r="G129" s="1" t="n">
        <v>43.7</v>
      </c>
      <c r="H129" s="1" t="n">
        <v>5.51</v>
      </c>
      <c r="I129" s="1" t="n">
        <v>0.17</v>
      </c>
      <c r="J129" s="1" t="n">
        <v>9.34</v>
      </c>
      <c r="K129" s="1" t="n">
        <v>26.9</v>
      </c>
      <c r="L129" s="1" t="n">
        <v>0.15</v>
      </c>
      <c r="M129" s="1" t="n">
        <v>4.83</v>
      </c>
      <c r="N129" s="1" t="n">
        <v>0.95</v>
      </c>
      <c r="O129" s="1" t="n">
        <v>0.11</v>
      </c>
      <c r="P129" s="1" t="n">
        <v>0.19</v>
      </c>
      <c r="Q129" s="1" t="n">
        <v>4.24</v>
      </c>
      <c r="R129" s="1" t="n">
        <v>96.5891</v>
      </c>
      <c r="S129" s="1" t="n">
        <v>0.008</v>
      </c>
      <c r="T129" s="1" t="n">
        <v>0.0626</v>
      </c>
      <c r="U129" s="1" t="n">
        <v>0.0189</v>
      </c>
      <c r="V129" s="1" t="n">
        <v>95</v>
      </c>
      <c r="W129" s="1" t="n">
        <v>469</v>
      </c>
      <c r="X129" s="1" t="n">
        <v>115</v>
      </c>
      <c r="Y129" s="1" t="n">
        <v>14311</v>
      </c>
      <c r="Z129" s="1" t="n">
        <v>-305</v>
      </c>
      <c r="AA129" s="1" t="n">
        <v>-477</v>
      </c>
      <c r="AB129" s="1" t="n">
        <v>1042.62</v>
      </c>
      <c r="AC129" s="1" t="s">
        <v>349</v>
      </c>
    </row>
    <row r="130" customFormat="false" ht="15" hidden="false" customHeight="false" outlineLevel="0" collapsed="false">
      <c r="A130" s="1" t="s">
        <v>359</v>
      </c>
      <c r="B130" s="1" t="s">
        <v>349</v>
      </c>
      <c r="C130" s="1" t="s">
        <v>13</v>
      </c>
      <c r="D130" s="1" t="n">
        <v>0.0041</v>
      </c>
      <c r="E130" s="1" t="n">
        <v>0.2538</v>
      </c>
      <c r="F130" s="1" t="n">
        <v>0.2382</v>
      </c>
      <c r="G130" s="1" t="n">
        <v>43.7</v>
      </c>
      <c r="H130" s="1" t="n">
        <v>5.51</v>
      </c>
      <c r="I130" s="1" t="n">
        <v>0.17</v>
      </c>
      <c r="J130" s="1" t="n">
        <v>9.34</v>
      </c>
      <c r="K130" s="1" t="n">
        <v>26.9</v>
      </c>
      <c r="L130" s="1" t="n">
        <v>0.15</v>
      </c>
      <c r="M130" s="1" t="n">
        <v>4.83</v>
      </c>
      <c r="N130" s="1" t="n">
        <v>0.95</v>
      </c>
      <c r="O130" s="1" t="n">
        <v>0.11</v>
      </c>
      <c r="P130" s="1" t="n">
        <v>0.19</v>
      </c>
      <c r="Q130" s="1" t="n">
        <v>4.24</v>
      </c>
      <c r="R130" s="1" t="n">
        <v>96.5861</v>
      </c>
      <c r="S130" s="1" t="n">
        <v>0.0077</v>
      </c>
      <c r="T130" s="1" t="n">
        <v>0.0655</v>
      </c>
      <c r="U130" s="1" t="n">
        <v>0.0189</v>
      </c>
      <c r="V130" s="1" t="n">
        <v>89</v>
      </c>
      <c r="W130" s="1" t="n">
        <v>541</v>
      </c>
      <c r="X130" s="1" t="n">
        <v>109</v>
      </c>
      <c r="Y130" s="1" t="n">
        <v>14411</v>
      </c>
      <c r="Z130" s="1" t="n">
        <v>-280</v>
      </c>
      <c r="AA130" s="1" t="n">
        <v>-477</v>
      </c>
      <c r="AB130" s="1" t="n">
        <v>1066.34</v>
      </c>
      <c r="AC130" s="1" t="s">
        <v>349</v>
      </c>
    </row>
    <row r="131" customFormat="false" ht="15" hidden="false" customHeight="false" outlineLevel="0" collapsed="false">
      <c r="A131" s="1" t="s">
        <v>360</v>
      </c>
      <c r="B131" s="1" t="s">
        <v>349</v>
      </c>
      <c r="C131" s="1" t="s">
        <v>13</v>
      </c>
      <c r="D131" s="1" t="n">
        <v>0.0068</v>
      </c>
      <c r="E131" s="1" t="n">
        <v>0.2209</v>
      </c>
      <c r="F131" s="1" t="n">
        <v>0.2312</v>
      </c>
      <c r="G131" s="1" t="n">
        <v>43.7</v>
      </c>
      <c r="H131" s="1" t="n">
        <v>5.51</v>
      </c>
      <c r="I131" s="1" t="n">
        <v>0.17</v>
      </c>
      <c r="J131" s="1" t="n">
        <v>9.34</v>
      </c>
      <c r="K131" s="1" t="n">
        <v>26.9</v>
      </c>
      <c r="L131" s="1" t="n">
        <v>0.15</v>
      </c>
      <c r="M131" s="1" t="n">
        <v>4.83</v>
      </c>
      <c r="N131" s="1" t="n">
        <v>0.95</v>
      </c>
      <c r="O131" s="1" t="n">
        <v>0.11</v>
      </c>
      <c r="P131" s="1" t="n">
        <v>0.19</v>
      </c>
      <c r="Q131" s="1" t="n">
        <v>4.24</v>
      </c>
      <c r="R131" s="1" t="n">
        <v>96.5488</v>
      </c>
      <c r="S131" s="1" t="n">
        <v>0.0079</v>
      </c>
      <c r="T131" s="1" t="n">
        <v>0.0613</v>
      </c>
      <c r="U131" s="1" t="n">
        <v>0.0185</v>
      </c>
      <c r="V131" s="1" t="n">
        <v>89</v>
      </c>
      <c r="W131" s="1" t="n">
        <v>509</v>
      </c>
      <c r="X131" s="1" t="n">
        <v>105</v>
      </c>
      <c r="Y131" s="1" t="n">
        <v>14479</v>
      </c>
      <c r="Z131" s="1" t="n">
        <v>-562</v>
      </c>
      <c r="AA131" s="1" t="n">
        <v>-477</v>
      </c>
      <c r="AB131" s="1" t="n">
        <v>1347.01</v>
      </c>
      <c r="AC131" s="1" t="s">
        <v>349</v>
      </c>
    </row>
    <row r="132" customFormat="false" ht="15" hidden="false" customHeight="false" outlineLevel="0" collapsed="false">
      <c r="A132" s="1" t="s">
        <v>361</v>
      </c>
      <c r="B132" s="1" t="s">
        <v>349</v>
      </c>
      <c r="C132" s="1" t="s">
        <v>13</v>
      </c>
      <c r="D132" s="1" t="n">
        <v>0.0054</v>
      </c>
      <c r="E132" s="1" t="n">
        <v>0.2429</v>
      </c>
      <c r="F132" s="1" t="n">
        <v>0.2285</v>
      </c>
      <c r="G132" s="1" t="n">
        <v>43.7</v>
      </c>
      <c r="H132" s="1" t="n">
        <v>5.51</v>
      </c>
      <c r="I132" s="1" t="n">
        <v>0.17</v>
      </c>
      <c r="J132" s="1" t="n">
        <v>9.34</v>
      </c>
      <c r="K132" s="1" t="n">
        <v>26.9</v>
      </c>
      <c r="L132" s="1" t="n">
        <v>0.15</v>
      </c>
      <c r="M132" s="1" t="n">
        <v>4.83</v>
      </c>
      <c r="N132" s="1" t="n">
        <v>0.95</v>
      </c>
      <c r="O132" s="1" t="n">
        <v>0.11</v>
      </c>
      <c r="P132" s="1" t="n">
        <v>0.19</v>
      </c>
      <c r="Q132" s="1" t="n">
        <v>4.24</v>
      </c>
      <c r="R132" s="1" t="n">
        <v>96.5668</v>
      </c>
      <c r="S132" s="1" t="n">
        <v>0.0079</v>
      </c>
      <c r="T132" s="1" t="n">
        <v>0.0624</v>
      </c>
      <c r="U132" s="1" t="n">
        <v>0.0186</v>
      </c>
      <c r="V132" s="1" t="n">
        <v>90</v>
      </c>
      <c r="W132" s="1" t="n">
        <v>501</v>
      </c>
      <c r="X132" s="1" t="n">
        <v>109</v>
      </c>
      <c r="Y132" s="1" t="n">
        <v>14580</v>
      </c>
      <c r="Z132" s="1" t="n">
        <v>-586</v>
      </c>
      <c r="AA132" s="1" t="n">
        <v>-477</v>
      </c>
      <c r="AB132" s="1" t="n">
        <v>1415.86</v>
      </c>
      <c r="AC132" s="1" t="s">
        <v>349</v>
      </c>
    </row>
    <row r="133" customFormat="false" ht="15" hidden="false" customHeight="false" outlineLevel="0" collapsed="false">
      <c r="A133" s="1" t="s">
        <v>133</v>
      </c>
      <c r="B133" s="1" t="s">
        <v>349</v>
      </c>
      <c r="C133" s="1" t="s">
        <v>13</v>
      </c>
      <c r="D133" s="1" t="n">
        <v>0.0026</v>
      </c>
      <c r="E133" s="1" t="n">
        <v>0.2079</v>
      </c>
      <c r="F133" s="1" t="n">
        <v>0.2296</v>
      </c>
      <c r="G133" s="1" t="n">
        <v>43.7</v>
      </c>
      <c r="H133" s="1" t="n">
        <v>5.51</v>
      </c>
      <c r="I133" s="1" t="n">
        <v>0.17</v>
      </c>
      <c r="J133" s="1" t="n">
        <v>9.34</v>
      </c>
      <c r="K133" s="1" t="n">
        <v>26.9</v>
      </c>
      <c r="L133" s="1" t="n">
        <v>0.15</v>
      </c>
      <c r="M133" s="1" t="n">
        <v>4.83</v>
      </c>
      <c r="N133" s="1" t="n">
        <v>0.95</v>
      </c>
      <c r="O133" s="1" t="n">
        <v>0.11</v>
      </c>
      <c r="P133" s="1" t="n">
        <v>0.19</v>
      </c>
      <c r="Q133" s="1" t="n">
        <v>4.24</v>
      </c>
      <c r="R133" s="1" t="n">
        <v>96.5301</v>
      </c>
      <c r="S133" s="1" t="n">
        <v>0.0076</v>
      </c>
      <c r="T133" s="1" t="n">
        <v>0.0599</v>
      </c>
      <c r="U133" s="1" t="n">
        <v>0.0188</v>
      </c>
      <c r="V133" s="1" t="n">
        <v>89</v>
      </c>
      <c r="W133" s="1" t="n">
        <v>501</v>
      </c>
      <c r="X133" s="1" t="n">
        <v>113</v>
      </c>
      <c r="Y133" s="1" t="n">
        <v>13877</v>
      </c>
      <c r="Z133" s="1" t="n">
        <v>643</v>
      </c>
      <c r="AA133" s="1" t="n">
        <v>-476</v>
      </c>
      <c r="AB133" s="1" t="n">
        <v>0</v>
      </c>
      <c r="AC133" s="1" t="s">
        <v>349</v>
      </c>
    </row>
    <row r="134" customFormat="false" ht="15" hidden="false" customHeight="false" outlineLevel="0" collapsed="false">
      <c r="A134" s="1" t="s">
        <v>362</v>
      </c>
      <c r="B134" s="1" t="s">
        <v>349</v>
      </c>
      <c r="C134" s="1" t="s">
        <v>13</v>
      </c>
      <c r="D134" s="1" t="n">
        <v>0.0032</v>
      </c>
      <c r="E134" s="1" t="n">
        <v>0.2767</v>
      </c>
      <c r="F134" s="1" t="n">
        <v>0.2267</v>
      </c>
      <c r="G134" s="1" t="n">
        <v>43.7</v>
      </c>
      <c r="H134" s="1" t="n">
        <v>5.51</v>
      </c>
      <c r="I134" s="1" t="n">
        <v>0.17</v>
      </c>
      <c r="J134" s="1" t="n">
        <v>9.34</v>
      </c>
      <c r="K134" s="1" t="n">
        <v>26.9</v>
      </c>
      <c r="L134" s="1" t="n">
        <v>0.15</v>
      </c>
      <c r="M134" s="1" t="n">
        <v>4.83</v>
      </c>
      <c r="N134" s="1" t="n">
        <v>0.95</v>
      </c>
      <c r="O134" s="1" t="n">
        <v>0.11</v>
      </c>
      <c r="P134" s="1" t="n">
        <v>0.19</v>
      </c>
      <c r="Q134" s="1" t="n">
        <v>4.24</v>
      </c>
      <c r="R134" s="1" t="n">
        <v>96.5966</v>
      </c>
      <c r="S134" s="1" t="n">
        <v>0.008</v>
      </c>
      <c r="T134" s="1" t="n">
        <v>0.0643</v>
      </c>
      <c r="U134" s="1" t="n">
        <v>0.0188</v>
      </c>
      <c r="V134" s="1" t="n">
        <v>93</v>
      </c>
      <c r="W134" s="1" t="n">
        <v>490</v>
      </c>
      <c r="X134" s="1" t="n">
        <v>116</v>
      </c>
      <c r="Y134" s="1" t="n">
        <v>14640</v>
      </c>
      <c r="Z134" s="1" t="n">
        <v>-982</v>
      </c>
      <c r="AA134" s="1" t="n">
        <v>-477</v>
      </c>
      <c r="AB134" s="1" t="n">
        <v>1795.21</v>
      </c>
      <c r="AC134" s="1" t="s">
        <v>349</v>
      </c>
    </row>
    <row r="135" customFormat="false" ht="15" hidden="false" customHeight="false" outlineLevel="0" collapsed="false">
      <c r="A135" s="1" t="s">
        <v>363</v>
      </c>
      <c r="B135" s="1" t="s">
        <v>349</v>
      </c>
      <c r="C135" s="1" t="s">
        <v>13</v>
      </c>
      <c r="D135" s="1" t="n">
        <v>0.0088</v>
      </c>
      <c r="E135" s="1" t="n">
        <v>0.2269</v>
      </c>
      <c r="F135" s="1" t="n">
        <v>0.2259</v>
      </c>
      <c r="G135" s="1" t="n">
        <v>43.7</v>
      </c>
      <c r="H135" s="1" t="n">
        <v>5.51</v>
      </c>
      <c r="I135" s="1" t="n">
        <v>0.17</v>
      </c>
      <c r="J135" s="1" t="n">
        <v>9.34</v>
      </c>
      <c r="K135" s="1" t="n">
        <v>26.9</v>
      </c>
      <c r="L135" s="1" t="n">
        <v>0.15</v>
      </c>
      <c r="M135" s="1" t="n">
        <v>4.83</v>
      </c>
      <c r="N135" s="1" t="n">
        <v>0.95</v>
      </c>
      <c r="O135" s="1" t="n">
        <v>0.11</v>
      </c>
      <c r="P135" s="1" t="n">
        <v>0.19</v>
      </c>
      <c r="Q135" s="1" t="n">
        <v>4.24</v>
      </c>
      <c r="R135" s="1" t="n">
        <v>96.5516</v>
      </c>
      <c r="S135" s="1" t="n">
        <v>0.0078</v>
      </c>
      <c r="T135" s="1" t="n">
        <v>0.0619</v>
      </c>
      <c r="U135" s="1" t="n">
        <v>0.0185</v>
      </c>
      <c r="V135" s="1" t="n">
        <v>86</v>
      </c>
      <c r="W135" s="1" t="n">
        <v>511</v>
      </c>
      <c r="X135" s="1" t="n">
        <v>108</v>
      </c>
      <c r="Y135" s="1" t="n">
        <v>14594</v>
      </c>
      <c r="Z135" s="1" t="n">
        <v>-1033</v>
      </c>
      <c r="AA135" s="1" t="n">
        <v>-477</v>
      </c>
      <c r="AB135" s="1" t="n">
        <v>1822.93</v>
      </c>
      <c r="AC135" s="1" t="s">
        <v>349</v>
      </c>
    </row>
    <row r="136" customFormat="false" ht="15" hidden="false" customHeight="false" outlineLevel="0" collapsed="false">
      <c r="A136" s="1" t="s">
        <v>364</v>
      </c>
      <c r="B136" s="1" t="s">
        <v>349</v>
      </c>
      <c r="C136" s="1" t="s">
        <v>13</v>
      </c>
      <c r="D136" s="1" t="n">
        <v>0.008</v>
      </c>
      <c r="E136" s="1" t="n">
        <v>0.2348</v>
      </c>
      <c r="F136" s="1" t="n">
        <v>0.2302</v>
      </c>
      <c r="G136" s="1" t="n">
        <v>43.7</v>
      </c>
      <c r="H136" s="1" t="n">
        <v>5.51</v>
      </c>
      <c r="I136" s="1" t="n">
        <v>0.17</v>
      </c>
      <c r="J136" s="1" t="n">
        <v>9.34</v>
      </c>
      <c r="K136" s="1" t="n">
        <v>26.9</v>
      </c>
      <c r="L136" s="1" t="n">
        <v>0.15</v>
      </c>
      <c r="M136" s="1" t="n">
        <v>4.83</v>
      </c>
      <c r="N136" s="1" t="n">
        <v>0.95</v>
      </c>
      <c r="O136" s="1" t="n">
        <v>0.11</v>
      </c>
      <c r="P136" s="1" t="n">
        <v>0.19</v>
      </c>
      <c r="Q136" s="1" t="n">
        <v>4.24</v>
      </c>
      <c r="R136" s="1" t="n">
        <v>96.5631</v>
      </c>
      <c r="S136" s="1" t="n">
        <v>0.0076</v>
      </c>
      <c r="T136" s="1" t="n">
        <v>0.064</v>
      </c>
      <c r="U136" s="1" t="n">
        <v>0.0188</v>
      </c>
      <c r="V136" s="1" t="n">
        <v>83</v>
      </c>
      <c r="W136" s="1" t="n">
        <v>538</v>
      </c>
      <c r="X136" s="1" t="n">
        <v>112</v>
      </c>
      <c r="Y136" s="1" t="n">
        <v>14603</v>
      </c>
      <c r="Z136" s="1" t="n">
        <v>-1050</v>
      </c>
      <c r="AA136" s="1" t="n">
        <v>-477</v>
      </c>
      <c r="AB136" s="1" t="n">
        <v>1842.1</v>
      </c>
      <c r="AC136" s="1" t="s">
        <v>349</v>
      </c>
    </row>
    <row r="137" customFormat="false" ht="15" hidden="false" customHeight="false" outlineLevel="0" collapsed="false">
      <c r="A137" s="1" t="s">
        <v>365</v>
      </c>
      <c r="B137" s="1" t="s">
        <v>349</v>
      </c>
      <c r="C137" s="1" t="s">
        <v>13</v>
      </c>
      <c r="D137" s="1" t="n">
        <v>0.0046</v>
      </c>
      <c r="E137" s="1" t="n">
        <v>0.2298</v>
      </c>
      <c r="F137" s="1" t="n">
        <v>0.2379</v>
      </c>
      <c r="G137" s="1" t="n">
        <v>43.7</v>
      </c>
      <c r="H137" s="1" t="n">
        <v>5.51</v>
      </c>
      <c r="I137" s="1" t="n">
        <v>0.17</v>
      </c>
      <c r="J137" s="1" t="n">
        <v>9.34</v>
      </c>
      <c r="K137" s="1" t="n">
        <v>26.9</v>
      </c>
      <c r="L137" s="1" t="n">
        <v>0.15</v>
      </c>
      <c r="M137" s="1" t="n">
        <v>4.83</v>
      </c>
      <c r="N137" s="1" t="n">
        <v>0.95</v>
      </c>
      <c r="O137" s="1" t="n">
        <v>0.11</v>
      </c>
      <c r="P137" s="1" t="n">
        <v>0.19</v>
      </c>
      <c r="Q137" s="1" t="n">
        <v>4.24</v>
      </c>
      <c r="R137" s="1" t="n">
        <v>96.5623</v>
      </c>
      <c r="S137" s="1" t="n">
        <v>0.0077</v>
      </c>
      <c r="T137" s="1" t="n">
        <v>0.0612</v>
      </c>
      <c r="U137" s="1" t="n">
        <v>0.0189</v>
      </c>
      <c r="V137" s="1" t="n">
        <v>89</v>
      </c>
      <c r="W137" s="1" t="n">
        <v>496</v>
      </c>
      <c r="X137" s="1" t="n">
        <v>110</v>
      </c>
      <c r="Y137" s="1" t="n">
        <v>14815</v>
      </c>
      <c r="Z137" s="1" t="n">
        <v>-1182</v>
      </c>
      <c r="AA137" s="1" t="n">
        <v>-477</v>
      </c>
      <c r="AB137" s="1" t="n">
        <v>2051.94</v>
      </c>
      <c r="AC137" s="1" t="s">
        <v>349</v>
      </c>
    </row>
    <row r="138" customFormat="false" ht="15" hidden="false" customHeight="false" outlineLevel="0" collapsed="false">
      <c r="A138" s="1" t="s">
        <v>134</v>
      </c>
      <c r="B138" s="1" t="s">
        <v>349</v>
      </c>
      <c r="C138" s="1" t="s">
        <v>366</v>
      </c>
      <c r="D138" s="1" t="n">
        <v>0.007</v>
      </c>
      <c r="E138" s="1" t="n">
        <v>0.23</v>
      </c>
      <c r="F138" s="1" t="n">
        <v>0.2378</v>
      </c>
      <c r="G138" s="1" t="n">
        <v>43.7</v>
      </c>
      <c r="H138" s="1" t="n">
        <v>5.51</v>
      </c>
      <c r="I138" s="1" t="n">
        <v>0.17</v>
      </c>
      <c r="J138" s="1" t="n">
        <v>9.34</v>
      </c>
      <c r="K138" s="1" t="n">
        <v>26.9</v>
      </c>
      <c r="L138" s="1" t="n">
        <v>0.15</v>
      </c>
      <c r="M138" s="1" t="n">
        <v>4.83</v>
      </c>
      <c r="N138" s="1" t="n">
        <v>0.95</v>
      </c>
      <c r="O138" s="1" t="n">
        <v>0.11</v>
      </c>
      <c r="P138" s="1" t="n">
        <v>0.19</v>
      </c>
      <c r="Q138" s="1" t="n">
        <v>4.24</v>
      </c>
      <c r="R138" s="1" t="n">
        <v>96.5647</v>
      </c>
      <c r="S138" s="1" t="n">
        <v>0.0048</v>
      </c>
      <c r="T138" s="1" t="n">
        <v>0.0374</v>
      </c>
      <c r="U138" s="1" t="n">
        <v>0.012</v>
      </c>
      <c r="V138" s="1" t="n">
        <v>54</v>
      </c>
      <c r="W138" s="1" t="n">
        <v>298</v>
      </c>
      <c r="X138" s="1" t="n">
        <v>65</v>
      </c>
      <c r="Y138" s="1" t="n">
        <v>14022</v>
      </c>
      <c r="Z138" s="1" t="n">
        <v>-1126</v>
      </c>
      <c r="AA138" s="1" t="n">
        <v>-477</v>
      </c>
      <c r="AB138" s="1" t="n">
        <v>0</v>
      </c>
      <c r="AC138" s="1" t="s">
        <v>349</v>
      </c>
    </row>
    <row r="139" customFormat="false" ht="15" hidden="false" customHeight="false" outlineLevel="0" collapsed="false">
      <c r="A139" s="1" t="s">
        <v>205</v>
      </c>
      <c r="B139" s="1" t="s">
        <v>349</v>
      </c>
      <c r="C139" s="1" t="s">
        <v>366</v>
      </c>
      <c r="D139" s="1" t="n">
        <v>0.0025</v>
      </c>
      <c r="E139" s="1" t="n">
        <v>0.2257</v>
      </c>
      <c r="F139" s="1" t="n">
        <v>0.2323</v>
      </c>
      <c r="G139" s="1" t="n">
        <v>43.7</v>
      </c>
      <c r="H139" s="1" t="n">
        <v>5.51</v>
      </c>
      <c r="I139" s="1" t="n">
        <v>0.17</v>
      </c>
      <c r="J139" s="1" t="n">
        <v>9.34</v>
      </c>
      <c r="K139" s="1" t="n">
        <v>26.9</v>
      </c>
      <c r="L139" s="1" t="n">
        <v>0.15</v>
      </c>
      <c r="M139" s="1" t="n">
        <v>4.83</v>
      </c>
      <c r="N139" s="1" t="n">
        <v>0.95</v>
      </c>
      <c r="O139" s="1" t="n">
        <v>0.11</v>
      </c>
      <c r="P139" s="1" t="n">
        <v>0.19</v>
      </c>
      <c r="Q139" s="1" t="n">
        <v>4.24</v>
      </c>
      <c r="R139" s="1" t="n">
        <v>96.5505</v>
      </c>
      <c r="S139" s="1" t="n">
        <v>0.0046</v>
      </c>
      <c r="T139" s="1" t="n">
        <v>0.0373</v>
      </c>
      <c r="U139" s="1" t="n">
        <v>0.012</v>
      </c>
      <c r="V139" s="1" t="n">
        <v>54</v>
      </c>
      <c r="W139" s="1" t="n">
        <v>300</v>
      </c>
      <c r="X139" s="1" t="n">
        <v>67</v>
      </c>
      <c r="Y139" s="1" t="n">
        <v>13974</v>
      </c>
      <c r="Z139" s="1" t="n">
        <v>-1172</v>
      </c>
      <c r="AA139" s="1" t="n">
        <v>-477</v>
      </c>
      <c r="AB139" s="1" t="n">
        <v>66.48</v>
      </c>
      <c r="AC139" s="1" t="s">
        <v>349</v>
      </c>
    </row>
    <row r="140" customFormat="false" ht="15" hidden="false" customHeight="false" outlineLevel="0" collapsed="false">
      <c r="A140" s="1" t="s">
        <v>206</v>
      </c>
      <c r="B140" s="1" t="s">
        <v>349</v>
      </c>
      <c r="C140" s="1" t="s">
        <v>366</v>
      </c>
      <c r="D140" s="1" t="n">
        <v>0.0052</v>
      </c>
      <c r="E140" s="1" t="n">
        <v>0.2157</v>
      </c>
      <c r="F140" s="1" t="n">
        <v>0.227</v>
      </c>
      <c r="G140" s="1" t="n">
        <v>43.7</v>
      </c>
      <c r="H140" s="1" t="n">
        <v>5.51</v>
      </c>
      <c r="I140" s="1" t="n">
        <v>0.17</v>
      </c>
      <c r="J140" s="1" t="n">
        <v>9.34</v>
      </c>
      <c r="K140" s="1" t="n">
        <v>26.9</v>
      </c>
      <c r="L140" s="1" t="n">
        <v>0.15</v>
      </c>
      <c r="M140" s="1" t="n">
        <v>4.83</v>
      </c>
      <c r="N140" s="1" t="n">
        <v>0.95</v>
      </c>
      <c r="O140" s="1" t="n">
        <v>0.11</v>
      </c>
      <c r="P140" s="1" t="n">
        <v>0.19</v>
      </c>
      <c r="Q140" s="1" t="n">
        <v>4.24</v>
      </c>
      <c r="R140" s="1" t="n">
        <v>96.538</v>
      </c>
      <c r="S140" s="1" t="n">
        <v>0.0048</v>
      </c>
      <c r="T140" s="1" t="n">
        <v>0.0372</v>
      </c>
      <c r="U140" s="1" t="n">
        <v>0.0119</v>
      </c>
      <c r="V140" s="1" t="n">
        <v>54</v>
      </c>
      <c r="W140" s="1" t="n">
        <v>306</v>
      </c>
      <c r="X140" s="1" t="n">
        <v>68</v>
      </c>
      <c r="Y140" s="1" t="n">
        <v>13966</v>
      </c>
      <c r="Z140" s="1" t="n">
        <v>-1138</v>
      </c>
      <c r="AA140" s="1" t="n">
        <v>-477</v>
      </c>
      <c r="AB140" s="1" t="n">
        <v>57.27</v>
      </c>
      <c r="AC140" s="1" t="s">
        <v>349</v>
      </c>
    </row>
    <row r="141" customFormat="false" ht="15" hidden="false" customHeight="false" outlineLevel="0" collapsed="false">
      <c r="A141" s="1" t="s">
        <v>207</v>
      </c>
      <c r="B141" s="1" t="s">
        <v>349</v>
      </c>
      <c r="C141" s="1" t="s">
        <v>366</v>
      </c>
      <c r="D141" s="1" t="n">
        <v>0.0067</v>
      </c>
      <c r="E141" s="1" t="n">
        <v>0.2356</v>
      </c>
      <c r="F141" s="1" t="n">
        <v>0.2246</v>
      </c>
      <c r="G141" s="1" t="n">
        <v>43.7</v>
      </c>
      <c r="H141" s="1" t="n">
        <v>5.51</v>
      </c>
      <c r="I141" s="1" t="n">
        <v>0.17</v>
      </c>
      <c r="J141" s="1" t="n">
        <v>9.34</v>
      </c>
      <c r="K141" s="1" t="n">
        <v>26.9</v>
      </c>
      <c r="L141" s="1" t="n">
        <v>0.15</v>
      </c>
      <c r="M141" s="1" t="n">
        <v>4.83</v>
      </c>
      <c r="N141" s="1" t="n">
        <v>0.95</v>
      </c>
      <c r="O141" s="1" t="n">
        <v>0.11</v>
      </c>
      <c r="P141" s="1" t="n">
        <v>0.19</v>
      </c>
      <c r="Q141" s="1" t="n">
        <v>4.24</v>
      </c>
      <c r="R141" s="1" t="n">
        <v>96.5569</v>
      </c>
      <c r="S141" s="1" t="n">
        <v>0.0047</v>
      </c>
      <c r="T141" s="1" t="n">
        <v>0.0378</v>
      </c>
      <c r="U141" s="1" t="n">
        <v>0.0119</v>
      </c>
      <c r="V141" s="1" t="n">
        <v>53</v>
      </c>
      <c r="W141" s="1" t="n">
        <v>301</v>
      </c>
      <c r="X141" s="1" t="n">
        <v>69</v>
      </c>
      <c r="Y141" s="1" t="n">
        <v>13938</v>
      </c>
      <c r="Z141" s="1" t="n">
        <v>-1107</v>
      </c>
      <c r="AA141" s="1" t="n">
        <v>-477</v>
      </c>
      <c r="AB141" s="1" t="n">
        <v>86.12</v>
      </c>
      <c r="AC141" s="1" t="s">
        <v>349</v>
      </c>
    </row>
    <row r="142" customFormat="false" ht="15" hidden="false" customHeight="false" outlineLevel="0" collapsed="false">
      <c r="A142" s="1" t="s">
        <v>208</v>
      </c>
      <c r="B142" s="1" t="s">
        <v>349</v>
      </c>
      <c r="C142" s="1" t="s">
        <v>366</v>
      </c>
      <c r="D142" s="1" t="n">
        <v>0.0036</v>
      </c>
      <c r="E142" s="1" t="n">
        <v>0.21</v>
      </c>
      <c r="F142" s="1" t="n">
        <v>0.2289</v>
      </c>
      <c r="G142" s="1" t="n">
        <v>43.7</v>
      </c>
      <c r="H142" s="1" t="n">
        <v>5.51</v>
      </c>
      <c r="I142" s="1" t="n">
        <v>0.17</v>
      </c>
      <c r="J142" s="1" t="n">
        <v>9.34</v>
      </c>
      <c r="K142" s="1" t="n">
        <v>26.9</v>
      </c>
      <c r="L142" s="1" t="n">
        <v>0.15</v>
      </c>
      <c r="M142" s="1" t="n">
        <v>4.83</v>
      </c>
      <c r="N142" s="1" t="n">
        <v>0.95</v>
      </c>
      <c r="O142" s="1" t="n">
        <v>0.11</v>
      </c>
      <c r="P142" s="1" t="n">
        <v>0.19</v>
      </c>
      <c r="Q142" s="1" t="n">
        <v>4.24</v>
      </c>
      <c r="R142" s="1" t="n">
        <v>96.5325</v>
      </c>
      <c r="S142" s="1" t="n">
        <v>0.0047</v>
      </c>
      <c r="T142" s="1" t="n">
        <v>0.0366</v>
      </c>
      <c r="U142" s="1" t="n">
        <v>0.0119</v>
      </c>
      <c r="V142" s="1" t="n">
        <v>54</v>
      </c>
      <c r="W142" s="1" t="n">
        <v>301</v>
      </c>
      <c r="X142" s="1" t="n">
        <v>67</v>
      </c>
      <c r="Y142" s="1" t="n">
        <v>13878</v>
      </c>
      <c r="Z142" s="1" t="n">
        <v>-1035</v>
      </c>
      <c r="AA142" s="1" t="n">
        <v>-477</v>
      </c>
      <c r="AB142" s="1" t="n">
        <v>170.34</v>
      </c>
      <c r="AC142" s="1" t="s">
        <v>349</v>
      </c>
    </row>
    <row r="143" customFormat="false" ht="15" hidden="false" customHeight="false" outlineLevel="0" collapsed="false">
      <c r="C143" s="1" t="s">
        <v>43</v>
      </c>
      <c r="D143" s="5" t="n">
        <f aca="false">AVERAGE(D138:D142)*10000</f>
        <v>50</v>
      </c>
      <c r="E143" s="5" t="n">
        <f aca="false">AVERAGE(E138:E142)*10000</f>
        <v>2234</v>
      </c>
      <c r="F143" s="5" t="n">
        <f aca="false">AVERAGE(F138:F142)*10000</f>
        <v>2301.2</v>
      </c>
      <c r="S143" s="5" t="n">
        <f aca="false">AVERAGE(S138:S142)*10000</f>
        <v>47.2</v>
      </c>
      <c r="T143" s="5" t="n">
        <f aca="false">AVERAGE(T138:T142)*10000</f>
        <v>372.6</v>
      </c>
      <c r="U143" s="5" t="n">
        <f aca="false">AVERAGE(U138:U142)*10000</f>
        <v>119.4</v>
      </c>
      <c r="V143" s="5" t="n">
        <f aca="false">AVERAGE(V138:V142)</f>
        <v>53.8</v>
      </c>
      <c r="W143" s="5" t="n">
        <f aca="false">AVERAGE(W138:W142)</f>
        <v>301.2</v>
      </c>
      <c r="X143" s="5" t="n">
        <f aca="false">AVERAGE(X138:X142)</f>
        <v>67.2</v>
      </c>
    </row>
    <row r="144" customFormat="false" ht="15" hidden="false" customHeight="false" outlineLevel="0" collapsed="false">
      <c r="C144" s="1" t="s">
        <v>44</v>
      </c>
      <c r="D144" s="5" t="n">
        <f aca="false">_xlfn.STDEV.P(D138:D142)*2*10000</f>
        <v>34.8022987746499</v>
      </c>
      <c r="E144" s="5" t="n">
        <f aca="false">_xlfn.STDEV.P(E138:E142)*2*10000</f>
        <v>186.877499983278</v>
      </c>
      <c r="F144" s="5" t="n">
        <f aca="false">_xlfn.STDEV.P(F138:F142)*2*10000</f>
        <v>91.8381184476251</v>
      </c>
    </row>
    <row r="145" customFormat="false" ht="15" hidden="false" customHeight="false" outlineLevel="0" collapsed="false">
      <c r="C145" s="1" t="s">
        <v>45</v>
      </c>
      <c r="D145" s="5" t="n">
        <f aca="false">S143/3*2</f>
        <v>31.4666666666667</v>
      </c>
      <c r="E145" s="5" t="n">
        <f aca="false">T143/3*2</f>
        <v>248.4</v>
      </c>
      <c r="F145" s="5" t="n">
        <f aca="false">U143/3*2</f>
        <v>79.6</v>
      </c>
    </row>
    <row r="146" customFormat="false" ht="15" hidden="false" customHeight="false" outlineLevel="0" collapsed="false">
      <c r="C146" s="1" t="s">
        <v>46</v>
      </c>
      <c r="D146" s="5" t="n">
        <f aca="false">V143</f>
        <v>53.8</v>
      </c>
      <c r="E146" s="5" t="n">
        <f aca="false">W143</f>
        <v>301.2</v>
      </c>
      <c r="F146" s="5" t="n">
        <f aca="false">X143</f>
        <v>67.2</v>
      </c>
    </row>
    <row r="148" customFormat="false" ht="15" hidden="false" customHeight="false" outlineLevel="0" collapsed="false">
      <c r="A148" s="1" t="s">
        <v>135</v>
      </c>
      <c r="B148" s="1" t="s">
        <v>367</v>
      </c>
      <c r="C148" s="1" t="s">
        <v>11</v>
      </c>
      <c r="D148" s="1" t="n">
        <v>0.0106</v>
      </c>
      <c r="E148" s="1" t="n">
        <v>0.1749</v>
      </c>
      <c r="F148" s="1" t="n">
        <v>0.1523</v>
      </c>
      <c r="G148" s="1" t="n">
        <v>43.7</v>
      </c>
      <c r="H148" s="1" t="n">
        <v>5.51</v>
      </c>
      <c r="I148" s="1" t="n">
        <v>0.17</v>
      </c>
      <c r="J148" s="1" t="n">
        <v>9.34</v>
      </c>
      <c r="K148" s="1" t="n">
        <v>26.9</v>
      </c>
      <c r="L148" s="1" t="n">
        <v>0.15</v>
      </c>
      <c r="M148" s="1" t="n">
        <v>4.83</v>
      </c>
      <c r="N148" s="1" t="n">
        <v>0.95</v>
      </c>
      <c r="O148" s="1" t="n">
        <v>0.11</v>
      </c>
      <c r="P148" s="1" t="n">
        <v>0.19</v>
      </c>
      <c r="Q148" s="1" t="n">
        <v>4.24</v>
      </c>
      <c r="R148" s="1" t="n">
        <v>96.4278</v>
      </c>
      <c r="S148" s="1" t="n">
        <v>0.0054</v>
      </c>
      <c r="T148" s="1" t="n">
        <v>0.0362</v>
      </c>
      <c r="U148" s="1" t="n">
        <v>0.0102</v>
      </c>
      <c r="V148" s="1" t="n">
        <v>58</v>
      </c>
      <c r="W148" s="1" t="n">
        <v>316</v>
      </c>
      <c r="X148" s="1" t="n">
        <v>68</v>
      </c>
      <c r="Y148" s="1" t="n">
        <v>-12711</v>
      </c>
      <c r="Z148" s="1" t="n">
        <v>-20479</v>
      </c>
      <c r="AA148" s="1" t="n">
        <v>-460</v>
      </c>
      <c r="AB148" s="1" t="n">
        <v>0</v>
      </c>
      <c r="AC148" s="1" t="s">
        <v>367</v>
      </c>
    </row>
    <row r="149" customFormat="false" ht="15" hidden="false" customHeight="false" outlineLevel="0" collapsed="false">
      <c r="A149" s="1" t="s">
        <v>368</v>
      </c>
      <c r="B149" s="1" t="s">
        <v>367</v>
      </c>
      <c r="C149" s="1" t="s">
        <v>11</v>
      </c>
      <c r="D149" s="1" t="n">
        <v>0.0099</v>
      </c>
      <c r="E149" s="1" t="n">
        <v>0.1709</v>
      </c>
      <c r="F149" s="1" t="n">
        <v>0.1543</v>
      </c>
      <c r="G149" s="1" t="n">
        <v>43.7</v>
      </c>
      <c r="H149" s="1" t="n">
        <v>5.51</v>
      </c>
      <c r="I149" s="1" t="n">
        <v>0.17</v>
      </c>
      <c r="J149" s="1" t="n">
        <v>9.34</v>
      </c>
      <c r="K149" s="1" t="n">
        <v>26.9</v>
      </c>
      <c r="L149" s="1" t="n">
        <v>0.15</v>
      </c>
      <c r="M149" s="1" t="n">
        <v>4.83</v>
      </c>
      <c r="N149" s="1" t="n">
        <v>0.95</v>
      </c>
      <c r="O149" s="1" t="n">
        <v>0.11</v>
      </c>
      <c r="P149" s="1" t="n">
        <v>0.19</v>
      </c>
      <c r="Q149" s="1" t="n">
        <v>4.24</v>
      </c>
      <c r="R149" s="1" t="n">
        <v>96.4251</v>
      </c>
      <c r="S149" s="1" t="n">
        <v>0.0052</v>
      </c>
      <c r="T149" s="1" t="n">
        <v>0.0358</v>
      </c>
      <c r="U149" s="1" t="n">
        <v>0.0103</v>
      </c>
      <c r="V149" s="1" t="n">
        <v>57</v>
      </c>
      <c r="W149" s="1" t="n">
        <v>312</v>
      </c>
      <c r="X149" s="1" t="n">
        <v>68</v>
      </c>
      <c r="Y149" s="1" t="n">
        <v>-12779</v>
      </c>
      <c r="Z149" s="1" t="n">
        <v>-20475</v>
      </c>
      <c r="AA149" s="1" t="n">
        <v>-460</v>
      </c>
      <c r="AB149" s="1" t="n">
        <v>68.12</v>
      </c>
      <c r="AC149" s="1" t="s">
        <v>367</v>
      </c>
    </row>
    <row r="150" customFormat="false" ht="15" hidden="false" customHeight="false" outlineLevel="0" collapsed="false">
      <c r="A150" s="1" t="s">
        <v>369</v>
      </c>
      <c r="B150" s="1" t="s">
        <v>367</v>
      </c>
      <c r="C150" s="1" t="s">
        <v>11</v>
      </c>
      <c r="D150" s="1" t="n">
        <v>0.0106</v>
      </c>
      <c r="E150" s="1" t="n">
        <v>0.153</v>
      </c>
      <c r="F150" s="1" t="n">
        <v>0.1591</v>
      </c>
      <c r="G150" s="1" t="n">
        <v>43.7</v>
      </c>
      <c r="H150" s="1" t="n">
        <v>5.51</v>
      </c>
      <c r="I150" s="1" t="n">
        <v>0.17</v>
      </c>
      <c r="J150" s="1" t="n">
        <v>9.34</v>
      </c>
      <c r="K150" s="1" t="n">
        <v>26.9</v>
      </c>
      <c r="L150" s="1" t="n">
        <v>0.15</v>
      </c>
      <c r="M150" s="1" t="n">
        <v>4.83</v>
      </c>
      <c r="N150" s="1" t="n">
        <v>0.95</v>
      </c>
      <c r="O150" s="1" t="n">
        <v>0.11</v>
      </c>
      <c r="P150" s="1" t="n">
        <v>0.19</v>
      </c>
      <c r="Q150" s="1" t="n">
        <v>4.24</v>
      </c>
      <c r="R150" s="1" t="n">
        <v>96.4127</v>
      </c>
      <c r="S150" s="1" t="n">
        <v>0.0052</v>
      </c>
      <c r="T150" s="1" t="n">
        <v>0.0362</v>
      </c>
      <c r="U150" s="1" t="n">
        <v>0.0104</v>
      </c>
      <c r="V150" s="1" t="n">
        <v>56</v>
      </c>
      <c r="W150" s="1" t="n">
        <v>332</v>
      </c>
      <c r="X150" s="1" t="n">
        <v>69</v>
      </c>
      <c r="Y150" s="1" t="n">
        <v>-12795</v>
      </c>
      <c r="Z150" s="1" t="n">
        <v>-20487</v>
      </c>
      <c r="AA150" s="1" t="n">
        <v>-462</v>
      </c>
      <c r="AB150" s="1" t="n">
        <v>84.4</v>
      </c>
      <c r="AC150" s="1" t="s">
        <v>367</v>
      </c>
    </row>
    <row r="151" customFormat="false" ht="15" hidden="false" customHeight="false" outlineLevel="0" collapsed="false">
      <c r="A151" s="1" t="s">
        <v>370</v>
      </c>
      <c r="B151" s="1" t="s">
        <v>367</v>
      </c>
      <c r="C151" s="1" t="s">
        <v>11</v>
      </c>
      <c r="D151" s="1" t="n">
        <v>0.0111</v>
      </c>
      <c r="E151" s="1" t="n">
        <v>0.188</v>
      </c>
      <c r="F151" s="1" t="n">
        <v>0.1504</v>
      </c>
      <c r="G151" s="1" t="n">
        <v>43.7</v>
      </c>
      <c r="H151" s="1" t="n">
        <v>5.51</v>
      </c>
      <c r="I151" s="1" t="n">
        <v>0.17</v>
      </c>
      <c r="J151" s="1" t="n">
        <v>9.34</v>
      </c>
      <c r="K151" s="1" t="n">
        <v>26.9</v>
      </c>
      <c r="L151" s="1" t="n">
        <v>0.15</v>
      </c>
      <c r="M151" s="1" t="n">
        <v>4.83</v>
      </c>
      <c r="N151" s="1" t="n">
        <v>0.95</v>
      </c>
      <c r="O151" s="1" t="n">
        <v>0.11</v>
      </c>
      <c r="P151" s="1" t="n">
        <v>0.19</v>
      </c>
      <c r="Q151" s="1" t="n">
        <v>4.24</v>
      </c>
      <c r="R151" s="1" t="n">
        <v>96.4395</v>
      </c>
      <c r="S151" s="1" t="n">
        <v>0.0054</v>
      </c>
      <c r="T151" s="1" t="n">
        <v>0.0364</v>
      </c>
      <c r="U151" s="1" t="n">
        <v>0.0102</v>
      </c>
      <c r="V151" s="1" t="n">
        <v>58</v>
      </c>
      <c r="W151" s="1" t="n">
        <v>307</v>
      </c>
      <c r="X151" s="1" t="n">
        <v>68</v>
      </c>
      <c r="Y151" s="1" t="n">
        <v>-12755</v>
      </c>
      <c r="Z151" s="1" t="n">
        <v>-20491</v>
      </c>
      <c r="AA151" s="1" t="n">
        <v>-462</v>
      </c>
      <c r="AB151" s="1" t="n">
        <v>45.65</v>
      </c>
      <c r="AC151" s="1" t="s">
        <v>367</v>
      </c>
    </row>
    <row r="152" customFormat="false" ht="15" hidden="false" customHeight="false" outlineLevel="0" collapsed="false">
      <c r="A152" s="1" t="s">
        <v>371</v>
      </c>
      <c r="B152" s="1" t="s">
        <v>367</v>
      </c>
      <c r="C152" s="1" t="s">
        <v>11</v>
      </c>
      <c r="D152" s="1" t="n">
        <v>0.012</v>
      </c>
      <c r="E152" s="1" t="n">
        <v>0.1669</v>
      </c>
      <c r="F152" s="1" t="n">
        <v>0.1588</v>
      </c>
      <c r="G152" s="1" t="n">
        <v>43.7</v>
      </c>
      <c r="H152" s="1" t="n">
        <v>5.51</v>
      </c>
      <c r="I152" s="1" t="n">
        <v>0.17</v>
      </c>
      <c r="J152" s="1" t="n">
        <v>9.34</v>
      </c>
      <c r="K152" s="1" t="n">
        <v>26.9</v>
      </c>
      <c r="L152" s="1" t="n">
        <v>0.15</v>
      </c>
      <c r="M152" s="1" t="n">
        <v>4.83</v>
      </c>
      <c r="N152" s="1" t="n">
        <v>0.95</v>
      </c>
      <c r="O152" s="1" t="n">
        <v>0.11</v>
      </c>
      <c r="P152" s="1" t="n">
        <v>0.19</v>
      </c>
      <c r="Q152" s="1" t="n">
        <v>4.24</v>
      </c>
      <c r="R152" s="1" t="n">
        <v>96.4277</v>
      </c>
      <c r="S152" s="1" t="n">
        <v>0.0051</v>
      </c>
      <c r="T152" s="1" t="n">
        <v>0.0352</v>
      </c>
      <c r="U152" s="1" t="n">
        <v>0.0104</v>
      </c>
      <c r="V152" s="1" t="n">
        <v>54</v>
      </c>
      <c r="W152" s="1" t="n">
        <v>305</v>
      </c>
      <c r="X152" s="1" t="n">
        <v>68</v>
      </c>
      <c r="Y152" s="1" t="n">
        <v>-12718</v>
      </c>
      <c r="Z152" s="1" t="n">
        <v>-20479</v>
      </c>
      <c r="AA152" s="1" t="n">
        <v>-461</v>
      </c>
      <c r="AB152" s="1" t="n">
        <v>7.07</v>
      </c>
      <c r="AC152" s="1" t="s">
        <v>367</v>
      </c>
    </row>
    <row r="153" customFormat="false" ht="15" hidden="false" customHeight="false" outlineLevel="0" collapsed="false">
      <c r="A153" s="1" t="s">
        <v>89</v>
      </c>
      <c r="B153" s="1" t="s">
        <v>367</v>
      </c>
      <c r="C153" s="1" t="s">
        <v>11</v>
      </c>
      <c r="D153" s="1" t="n">
        <v>0.0109</v>
      </c>
      <c r="E153" s="1" t="n">
        <v>0.1674</v>
      </c>
      <c r="F153" s="1" t="n">
        <v>0.1531</v>
      </c>
      <c r="G153" s="1" t="n">
        <v>43.7</v>
      </c>
      <c r="H153" s="1" t="n">
        <v>5.51</v>
      </c>
      <c r="I153" s="1" t="n">
        <v>0.17</v>
      </c>
      <c r="J153" s="1" t="n">
        <v>9.34</v>
      </c>
      <c r="K153" s="1" t="n">
        <v>26.9</v>
      </c>
      <c r="L153" s="1" t="n">
        <v>0.15</v>
      </c>
      <c r="M153" s="1" t="n">
        <v>4.83</v>
      </c>
      <c r="N153" s="1" t="n">
        <v>0.95</v>
      </c>
      <c r="O153" s="1" t="n">
        <v>0.11</v>
      </c>
      <c r="P153" s="1" t="n">
        <v>0.19</v>
      </c>
      <c r="Q153" s="1" t="n">
        <v>4.24</v>
      </c>
      <c r="R153" s="1" t="n">
        <v>96.4215</v>
      </c>
      <c r="S153" s="1" t="n">
        <v>0.0052</v>
      </c>
      <c r="T153" s="1" t="n">
        <v>0.0369</v>
      </c>
      <c r="U153" s="1" t="n">
        <v>0.0104</v>
      </c>
      <c r="V153" s="1" t="n">
        <v>57</v>
      </c>
      <c r="W153" s="1" t="n">
        <v>331</v>
      </c>
      <c r="X153" s="1" t="n">
        <v>71</v>
      </c>
      <c r="Y153" s="1" t="n">
        <v>-12951</v>
      </c>
      <c r="Z153" s="1" t="n">
        <v>-20543</v>
      </c>
      <c r="AA153" s="1" t="n">
        <v>-459</v>
      </c>
      <c r="AB153" s="1" t="n">
        <v>0</v>
      </c>
      <c r="AC153" s="1" t="s">
        <v>367</v>
      </c>
    </row>
    <row r="154" customFormat="false" ht="15" hidden="false" customHeight="false" outlineLevel="0" collapsed="false">
      <c r="A154" s="1" t="s">
        <v>372</v>
      </c>
      <c r="B154" s="1" t="s">
        <v>367</v>
      </c>
      <c r="C154" s="1" t="s">
        <v>11</v>
      </c>
      <c r="D154" s="1" t="n">
        <v>0.0138</v>
      </c>
      <c r="E154" s="1" t="n">
        <v>0.173</v>
      </c>
      <c r="F154" s="1" t="n">
        <v>0.1559</v>
      </c>
      <c r="G154" s="1" t="n">
        <v>43.7</v>
      </c>
      <c r="H154" s="1" t="n">
        <v>5.51</v>
      </c>
      <c r="I154" s="1" t="n">
        <v>0.17</v>
      </c>
      <c r="J154" s="1" t="n">
        <v>9.34</v>
      </c>
      <c r="K154" s="1" t="n">
        <v>26.9</v>
      </c>
      <c r="L154" s="1" t="n">
        <v>0.15</v>
      </c>
      <c r="M154" s="1" t="n">
        <v>4.83</v>
      </c>
      <c r="N154" s="1" t="n">
        <v>0.95</v>
      </c>
      <c r="O154" s="1" t="n">
        <v>0.11</v>
      </c>
      <c r="P154" s="1" t="n">
        <v>0.19</v>
      </c>
      <c r="Q154" s="1" t="n">
        <v>4.24</v>
      </c>
      <c r="R154" s="1" t="n">
        <v>96.4328</v>
      </c>
      <c r="S154" s="1" t="n">
        <v>0.0053</v>
      </c>
      <c r="T154" s="1" t="n">
        <v>0.036</v>
      </c>
      <c r="U154" s="1" t="n">
        <v>0.0104</v>
      </c>
      <c r="V154" s="1" t="n">
        <v>55</v>
      </c>
      <c r="W154" s="1" t="n">
        <v>312</v>
      </c>
      <c r="X154" s="1" t="n">
        <v>70</v>
      </c>
      <c r="Y154" s="1" t="n">
        <v>-12649</v>
      </c>
      <c r="Z154" s="1" t="n">
        <v>-20511</v>
      </c>
      <c r="AA154" s="1" t="n">
        <v>-463</v>
      </c>
      <c r="AB154" s="1" t="n">
        <v>303.72</v>
      </c>
      <c r="AC154" s="1" t="s">
        <v>367</v>
      </c>
    </row>
    <row r="155" customFormat="false" ht="15" hidden="false" customHeight="false" outlineLevel="0" collapsed="false">
      <c r="A155" s="1" t="s">
        <v>373</v>
      </c>
      <c r="B155" s="1" t="s">
        <v>367</v>
      </c>
      <c r="C155" s="1" t="s">
        <v>11</v>
      </c>
      <c r="D155" s="1" t="n">
        <v>0.0104</v>
      </c>
      <c r="E155" s="1" t="n">
        <v>0.1634</v>
      </c>
      <c r="F155" s="1" t="n">
        <v>0.1531</v>
      </c>
      <c r="G155" s="1" t="n">
        <v>43.7</v>
      </c>
      <c r="H155" s="1" t="n">
        <v>5.51</v>
      </c>
      <c r="I155" s="1" t="n">
        <v>0.17</v>
      </c>
      <c r="J155" s="1" t="n">
        <v>9.34</v>
      </c>
      <c r="K155" s="1" t="n">
        <v>26.9</v>
      </c>
      <c r="L155" s="1" t="n">
        <v>0.15</v>
      </c>
      <c r="M155" s="1" t="n">
        <v>4.83</v>
      </c>
      <c r="N155" s="1" t="n">
        <v>0.95</v>
      </c>
      <c r="O155" s="1" t="n">
        <v>0.11</v>
      </c>
      <c r="P155" s="1" t="n">
        <v>0.19</v>
      </c>
      <c r="Q155" s="1" t="n">
        <v>4.24</v>
      </c>
      <c r="R155" s="1" t="n">
        <v>96.4169</v>
      </c>
      <c r="S155" s="1" t="n">
        <v>0.0052</v>
      </c>
      <c r="T155" s="1" t="n">
        <v>0.0354</v>
      </c>
      <c r="U155" s="1" t="n">
        <v>0.0103</v>
      </c>
      <c r="V155" s="1" t="n">
        <v>56</v>
      </c>
      <c r="W155" s="1" t="n">
        <v>309</v>
      </c>
      <c r="X155" s="1" t="n">
        <v>69</v>
      </c>
      <c r="Y155" s="1" t="n">
        <v>-12620</v>
      </c>
      <c r="Z155" s="1" t="n">
        <v>-20500</v>
      </c>
      <c r="AA155" s="1" t="n">
        <v>-462</v>
      </c>
      <c r="AB155" s="1" t="n">
        <v>333.79</v>
      </c>
      <c r="AC155" s="1" t="s">
        <v>367</v>
      </c>
    </row>
    <row r="156" customFormat="false" ht="15" hidden="false" customHeight="false" outlineLevel="0" collapsed="false">
      <c r="A156" s="1" t="s">
        <v>374</v>
      </c>
      <c r="B156" s="1" t="s">
        <v>367</v>
      </c>
      <c r="C156" s="1" t="s">
        <v>11</v>
      </c>
      <c r="D156" s="1" t="n">
        <v>0.0124</v>
      </c>
      <c r="E156" s="1" t="n">
        <v>0.1738</v>
      </c>
      <c r="F156" s="1" t="n">
        <v>0.1578</v>
      </c>
      <c r="G156" s="1" t="n">
        <v>43.7</v>
      </c>
      <c r="H156" s="1" t="n">
        <v>5.51</v>
      </c>
      <c r="I156" s="1" t="n">
        <v>0.17</v>
      </c>
      <c r="J156" s="1" t="n">
        <v>9.34</v>
      </c>
      <c r="K156" s="1" t="n">
        <v>26.9</v>
      </c>
      <c r="L156" s="1" t="n">
        <v>0.15</v>
      </c>
      <c r="M156" s="1" t="n">
        <v>4.83</v>
      </c>
      <c r="N156" s="1" t="n">
        <v>0.95</v>
      </c>
      <c r="O156" s="1" t="n">
        <v>0.11</v>
      </c>
      <c r="P156" s="1" t="n">
        <v>0.19</v>
      </c>
      <c r="Q156" s="1" t="n">
        <v>4.24</v>
      </c>
      <c r="R156" s="1" t="n">
        <v>96.4341</v>
      </c>
      <c r="S156" s="1" t="n">
        <v>0.0052</v>
      </c>
      <c r="T156" s="1" t="n">
        <v>0.0356</v>
      </c>
      <c r="U156" s="1" t="n">
        <v>0.0106</v>
      </c>
      <c r="V156" s="1" t="n">
        <v>55</v>
      </c>
      <c r="W156" s="1" t="n">
        <v>305</v>
      </c>
      <c r="X156" s="1" t="n">
        <v>71</v>
      </c>
      <c r="Y156" s="1" t="n">
        <v>-12600</v>
      </c>
      <c r="Z156" s="1" t="n">
        <v>-20455</v>
      </c>
      <c r="AA156" s="1" t="n">
        <v>-463</v>
      </c>
      <c r="AB156" s="1" t="n">
        <v>361.89</v>
      </c>
      <c r="AC156" s="1" t="s">
        <v>367</v>
      </c>
    </row>
    <row r="157" customFormat="false" ht="15" hidden="false" customHeight="false" outlineLevel="0" collapsed="false">
      <c r="A157" s="1" t="s">
        <v>375</v>
      </c>
      <c r="B157" s="1" t="s">
        <v>367</v>
      </c>
      <c r="C157" s="1" t="s">
        <v>11</v>
      </c>
      <c r="D157" s="1" t="n">
        <v>0.0138</v>
      </c>
      <c r="E157" s="1" t="n">
        <v>0.1702</v>
      </c>
      <c r="F157" s="1" t="n">
        <v>0.1592</v>
      </c>
      <c r="G157" s="1" t="n">
        <v>43.7</v>
      </c>
      <c r="H157" s="1" t="n">
        <v>5.51</v>
      </c>
      <c r="I157" s="1" t="n">
        <v>0.17</v>
      </c>
      <c r="J157" s="1" t="n">
        <v>9.34</v>
      </c>
      <c r="K157" s="1" t="n">
        <v>26.9</v>
      </c>
      <c r="L157" s="1" t="n">
        <v>0.15</v>
      </c>
      <c r="M157" s="1" t="n">
        <v>4.83</v>
      </c>
      <c r="N157" s="1" t="n">
        <v>0.95</v>
      </c>
      <c r="O157" s="1" t="n">
        <v>0.11</v>
      </c>
      <c r="P157" s="1" t="n">
        <v>0.19</v>
      </c>
      <c r="Q157" s="1" t="n">
        <v>4.24</v>
      </c>
      <c r="R157" s="1" t="n">
        <v>96.4332</v>
      </c>
      <c r="S157" s="1" t="n">
        <v>0.0052</v>
      </c>
      <c r="T157" s="1" t="n">
        <v>0.035</v>
      </c>
      <c r="U157" s="1" t="n">
        <v>0.0106</v>
      </c>
      <c r="V157" s="1" t="n">
        <v>54</v>
      </c>
      <c r="W157" s="1" t="n">
        <v>298</v>
      </c>
      <c r="X157" s="1" t="n">
        <v>71</v>
      </c>
      <c r="Y157" s="1" t="n">
        <v>-12628</v>
      </c>
      <c r="Z157" s="1" t="n">
        <v>-20441</v>
      </c>
      <c r="AA157" s="1" t="n">
        <v>-464</v>
      </c>
      <c r="AB157" s="1" t="n">
        <v>338.76</v>
      </c>
      <c r="AC157" s="1" t="s">
        <v>367</v>
      </c>
    </row>
    <row r="158" customFormat="false" ht="15" hidden="false" customHeight="false" outlineLevel="0" collapsed="false">
      <c r="A158" s="1" t="s">
        <v>91</v>
      </c>
      <c r="B158" s="1" t="s">
        <v>367</v>
      </c>
      <c r="C158" s="1" t="s">
        <v>11</v>
      </c>
      <c r="D158" s="1" t="n">
        <v>0.009</v>
      </c>
      <c r="E158" s="1" t="n">
        <v>0.1657</v>
      </c>
      <c r="F158" s="1" t="n">
        <v>0.1519</v>
      </c>
      <c r="G158" s="1" t="n">
        <v>43.7</v>
      </c>
      <c r="H158" s="1" t="n">
        <v>5.51</v>
      </c>
      <c r="I158" s="1" t="n">
        <v>0.17</v>
      </c>
      <c r="J158" s="1" t="n">
        <v>9.34</v>
      </c>
      <c r="K158" s="1" t="n">
        <v>26.9</v>
      </c>
      <c r="L158" s="1" t="n">
        <v>0.15</v>
      </c>
      <c r="M158" s="1" t="n">
        <v>4.83</v>
      </c>
      <c r="N158" s="1" t="n">
        <v>0.95</v>
      </c>
      <c r="O158" s="1" t="n">
        <v>0.11</v>
      </c>
      <c r="P158" s="1" t="n">
        <v>0.19</v>
      </c>
      <c r="Q158" s="1" t="n">
        <v>4.24</v>
      </c>
      <c r="R158" s="1" t="n">
        <v>96.4167</v>
      </c>
      <c r="S158" s="1" t="n">
        <v>0.0052</v>
      </c>
      <c r="T158" s="1" t="n">
        <v>0.0342</v>
      </c>
      <c r="U158" s="1" t="n">
        <v>0.0101</v>
      </c>
      <c r="V158" s="1" t="n">
        <v>57</v>
      </c>
      <c r="W158" s="1" t="n">
        <v>297</v>
      </c>
      <c r="X158" s="1" t="n">
        <v>69</v>
      </c>
      <c r="Y158" s="1" t="n">
        <v>-12748</v>
      </c>
      <c r="Z158" s="1" t="n">
        <v>-20511</v>
      </c>
      <c r="AA158" s="1" t="n">
        <v>-462</v>
      </c>
      <c r="AB158" s="1" t="n">
        <v>0</v>
      </c>
      <c r="AC158" s="1" t="s">
        <v>367</v>
      </c>
    </row>
    <row r="159" customFormat="false" ht="15" hidden="false" customHeight="false" outlineLevel="0" collapsed="false">
      <c r="A159" s="1" t="s">
        <v>376</v>
      </c>
      <c r="B159" s="1" t="s">
        <v>367</v>
      </c>
      <c r="C159" s="1" t="s">
        <v>11</v>
      </c>
      <c r="D159" s="1" t="n">
        <v>0.0112</v>
      </c>
      <c r="E159" s="1" t="n">
        <v>0.1517</v>
      </c>
      <c r="F159" s="1" t="n">
        <v>0.1538</v>
      </c>
      <c r="G159" s="1" t="n">
        <v>43.7</v>
      </c>
      <c r="H159" s="1" t="n">
        <v>5.51</v>
      </c>
      <c r="I159" s="1" t="n">
        <v>0.17</v>
      </c>
      <c r="J159" s="1" t="n">
        <v>9.34</v>
      </c>
      <c r="K159" s="1" t="n">
        <v>26.9</v>
      </c>
      <c r="L159" s="1" t="n">
        <v>0.15</v>
      </c>
      <c r="M159" s="1" t="n">
        <v>4.83</v>
      </c>
      <c r="N159" s="1" t="n">
        <v>0.95</v>
      </c>
      <c r="O159" s="1" t="n">
        <v>0.11</v>
      </c>
      <c r="P159" s="1" t="n">
        <v>0.19</v>
      </c>
      <c r="Q159" s="1" t="n">
        <v>4.24</v>
      </c>
      <c r="R159" s="1" t="n">
        <v>96.4067</v>
      </c>
      <c r="S159" s="1" t="n">
        <v>0.0051</v>
      </c>
      <c r="T159" s="1" t="n">
        <v>0.0341</v>
      </c>
      <c r="U159" s="1" t="n">
        <v>0.0101</v>
      </c>
      <c r="V159" s="1" t="n">
        <v>55</v>
      </c>
      <c r="W159" s="1" t="n">
        <v>306</v>
      </c>
      <c r="X159" s="1" t="n">
        <v>68</v>
      </c>
      <c r="Y159" s="1" t="n">
        <v>-12479</v>
      </c>
      <c r="Z159" s="1" t="n">
        <v>-20481</v>
      </c>
      <c r="AA159" s="1" t="n">
        <v>-465</v>
      </c>
      <c r="AB159" s="1" t="n">
        <v>270.68</v>
      </c>
      <c r="AC159" s="1" t="s">
        <v>367</v>
      </c>
    </row>
    <row r="160" customFormat="false" ht="15" hidden="false" customHeight="false" outlineLevel="0" collapsed="false">
      <c r="A160" s="1" t="s">
        <v>377</v>
      </c>
      <c r="B160" s="1" t="s">
        <v>367</v>
      </c>
      <c r="C160" s="1" t="s">
        <v>11</v>
      </c>
      <c r="D160" s="1" t="n">
        <v>0.0112</v>
      </c>
      <c r="E160" s="1" t="n">
        <v>0.1699</v>
      </c>
      <c r="F160" s="1" t="n">
        <v>0.1542</v>
      </c>
      <c r="G160" s="1" t="n">
        <v>43.7</v>
      </c>
      <c r="H160" s="1" t="n">
        <v>5.51</v>
      </c>
      <c r="I160" s="1" t="n">
        <v>0.17</v>
      </c>
      <c r="J160" s="1" t="n">
        <v>9.34</v>
      </c>
      <c r="K160" s="1" t="n">
        <v>26.9</v>
      </c>
      <c r="L160" s="1" t="n">
        <v>0.15</v>
      </c>
      <c r="M160" s="1" t="n">
        <v>4.83</v>
      </c>
      <c r="N160" s="1" t="n">
        <v>0.95</v>
      </c>
      <c r="O160" s="1" t="n">
        <v>0.11</v>
      </c>
      <c r="P160" s="1" t="n">
        <v>0.19</v>
      </c>
      <c r="Q160" s="1" t="n">
        <v>4.24</v>
      </c>
      <c r="R160" s="1" t="n">
        <v>96.4253</v>
      </c>
      <c r="S160" s="1" t="n">
        <v>0.0052</v>
      </c>
      <c r="T160" s="1" t="n">
        <v>0.0351</v>
      </c>
      <c r="U160" s="1" t="n">
        <v>0.0102</v>
      </c>
      <c r="V160" s="1" t="n">
        <v>56</v>
      </c>
      <c r="W160" s="1" t="n">
        <v>307</v>
      </c>
      <c r="X160" s="1" t="n">
        <v>69</v>
      </c>
      <c r="Y160" s="1" t="n">
        <v>-12429</v>
      </c>
      <c r="Z160" s="1" t="n">
        <v>-20523</v>
      </c>
      <c r="AA160" s="1" t="n">
        <v>-466</v>
      </c>
      <c r="AB160" s="1" t="n">
        <v>319.25</v>
      </c>
      <c r="AC160" s="1" t="s">
        <v>367</v>
      </c>
    </row>
    <row r="161" customFormat="false" ht="15" hidden="false" customHeight="false" outlineLevel="0" collapsed="false">
      <c r="A161" s="1" t="s">
        <v>378</v>
      </c>
      <c r="B161" s="1" t="s">
        <v>367</v>
      </c>
      <c r="C161" s="1" t="s">
        <v>11</v>
      </c>
      <c r="D161" s="1" t="n">
        <v>0.0097</v>
      </c>
      <c r="E161" s="1" t="n">
        <v>0.1747</v>
      </c>
      <c r="F161" s="1" t="n">
        <v>0.1643</v>
      </c>
      <c r="G161" s="1" t="n">
        <v>43.7</v>
      </c>
      <c r="H161" s="1" t="n">
        <v>5.51</v>
      </c>
      <c r="I161" s="1" t="n">
        <v>0.17</v>
      </c>
      <c r="J161" s="1" t="n">
        <v>9.34</v>
      </c>
      <c r="K161" s="1" t="n">
        <v>26.9</v>
      </c>
      <c r="L161" s="1" t="n">
        <v>0.15</v>
      </c>
      <c r="M161" s="1" t="n">
        <v>4.83</v>
      </c>
      <c r="N161" s="1" t="n">
        <v>0.95</v>
      </c>
      <c r="O161" s="1" t="n">
        <v>0.11</v>
      </c>
      <c r="P161" s="1" t="n">
        <v>0.19</v>
      </c>
      <c r="Q161" s="1" t="n">
        <v>4.24</v>
      </c>
      <c r="R161" s="1" t="n">
        <v>96.4387</v>
      </c>
      <c r="S161" s="1" t="n">
        <v>0.0051</v>
      </c>
      <c r="T161" s="1" t="n">
        <v>0.0348</v>
      </c>
      <c r="U161" s="1" t="n">
        <v>0.0103</v>
      </c>
      <c r="V161" s="1" t="n">
        <v>56</v>
      </c>
      <c r="W161" s="1" t="n">
        <v>299</v>
      </c>
      <c r="X161" s="1" t="n">
        <v>66</v>
      </c>
      <c r="Y161" s="1" t="n">
        <v>-12377</v>
      </c>
      <c r="Z161" s="1" t="n">
        <v>-20453</v>
      </c>
      <c r="AA161" s="1" t="n">
        <v>-465</v>
      </c>
      <c r="AB161" s="1" t="n">
        <v>375.52</v>
      </c>
      <c r="AC161" s="1" t="s">
        <v>367</v>
      </c>
    </row>
    <row r="162" customFormat="false" ht="15" hidden="false" customHeight="false" outlineLevel="0" collapsed="false">
      <c r="A162" s="1" t="s">
        <v>379</v>
      </c>
      <c r="B162" s="1" t="s">
        <v>367</v>
      </c>
      <c r="C162" s="1" t="s">
        <v>11</v>
      </c>
      <c r="D162" s="1" t="n">
        <v>0.0134</v>
      </c>
      <c r="E162" s="1" t="n">
        <v>0.1574</v>
      </c>
      <c r="F162" s="1" t="n">
        <v>0.1536</v>
      </c>
      <c r="G162" s="1" t="n">
        <v>43.7</v>
      </c>
      <c r="H162" s="1" t="n">
        <v>5.51</v>
      </c>
      <c r="I162" s="1" t="n">
        <v>0.17</v>
      </c>
      <c r="J162" s="1" t="n">
        <v>9.34</v>
      </c>
      <c r="K162" s="1" t="n">
        <v>26.9</v>
      </c>
      <c r="L162" s="1" t="n">
        <v>0.15</v>
      </c>
      <c r="M162" s="1" t="n">
        <v>4.83</v>
      </c>
      <c r="N162" s="1" t="n">
        <v>0.95</v>
      </c>
      <c r="O162" s="1" t="n">
        <v>0.11</v>
      </c>
      <c r="P162" s="1" t="n">
        <v>0.19</v>
      </c>
      <c r="Q162" s="1" t="n">
        <v>4.24</v>
      </c>
      <c r="R162" s="1" t="n">
        <v>96.4144</v>
      </c>
      <c r="S162" s="1" t="n">
        <v>0.0052</v>
      </c>
      <c r="T162" s="1" t="n">
        <v>0.0352</v>
      </c>
      <c r="U162" s="1" t="n">
        <v>0.0102</v>
      </c>
      <c r="V162" s="1" t="n">
        <v>54</v>
      </c>
      <c r="W162" s="1" t="n">
        <v>319</v>
      </c>
      <c r="X162" s="1" t="n">
        <v>69</v>
      </c>
      <c r="Y162" s="1" t="n">
        <v>-12336</v>
      </c>
      <c r="Z162" s="1" t="n">
        <v>-20485</v>
      </c>
      <c r="AA162" s="1" t="n">
        <v>-466</v>
      </c>
      <c r="AB162" s="1" t="n">
        <v>412.84</v>
      </c>
      <c r="AC162" s="1" t="s">
        <v>367</v>
      </c>
    </row>
    <row r="163" customFormat="false" ht="15" hidden="false" customHeight="false" outlineLevel="0" collapsed="false">
      <c r="A163" s="1" t="s">
        <v>92</v>
      </c>
      <c r="B163" s="1" t="s">
        <v>367</v>
      </c>
      <c r="C163" s="1" t="s">
        <v>11</v>
      </c>
      <c r="D163" s="1" t="n">
        <v>0.0114</v>
      </c>
      <c r="E163" s="1" t="n">
        <v>0.1581</v>
      </c>
      <c r="F163" s="1" t="n">
        <v>0.1557</v>
      </c>
      <c r="G163" s="1" t="n">
        <v>43.7</v>
      </c>
      <c r="H163" s="1" t="n">
        <v>5.51</v>
      </c>
      <c r="I163" s="1" t="n">
        <v>0.17</v>
      </c>
      <c r="J163" s="1" t="n">
        <v>9.34</v>
      </c>
      <c r="K163" s="1" t="n">
        <v>26.9</v>
      </c>
      <c r="L163" s="1" t="n">
        <v>0.15</v>
      </c>
      <c r="M163" s="1" t="n">
        <v>4.83</v>
      </c>
      <c r="N163" s="1" t="n">
        <v>0.95</v>
      </c>
      <c r="O163" s="1" t="n">
        <v>0.11</v>
      </c>
      <c r="P163" s="1" t="n">
        <v>0.19</v>
      </c>
      <c r="Q163" s="1" t="n">
        <v>4.24</v>
      </c>
      <c r="R163" s="1" t="n">
        <v>96.4151</v>
      </c>
      <c r="S163" s="1" t="n">
        <v>0.0051</v>
      </c>
      <c r="T163" s="1" t="n">
        <v>0.0342</v>
      </c>
      <c r="U163" s="1" t="n">
        <v>0.0101</v>
      </c>
      <c r="V163" s="1" t="n">
        <v>54</v>
      </c>
      <c r="W163" s="1" t="n">
        <v>303</v>
      </c>
      <c r="X163" s="1" t="n">
        <v>67</v>
      </c>
      <c r="Y163" s="1" t="n">
        <v>-12776</v>
      </c>
      <c r="Z163" s="1" t="n">
        <v>-20455</v>
      </c>
      <c r="AA163" s="1" t="n">
        <v>-462</v>
      </c>
      <c r="AB163" s="1" t="n">
        <v>0</v>
      </c>
      <c r="AC163" s="1" t="s">
        <v>367</v>
      </c>
    </row>
    <row r="164" customFormat="false" ht="15" hidden="false" customHeight="false" outlineLevel="0" collapsed="false">
      <c r="A164" s="1" t="s">
        <v>380</v>
      </c>
      <c r="B164" s="1" t="s">
        <v>367</v>
      </c>
      <c r="C164" s="1" t="s">
        <v>11</v>
      </c>
      <c r="D164" s="1" t="n">
        <v>0.0111</v>
      </c>
      <c r="E164" s="1" t="n">
        <v>0.1619</v>
      </c>
      <c r="F164" s="1" t="n">
        <v>0.1581</v>
      </c>
      <c r="G164" s="1" t="n">
        <v>43.7</v>
      </c>
      <c r="H164" s="1" t="n">
        <v>5.51</v>
      </c>
      <c r="I164" s="1" t="n">
        <v>0.17</v>
      </c>
      <c r="J164" s="1" t="n">
        <v>9.34</v>
      </c>
      <c r="K164" s="1" t="n">
        <v>26.9</v>
      </c>
      <c r="L164" s="1" t="n">
        <v>0.15</v>
      </c>
      <c r="M164" s="1" t="n">
        <v>4.83</v>
      </c>
      <c r="N164" s="1" t="n">
        <v>0.95</v>
      </c>
      <c r="O164" s="1" t="n">
        <v>0.11</v>
      </c>
      <c r="P164" s="1" t="n">
        <v>0.19</v>
      </c>
      <c r="Q164" s="1" t="n">
        <v>4.24</v>
      </c>
      <c r="R164" s="1" t="n">
        <v>96.4211</v>
      </c>
      <c r="S164" s="1" t="n">
        <v>0.0051</v>
      </c>
      <c r="T164" s="1" t="n">
        <v>0.0351</v>
      </c>
      <c r="U164" s="1" t="n">
        <v>0.0102</v>
      </c>
      <c r="V164" s="1" t="n">
        <v>55</v>
      </c>
      <c r="W164" s="1" t="n">
        <v>313</v>
      </c>
      <c r="X164" s="1" t="n">
        <v>67</v>
      </c>
      <c r="Y164" s="1" t="n">
        <v>-12110</v>
      </c>
      <c r="Z164" s="1" t="n">
        <v>-20406</v>
      </c>
      <c r="AA164" s="1" t="n">
        <v>-468</v>
      </c>
      <c r="AB164" s="1" t="n">
        <v>667.83</v>
      </c>
      <c r="AC164" s="1" t="s">
        <v>367</v>
      </c>
    </row>
    <row r="165" customFormat="false" ht="15" hidden="false" customHeight="false" outlineLevel="0" collapsed="false">
      <c r="A165" s="1" t="s">
        <v>381</v>
      </c>
      <c r="B165" s="1" t="s">
        <v>367</v>
      </c>
      <c r="C165" s="1" t="s">
        <v>11</v>
      </c>
      <c r="D165" s="1" t="n">
        <v>0.0109</v>
      </c>
      <c r="E165" s="1" t="n">
        <v>0.1614</v>
      </c>
      <c r="F165" s="1" t="n">
        <v>0.1562</v>
      </c>
      <c r="G165" s="1" t="n">
        <v>43.7</v>
      </c>
      <c r="H165" s="1" t="n">
        <v>5.51</v>
      </c>
      <c r="I165" s="1" t="n">
        <v>0.17</v>
      </c>
      <c r="J165" s="1" t="n">
        <v>9.34</v>
      </c>
      <c r="K165" s="1" t="n">
        <v>26.9</v>
      </c>
      <c r="L165" s="1" t="n">
        <v>0.15</v>
      </c>
      <c r="M165" s="1" t="n">
        <v>4.83</v>
      </c>
      <c r="N165" s="1" t="n">
        <v>0.95</v>
      </c>
      <c r="O165" s="1" t="n">
        <v>0.11</v>
      </c>
      <c r="P165" s="1" t="n">
        <v>0.19</v>
      </c>
      <c r="Q165" s="1" t="n">
        <v>4.24</v>
      </c>
      <c r="R165" s="1" t="n">
        <v>96.4185</v>
      </c>
      <c r="S165" s="1" t="n">
        <v>0.005</v>
      </c>
      <c r="T165" s="1" t="n">
        <v>0.0347</v>
      </c>
      <c r="U165" s="1" t="n">
        <v>0.0101</v>
      </c>
      <c r="V165" s="1" t="n">
        <v>53</v>
      </c>
      <c r="W165" s="1" t="n">
        <v>307</v>
      </c>
      <c r="X165" s="1" t="n">
        <v>67</v>
      </c>
      <c r="Y165" s="1" t="n">
        <v>-12083</v>
      </c>
      <c r="Z165" s="1" t="n">
        <v>-20386</v>
      </c>
      <c r="AA165" s="1" t="n">
        <v>-471</v>
      </c>
      <c r="AB165" s="1" t="n">
        <v>696.48</v>
      </c>
      <c r="AC165" s="1" t="s">
        <v>367</v>
      </c>
    </row>
    <row r="166" customFormat="false" ht="15" hidden="false" customHeight="false" outlineLevel="0" collapsed="false">
      <c r="A166" s="1" t="s">
        <v>382</v>
      </c>
      <c r="B166" s="1" t="s">
        <v>367</v>
      </c>
      <c r="C166" s="1" t="s">
        <v>11</v>
      </c>
      <c r="D166" s="1" t="n">
        <v>0.009</v>
      </c>
      <c r="E166" s="1" t="n">
        <v>0.1797</v>
      </c>
      <c r="F166" s="1" t="n">
        <v>0.1549</v>
      </c>
      <c r="G166" s="1" t="n">
        <v>43.7</v>
      </c>
      <c r="H166" s="1" t="n">
        <v>5.51</v>
      </c>
      <c r="I166" s="1" t="n">
        <v>0.17</v>
      </c>
      <c r="J166" s="1" t="n">
        <v>9.34</v>
      </c>
      <c r="K166" s="1" t="n">
        <v>26.9</v>
      </c>
      <c r="L166" s="1" t="n">
        <v>0.15</v>
      </c>
      <c r="M166" s="1" t="n">
        <v>4.83</v>
      </c>
      <c r="N166" s="1" t="n">
        <v>0.95</v>
      </c>
      <c r="O166" s="1" t="n">
        <v>0.11</v>
      </c>
      <c r="P166" s="1" t="n">
        <v>0.19</v>
      </c>
      <c r="Q166" s="1" t="n">
        <v>4.24</v>
      </c>
      <c r="R166" s="1" t="n">
        <v>96.4336</v>
      </c>
      <c r="S166" s="1" t="n">
        <v>0.0052</v>
      </c>
      <c r="T166" s="1" t="n">
        <v>0.0356</v>
      </c>
      <c r="U166" s="1" t="n">
        <v>0.0102</v>
      </c>
      <c r="V166" s="1" t="n">
        <v>57</v>
      </c>
      <c r="W166" s="1" t="n">
        <v>307</v>
      </c>
      <c r="X166" s="1" t="n">
        <v>69</v>
      </c>
      <c r="Y166" s="1" t="n">
        <v>-12043</v>
      </c>
      <c r="Z166" s="1" t="n">
        <v>-20314</v>
      </c>
      <c r="AA166" s="1" t="n">
        <v>-476</v>
      </c>
      <c r="AB166" s="1" t="n">
        <v>746.57</v>
      </c>
      <c r="AC166" s="1" t="s">
        <v>367</v>
      </c>
    </row>
    <row r="167" customFormat="false" ht="15" hidden="false" customHeight="false" outlineLevel="0" collapsed="false">
      <c r="A167" s="1" t="s">
        <v>383</v>
      </c>
      <c r="B167" s="1" t="s">
        <v>367</v>
      </c>
      <c r="C167" s="1" t="s">
        <v>11</v>
      </c>
      <c r="D167" s="1" t="n">
        <v>0.0103</v>
      </c>
      <c r="E167" s="1" t="n">
        <v>0.1747</v>
      </c>
      <c r="F167" s="1" t="n">
        <v>0.157</v>
      </c>
      <c r="G167" s="1" t="n">
        <v>43.7</v>
      </c>
      <c r="H167" s="1" t="n">
        <v>5.51</v>
      </c>
      <c r="I167" s="1" t="n">
        <v>0.17</v>
      </c>
      <c r="J167" s="1" t="n">
        <v>9.34</v>
      </c>
      <c r="K167" s="1" t="n">
        <v>26.9</v>
      </c>
      <c r="L167" s="1" t="n">
        <v>0.15</v>
      </c>
      <c r="M167" s="1" t="n">
        <v>4.83</v>
      </c>
      <c r="N167" s="1" t="n">
        <v>0.95</v>
      </c>
      <c r="O167" s="1" t="n">
        <v>0.11</v>
      </c>
      <c r="P167" s="1" t="n">
        <v>0.19</v>
      </c>
      <c r="Q167" s="1" t="n">
        <v>4.24</v>
      </c>
      <c r="R167" s="1" t="n">
        <v>96.432</v>
      </c>
      <c r="S167" s="1" t="n">
        <v>0.005</v>
      </c>
      <c r="T167" s="1" t="n">
        <v>0.0352</v>
      </c>
      <c r="U167" s="1" t="n">
        <v>0.0102</v>
      </c>
      <c r="V167" s="1" t="n">
        <v>54</v>
      </c>
      <c r="W167" s="1" t="n">
        <v>305</v>
      </c>
      <c r="X167" s="1" t="n">
        <v>69</v>
      </c>
      <c r="Y167" s="1" t="n">
        <v>-12060</v>
      </c>
      <c r="Z167" s="1" t="n">
        <v>-20275</v>
      </c>
      <c r="AA167" s="1" t="n">
        <v>-472</v>
      </c>
      <c r="AB167" s="1" t="n">
        <v>738.35</v>
      </c>
      <c r="AC167" s="1" t="s">
        <v>367</v>
      </c>
    </row>
    <row r="168" customFormat="false" ht="15" hidden="false" customHeight="false" outlineLevel="0" collapsed="false">
      <c r="C168" s="1" t="s">
        <v>43</v>
      </c>
      <c r="D168" s="5" t="n">
        <f aca="false">AVERAGE(D148:D167)*10000</f>
        <v>111.35</v>
      </c>
      <c r="E168" s="5" t="n">
        <f aca="false">AVERAGE(E148:E167)*10000</f>
        <v>1678.35</v>
      </c>
      <c r="F168" s="5" t="n">
        <f aca="false">AVERAGE(F148:F167)*10000</f>
        <v>1556.85</v>
      </c>
      <c r="S168" s="5" t="n">
        <f aca="false">AVERAGE(S148:S167)*10000</f>
        <v>51.8</v>
      </c>
      <c r="T168" s="5" t="n">
        <f aca="false">AVERAGE(T148:T167)*10000</f>
        <v>353.45</v>
      </c>
      <c r="U168" s="5" t="n">
        <f aca="false">AVERAGE(U148:U167)*10000</f>
        <v>102.75</v>
      </c>
      <c r="V168" s="5" t="n">
        <f aca="false">AVERAGE(V148:V167)</f>
        <v>55.55</v>
      </c>
      <c r="W168" s="5" t="n">
        <f aca="false">AVERAGE(W148:W167)</f>
        <v>309.5</v>
      </c>
      <c r="X168" s="5" t="n">
        <f aca="false">AVERAGE(X148:X167)</f>
        <v>68.65</v>
      </c>
    </row>
    <row r="169" customFormat="false" ht="15" hidden="false" customHeight="false" outlineLevel="0" collapsed="false">
      <c r="C169" s="1" t="s">
        <v>44</v>
      </c>
      <c r="D169" s="5" t="n">
        <f aca="false">_xlfn.STDEV.P(D148:D167)*2*10000</f>
        <v>26.9761005336205</v>
      </c>
      <c r="E169" s="5" t="n">
        <f aca="false">_xlfn.STDEV.P(E148:E167)*2*10000</f>
        <v>176.583436369327</v>
      </c>
      <c r="F169" s="5" t="n">
        <f aca="false">_xlfn.STDEV.P(F148:F167)*2*10000</f>
        <v>63.2464228237455</v>
      </c>
    </row>
    <row r="170" customFormat="false" ht="15" hidden="false" customHeight="false" outlineLevel="0" collapsed="false">
      <c r="C170" s="1" t="s">
        <v>45</v>
      </c>
      <c r="D170" s="5" t="n">
        <f aca="false">S168/3*2</f>
        <v>34.5333333333333</v>
      </c>
      <c r="E170" s="5" t="n">
        <f aca="false">T168/3*2</f>
        <v>235.633333333333</v>
      </c>
      <c r="F170" s="5" t="n">
        <f aca="false">U168/3*2</f>
        <v>68.5</v>
      </c>
    </row>
    <row r="171" customFormat="false" ht="15" hidden="false" customHeight="false" outlineLevel="0" collapsed="false">
      <c r="C171" s="1" t="s">
        <v>46</v>
      </c>
      <c r="D171" s="5" t="n">
        <f aca="false">V168</f>
        <v>55.55</v>
      </c>
      <c r="E171" s="5" t="n">
        <f aca="false">W168</f>
        <v>309.5</v>
      </c>
      <c r="F171" s="5" t="n">
        <f aca="false">X168</f>
        <v>68.65</v>
      </c>
    </row>
    <row r="173" customFormat="false" ht="15" hidden="false" customHeight="false" outlineLevel="0" collapsed="false">
      <c r="A173" s="1" t="s">
        <v>70</v>
      </c>
      <c r="B173" s="1" t="s">
        <v>367</v>
      </c>
      <c r="C173" s="1" t="s">
        <v>62</v>
      </c>
      <c r="D173" s="1" t="n">
        <v>0.0149</v>
      </c>
      <c r="E173" s="1" t="n">
        <v>0.1699</v>
      </c>
      <c r="F173" s="1" t="n">
        <v>0.1439</v>
      </c>
      <c r="G173" s="1" t="n">
        <v>43.7</v>
      </c>
      <c r="H173" s="1" t="n">
        <v>5.51</v>
      </c>
      <c r="I173" s="1" t="n">
        <v>0.17</v>
      </c>
      <c r="J173" s="1" t="n">
        <v>9.34</v>
      </c>
      <c r="K173" s="1" t="n">
        <v>26.9</v>
      </c>
      <c r="L173" s="1" t="n">
        <v>0.15</v>
      </c>
      <c r="M173" s="1" t="n">
        <v>4.83</v>
      </c>
      <c r="N173" s="1" t="n">
        <v>0.95</v>
      </c>
      <c r="O173" s="1" t="n">
        <v>0.11</v>
      </c>
      <c r="P173" s="1" t="n">
        <v>0.19</v>
      </c>
      <c r="Q173" s="1" t="n">
        <v>4.24</v>
      </c>
      <c r="R173" s="1" t="n">
        <v>96.4187</v>
      </c>
      <c r="S173" s="1" t="n">
        <v>0.0054</v>
      </c>
      <c r="T173" s="1" t="n">
        <v>0.0362</v>
      </c>
      <c r="U173" s="1" t="n">
        <v>0.0102</v>
      </c>
      <c r="V173" s="1" t="n">
        <v>56</v>
      </c>
      <c r="W173" s="1" t="n">
        <v>316</v>
      </c>
      <c r="X173" s="1" t="n">
        <v>70</v>
      </c>
      <c r="Y173" s="1" t="n">
        <v>12904</v>
      </c>
      <c r="Z173" s="1" t="n">
        <v>-21582</v>
      </c>
      <c r="AA173" s="1" t="n">
        <v>-445</v>
      </c>
      <c r="AB173" s="1" t="n">
        <v>0</v>
      </c>
      <c r="AC173" s="1" t="s">
        <v>367</v>
      </c>
    </row>
    <row r="174" customFormat="false" ht="15" hidden="false" customHeight="false" outlineLevel="0" collapsed="false">
      <c r="A174" s="1" t="s">
        <v>72</v>
      </c>
      <c r="B174" s="1" t="s">
        <v>367</v>
      </c>
      <c r="C174" s="1" t="s">
        <v>62</v>
      </c>
      <c r="D174" s="1" t="n">
        <v>0.0123</v>
      </c>
      <c r="E174" s="1" t="n">
        <v>0.1651</v>
      </c>
      <c r="F174" s="1" t="n">
        <v>0.1512</v>
      </c>
      <c r="G174" s="1" t="n">
        <v>43.7</v>
      </c>
      <c r="H174" s="1" t="n">
        <v>5.51</v>
      </c>
      <c r="I174" s="1" t="n">
        <v>0.17</v>
      </c>
      <c r="J174" s="1" t="n">
        <v>9.34</v>
      </c>
      <c r="K174" s="1" t="n">
        <v>26.9</v>
      </c>
      <c r="L174" s="1" t="n">
        <v>0.15</v>
      </c>
      <c r="M174" s="1" t="n">
        <v>4.83</v>
      </c>
      <c r="N174" s="1" t="n">
        <v>0.95</v>
      </c>
      <c r="O174" s="1" t="n">
        <v>0.11</v>
      </c>
      <c r="P174" s="1" t="n">
        <v>0.19</v>
      </c>
      <c r="Q174" s="1" t="n">
        <v>4.24</v>
      </c>
      <c r="R174" s="1" t="n">
        <v>96.4187</v>
      </c>
      <c r="S174" s="1" t="n">
        <v>0.0054</v>
      </c>
      <c r="T174" s="1" t="n">
        <v>0.0366</v>
      </c>
      <c r="U174" s="1" t="n">
        <v>0.0103</v>
      </c>
      <c r="V174" s="1" t="n">
        <v>58</v>
      </c>
      <c r="W174" s="1" t="n">
        <v>327</v>
      </c>
      <c r="X174" s="1" t="n">
        <v>69</v>
      </c>
      <c r="Y174" s="1" t="n">
        <v>12959</v>
      </c>
      <c r="Z174" s="1" t="n">
        <v>-21594</v>
      </c>
      <c r="AA174" s="1" t="n">
        <v>-445</v>
      </c>
      <c r="AB174" s="1" t="n">
        <v>56.29</v>
      </c>
      <c r="AC174" s="1" t="s">
        <v>367</v>
      </c>
    </row>
    <row r="175" customFormat="false" ht="15" hidden="false" customHeight="false" outlineLevel="0" collapsed="false">
      <c r="A175" s="1" t="s">
        <v>73</v>
      </c>
      <c r="B175" s="1" t="s">
        <v>367</v>
      </c>
      <c r="C175" s="1" t="s">
        <v>62</v>
      </c>
      <c r="D175" s="1" t="n">
        <v>0.0108</v>
      </c>
      <c r="E175" s="1" t="n">
        <v>0.1801</v>
      </c>
      <c r="F175" s="1" t="n">
        <v>0.1487</v>
      </c>
      <c r="G175" s="1" t="n">
        <v>43.7</v>
      </c>
      <c r="H175" s="1" t="n">
        <v>5.51</v>
      </c>
      <c r="I175" s="1" t="n">
        <v>0.17</v>
      </c>
      <c r="J175" s="1" t="n">
        <v>9.34</v>
      </c>
      <c r="K175" s="1" t="n">
        <v>26.9</v>
      </c>
      <c r="L175" s="1" t="n">
        <v>0.15</v>
      </c>
      <c r="M175" s="1" t="n">
        <v>4.83</v>
      </c>
      <c r="N175" s="1" t="n">
        <v>0.95</v>
      </c>
      <c r="O175" s="1" t="n">
        <v>0.11</v>
      </c>
      <c r="P175" s="1" t="n">
        <v>0.19</v>
      </c>
      <c r="Q175" s="1" t="n">
        <v>4.24</v>
      </c>
      <c r="R175" s="1" t="n">
        <v>96.4297</v>
      </c>
      <c r="S175" s="1" t="n">
        <v>0.0053</v>
      </c>
      <c r="T175" s="1" t="n">
        <v>0.0364</v>
      </c>
      <c r="U175" s="1" t="n">
        <v>0.0103</v>
      </c>
      <c r="V175" s="1" t="n">
        <v>57</v>
      </c>
      <c r="W175" s="1" t="n">
        <v>311</v>
      </c>
      <c r="X175" s="1" t="n">
        <v>71</v>
      </c>
      <c r="Y175" s="1" t="n">
        <v>12960</v>
      </c>
      <c r="Z175" s="1" t="n">
        <v>-21516</v>
      </c>
      <c r="AA175" s="1" t="n">
        <v>-445</v>
      </c>
      <c r="AB175" s="1" t="n">
        <v>86.56</v>
      </c>
      <c r="AC175" s="1" t="s">
        <v>367</v>
      </c>
    </row>
    <row r="176" customFormat="false" ht="15" hidden="false" customHeight="false" outlineLevel="0" collapsed="false">
      <c r="A176" s="1" t="s">
        <v>74</v>
      </c>
      <c r="B176" s="1" t="s">
        <v>367</v>
      </c>
      <c r="C176" s="1" t="s">
        <v>62</v>
      </c>
      <c r="D176" s="1" t="n">
        <v>0.0094</v>
      </c>
      <c r="E176" s="1" t="n">
        <v>0.1736</v>
      </c>
      <c r="F176" s="1" t="n">
        <v>0.1386</v>
      </c>
      <c r="G176" s="1" t="n">
        <v>43.7</v>
      </c>
      <c r="H176" s="1" t="n">
        <v>5.51</v>
      </c>
      <c r="I176" s="1" t="n">
        <v>0.17</v>
      </c>
      <c r="J176" s="1" t="n">
        <v>9.34</v>
      </c>
      <c r="K176" s="1" t="n">
        <v>26.9</v>
      </c>
      <c r="L176" s="1" t="n">
        <v>0.15</v>
      </c>
      <c r="M176" s="1" t="n">
        <v>4.83</v>
      </c>
      <c r="N176" s="1" t="n">
        <v>0.95</v>
      </c>
      <c r="O176" s="1" t="n">
        <v>0.11</v>
      </c>
      <c r="P176" s="1" t="n">
        <v>0.19</v>
      </c>
      <c r="Q176" s="1" t="n">
        <v>4.24</v>
      </c>
      <c r="R176" s="1" t="n">
        <v>96.4116</v>
      </c>
      <c r="S176" s="1" t="n">
        <v>0.0052</v>
      </c>
      <c r="T176" s="1" t="n">
        <v>0.0363</v>
      </c>
      <c r="U176" s="1" t="n">
        <v>0.0101</v>
      </c>
      <c r="V176" s="1" t="n">
        <v>57</v>
      </c>
      <c r="W176" s="1" t="n">
        <v>315</v>
      </c>
      <c r="X176" s="1" t="n">
        <v>71</v>
      </c>
      <c r="Y176" s="1" t="n">
        <v>12943</v>
      </c>
      <c r="Z176" s="1" t="n">
        <v>-21499</v>
      </c>
      <c r="AA176" s="1" t="n">
        <v>-445</v>
      </c>
      <c r="AB176" s="1" t="n">
        <v>91.71</v>
      </c>
      <c r="AC176" s="1" t="s">
        <v>367</v>
      </c>
    </row>
    <row r="177" customFormat="false" ht="15" hidden="false" customHeight="false" outlineLevel="0" collapsed="false">
      <c r="A177" s="1" t="s">
        <v>75</v>
      </c>
      <c r="B177" s="1" t="s">
        <v>367</v>
      </c>
      <c r="C177" s="1" t="s">
        <v>62</v>
      </c>
      <c r="D177" s="1" t="n">
        <v>0.014</v>
      </c>
      <c r="E177" s="1" t="n">
        <v>0.1558</v>
      </c>
      <c r="F177" s="1" t="n">
        <v>0.1526</v>
      </c>
      <c r="G177" s="1" t="n">
        <v>43.7</v>
      </c>
      <c r="H177" s="1" t="n">
        <v>5.51</v>
      </c>
      <c r="I177" s="1" t="n">
        <v>0.17</v>
      </c>
      <c r="J177" s="1" t="n">
        <v>9.34</v>
      </c>
      <c r="K177" s="1" t="n">
        <v>26.9</v>
      </c>
      <c r="L177" s="1" t="n">
        <v>0.15</v>
      </c>
      <c r="M177" s="1" t="n">
        <v>4.83</v>
      </c>
      <c r="N177" s="1" t="n">
        <v>0.95</v>
      </c>
      <c r="O177" s="1" t="n">
        <v>0.11</v>
      </c>
      <c r="P177" s="1" t="n">
        <v>0.19</v>
      </c>
      <c r="Q177" s="1" t="n">
        <v>4.24</v>
      </c>
      <c r="R177" s="1" t="n">
        <v>96.4124</v>
      </c>
      <c r="S177" s="1" t="n">
        <v>0.0054</v>
      </c>
      <c r="T177" s="1" t="n">
        <v>0.0352</v>
      </c>
      <c r="U177" s="1" t="n">
        <v>0.0104</v>
      </c>
      <c r="V177" s="1" t="n">
        <v>57</v>
      </c>
      <c r="W177" s="1" t="n">
        <v>312</v>
      </c>
      <c r="X177" s="1" t="n">
        <v>70</v>
      </c>
      <c r="Y177" s="1" t="n">
        <v>12884</v>
      </c>
      <c r="Z177" s="1" t="n">
        <v>-21511</v>
      </c>
      <c r="AA177" s="1" t="n">
        <v>-445</v>
      </c>
      <c r="AB177" s="1" t="n">
        <v>73.76</v>
      </c>
      <c r="AC177" s="1" t="s">
        <v>367</v>
      </c>
    </row>
    <row r="178" customFormat="false" ht="15" hidden="false" customHeight="false" outlineLevel="0" collapsed="false">
      <c r="A178" s="1" t="s">
        <v>84</v>
      </c>
      <c r="B178" s="1" t="s">
        <v>367</v>
      </c>
      <c r="C178" s="1" t="s">
        <v>62</v>
      </c>
      <c r="D178" s="1" t="n">
        <v>0.0099</v>
      </c>
      <c r="E178" s="21" t="n">
        <v>0.1595</v>
      </c>
      <c r="F178" s="21" t="n">
        <v>0.1517</v>
      </c>
      <c r="G178" s="21" t="n">
        <v>43.7</v>
      </c>
      <c r="H178" s="1" t="n">
        <v>5.51</v>
      </c>
      <c r="I178" s="1" t="n">
        <v>0.17</v>
      </c>
      <c r="J178" s="1" t="n">
        <v>9.34</v>
      </c>
      <c r="K178" s="1" t="n">
        <v>26.9</v>
      </c>
      <c r="L178" s="1" t="n">
        <v>0.15</v>
      </c>
      <c r="M178" s="1" t="n">
        <v>4.83</v>
      </c>
      <c r="N178" s="1" t="n">
        <v>0.95</v>
      </c>
      <c r="O178" s="1" t="n">
        <v>0.11</v>
      </c>
      <c r="P178" s="1" t="n">
        <v>0.19</v>
      </c>
      <c r="Q178" s="1" t="n">
        <v>4.24</v>
      </c>
      <c r="R178" s="1" t="n">
        <v>96.4112</v>
      </c>
      <c r="S178" s="1" t="n">
        <v>0.0052</v>
      </c>
      <c r="T178" s="1" t="n">
        <v>0.0349</v>
      </c>
      <c r="U178" s="1" t="n">
        <v>0.01</v>
      </c>
      <c r="V178" s="1" t="n">
        <v>57</v>
      </c>
      <c r="W178" s="1" t="n">
        <v>313</v>
      </c>
      <c r="X178" s="1" t="n">
        <v>67</v>
      </c>
      <c r="Y178" s="1" t="n">
        <v>12823</v>
      </c>
      <c r="Z178" s="1" t="n">
        <v>-21490</v>
      </c>
      <c r="AA178" s="1" t="n">
        <v>-445</v>
      </c>
      <c r="AB178" s="1" t="n">
        <v>0</v>
      </c>
      <c r="AC178" s="1" t="s">
        <v>367</v>
      </c>
    </row>
    <row r="179" customFormat="false" ht="15" hidden="false" customHeight="false" outlineLevel="0" collapsed="false">
      <c r="A179" s="1" t="s">
        <v>384</v>
      </c>
      <c r="B179" s="1" t="s">
        <v>367</v>
      </c>
      <c r="C179" s="1" t="s">
        <v>62</v>
      </c>
      <c r="D179" s="1" t="n">
        <v>0.0132</v>
      </c>
      <c r="E179" s="1" t="n">
        <v>0.1588</v>
      </c>
      <c r="F179" s="1" t="n">
        <v>0.15</v>
      </c>
      <c r="G179" s="1" t="n">
        <v>43.7</v>
      </c>
      <c r="H179" s="1" t="n">
        <v>5.51</v>
      </c>
      <c r="I179" s="1" t="n">
        <v>0.17</v>
      </c>
      <c r="J179" s="1" t="n">
        <v>9.34</v>
      </c>
      <c r="K179" s="1" t="n">
        <v>26.9</v>
      </c>
      <c r="L179" s="1" t="n">
        <v>0.15</v>
      </c>
      <c r="M179" s="1" t="n">
        <v>4.83</v>
      </c>
      <c r="N179" s="1" t="n">
        <v>0.95</v>
      </c>
      <c r="O179" s="1" t="n">
        <v>0.11</v>
      </c>
      <c r="P179" s="1" t="n">
        <v>0.19</v>
      </c>
      <c r="Q179" s="1" t="n">
        <v>4.24</v>
      </c>
      <c r="R179" s="1" t="n">
        <v>96.4119</v>
      </c>
      <c r="S179" s="1" t="n">
        <v>0.0053</v>
      </c>
      <c r="T179" s="1" t="n">
        <v>0.0351</v>
      </c>
      <c r="U179" s="1" t="n">
        <v>0.01</v>
      </c>
      <c r="V179" s="1" t="n">
        <v>56</v>
      </c>
      <c r="W179" s="1" t="n">
        <v>318</v>
      </c>
      <c r="X179" s="1" t="n">
        <v>68</v>
      </c>
      <c r="Y179" s="1" t="n">
        <v>12849</v>
      </c>
      <c r="Z179" s="1" t="n">
        <v>-21433</v>
      </c>
      <c r="AA179" s="1" t="n">
        <v>-445</v>
      </c>
      <c r="AB179" s="1" t="n">
        <v>62.65</v>
      </c>
      <c r="AC179" s="1" t="s">
        <v>367</v>
      </c>
    </row>
    <row r="180" customFormat="false" ht="15" hidden="false" customHeight="false" outlineLevel="0" collapsed="false">
      <c r="A180" s="1" t="s">
        <v>385</v>
      </c>
      <c r="B180" s="1" t="s">
        <v>367</v>
      </c>
      <c r="C180" s="1" t="s">
        <v>62</v>
      </c>
      <c r="D180" s="1" t="n">
        <v>0.0099</v>
      </c>
      <c r="E180" s="1" t="n">
        <v>0.1452</v>
      </c>
      <c r="F180" s="1" t="n">
        <v>0.1458</v>
      </c>
      <c r="G180" s="1" t="n">
        <v>43.7</v>
      </c>
      <c r="H180" s="1" t="n">
        <v>5.51</v>
      </c>
      <c r="I180" s="1" t="n">
        <v>0.17</v>
      </c>
      <c r="J180" s="1" t="n">
        <v>9.34</v>
      </c>
      <c r="K180" s="1" t="n">
        <v>26.9</v>
      </c>
      <c r="L180" s="1" t="n">
        <v>0.15</v>
      </c>
      <c r="M180" s="1" t="n">
        <v>4.83</v>
      </c>
      <c r="N180" s="1" t="n">
        <v>0.95</v>
      </c>
      <c r="O180" s="1" t="n">
        <v>0.11</v>
      </c>
      <c r="P180" s="1" t="n">
        <v>0.19</v>
      </c>
      <c r="Q180" s="1" t="n">
        <v>4.24</v>
      </c>
      <c r="R180" s="1" t="n">
        <v>96.3908</v>
      </c>
      <c r="S180" s="1" t="n">
        <v>0.0051</v>
      </c>
      <c r="T180" s="1" t="n">
        <v>0.0339</v>
      </c>
      <c r="U180" s="1" t="n">
        <v>0.01</v>
      </c>
      <c r="V180" s="1" t="n">
        <v>56</v>
      </c>
      <c r="W180" s="1" t="n">
        <v>308</v>
      </c>
      <c r="X180" s="1" t="n">
        <v>70</v>
      </c>
      <c r="Y180" s="1" t="n">
        <v>12825</v>
      </c>
      <c r="Z180" s="1" t="n">
        <v>-21420</v>
      </c>
      <c r="AA180" s="1" t="n">
        <v>-445</v>
      </c>
      <c r="AB180" s="1" t="n">
        <v>70.03</v>
      </c>
      <c r="AC180" s="1" t="s">
        <v>367</v>
      </c>
    </row>
    <row r="181" customFormat="false" ht="15" hidden="false" customHeight="false" outlineLevel="0" collapsed="false">
      <c r="A181" s="1" t="s">
        <v>386</v>
      </c>
      <c r="B181" s="1" t="s">
        <v>367</v>
      </c>
      <c r="C181" s="1" t="s">
        <v>62</v>
      </c>
      <c r="D181" s="1" t="n">
        <v>0.0108</v>
      </c>
      <c r="E181" s="1" t="n">
        <v>0.173</v>
      </c>
      <c r="F181" s="1" t="n">
        <v>0.1464</v>
      </c>
      <c r="G181" s="1" t="n">
        <v>43.7</v>
      </c>
      <c r="H181" s="1" t="n">
        <v>5.51</v>
      </c>
      <c r="I181" s="1" t="n">
        <v>0.17</v>
      </c>
      <c r="J181" s="1" t="n">
        <v>9.34</v>
      </c>
      <c r="K181" s="1" t="n">
        <v>26.9</v>
      </c>
      <c r="L181" s="1" t="n">
        <v>0.15</v>
      </c>
      <c r="M181" s="1" t="n">
        <v>4.83</v>
      </c>
      <c r="N181" s="1" t="n">
        <v>0.95</v>
      </c>
      <c r="O181" s="1" t="n">
        <v>0.11</v>
      </c>
      <c r="P181" s="1" t="n">
        <v>0.19</v>
      </c>
      <c r="Q181" s="1" t="n">
        <v>4.24</v>
      </c>
      <c r="R181" s="1" t="n">
        <v>96.4203</v>
      </c>
      <c r="S181" s="1" t="n">
        <v>0.0051</v>
      </c>
      <c r="T181" s="1" t="n">
        <v>0.0358</v>
      </c>
      <c r="U181" s="1" t="n">
        <v>0.0098</v>
      </c>
      <c r="V181" s="1" t="n">
        <v>55</v>
      </c>
      <c r="W181" s="1" t="n">
        <v>317</v>
      </c>
      <c r="X181" s="1" t="n">
        <v>65</v>
      </c>
      <c r="Y181" s="1" t="n">
        <v>12808</v>
      </c>
      <c r="Z181" s="1" t="n">
        <v>-21399</v>
      </c>
      <c r="AA181" s="1" t="n">
        <v>-445</v>
      </c>
      <c r="AB181" s="1" t="n">
        <v>92.23</v>
      </c>
      <c r="AC181" s="1" t="s">
        <v>367</v>
      </c>
    </row>
    <row r="182" customFormat="false" ht="15" hidden="false" customHeight="false" outlineLevel="0" collapsed="false">
      <c r="A182" s="1" t="s">
        <v>387</v>
      </c>
      <c r="B182" s="1" t="s">
        <v>367</v>
      </c>
      <c r="C182" s="1" t="s">
        <v>62</v>
      </c>
      <c r="D182" s="1" t="n">
        <v>0.012</v>
      </c>
      <c r="E182" s="1" t="n">
        <v>0.1697</v>
      </c>
      <c r="F182" s="1" t="n">
        <v>0.1525</v>
      </c>
      <c r="G182" s="1" t="n">
        <v>43.7</v>
      </c>
      <c r="H182" s="1" t="n">
        <v>5.51</v>
      </c>
      <c r="I182" s="1" t="n">
        <v>0.17</v>
      </c>
      <c r="J182" s="1" t="n">
        <v>9.34</v>
      </c>
      <c r="K182" s="1" t="n">
        <v>26.9</v>
      </c>
      <c r="L182" s="1" t="n">
        <v>0.15</v>
      </c>
      <c r="M182" s="1" t="n">
        <v>4.83</v>
      </c>
      <c r="N182" s="1" t="n">
        <v>0.95</v>
      </c>
      <c r="O182" s="1" t="n">
        <v>0.11</v>
      </c>
      <c r="P182" s="1" t="n">
        <v>0.19</v>
      </c>
      <c r="Q182" s="1" t="n">
        <v>4.24</v>
      </c>
      <c r="R182" s="1" t="n">
        <v>96.4242</v>
      </c>
      <c r="S182" s="1" t="n">
        <v>0.0051</v>
      </c>
      <c r="T182" s="1" t="n">
        <v>0.0345</v>
      </c>
      <c r="U182" s="1" t="n">
        <v>0.0101</v>
      </c>
      <c r="V182" s="1" t="n">
        <v>55</v>
      </c>
      <c r="W182" s="1" t="n">
        <v>298</v>
      </c>
      <c r="X182" s="1" t="n">
        <v>68</v>
      </c>
      <c r="Y182" s="1" t="n">
        <v>12786</v>
      </c>
      <c r="Z182" s="1" t="n">
        <v>-21380</v>
      </c>
      <c r="AA182" s="1" t="n">
        <v>-445</v>
      </c>
      <c r="AB182" s="1" t="n">
        <v>116.06</v>
      </c>
      <c r="AC182" s="1" t="s">
        <v>367</v>
      </c>
    </row>
    <row r="183" customFormat="false" ht="15" hidden="false" customHeight="false" outlineLevel="0" collapsed="false">
      <c r="A183" s="1" t="s">
        <v>85</v>
      </c>
      <c r="B183" s="1" t="s">
        <v>367</v>
      </c>
      <c r="C183" s="1" t="s">
        <v>62</v>
      </c>
      <c r="D183" s="1" t="n">
        <v>0.0124</v>
      </c>
      <c r="E183" s="1" t="n">
        <v>0.1782</v>
      </c>
      <c r="F183" s="1" t="n">
        <v>0.1563</v>
      </c>
      <c r="G183" s="1" t="n">
        <v>43.7</v>
      </c>
      <c r="H183" s="1" t="n">
        <v>5.51</v>
      </c>
      <c r="I183" s="1" t="n">
        <v>0.17</v>
      </c>
      <c r="J183" s="1" t="n">
        <v>9.34</v>
      </c>
      <c r="K183" s="1" t="n">
        <v>26.9</v>
      </c>
      <c r="L183" s="1" t="n">
        <v>0.15</v>
      </c>
      <c r="M183" s="1" t="n">
        <v>4.83</v>
      </c>
      <c r="N183" s="1" t="n">
        <v>0.95</v>
      </c>
      <c r="O183" s="1" t="n">
        <v>0.11</v>
      </c>
      <c r="P183" s="1" t="n">
        <v>0.19</v>
      </c>
      <c r="Q183" s="1" t="n">
        <v>4.24</v>
      </c>
      <c r="R183" s="1" t="n">
        <v>96.4368</v>
      </c>
      <c r="S183" s="1" t="n">
        <v>0.0052</v>
      </c>
      <c r="T183" s="1" t="n">
        <v>0.0344</v>
      </c>
      <c r="U183" s="1" t="n">
        <v>0.0101</v>
      </c>
      <c r="V183" s="1" t="n">
        <v>56</v>
      </c>
      <c r="W183" s="1" t="n">
        <v>289</v>
      </c>
      <c r="X183" s="1" t="n">
        <v>66</v>
      </c>
      <c r="Y183" s="1" t="n">
        <v>12823</v>
      </c>
      <c r="Z183" s="1" t="n">
        <v>-21490</v>
      </c>
      <c r="AA183" s="1" t="n">
        <v>-445</v>
      </c>
      <c r="AB183" s="1" t="n">
        <v>0</v>
      </c>
      <c r="AC183" s="1" t="s">
        <v>367</v>
      </c>
    </row>
    <row r="184" customFormat="false" ht="15" hidden="false" customHeight="false" outlineLevel="0" collapsed="false">
      <c r="A184" s="1" t="s">
        <v>388</v>
      </c>
      <c r="B184" s="1" t="s">
        <v>367</v>
      </c>
      <c r="C184" s="1" t="s">
        <v>62</v>
      </c>
      <c r="D184" s="1" t="n">
        <v>0.0112</v>
      </c>
      <c r="E184" s="1" t="n">
        <v>0.1518</v>
      </c>
      <c r="F184" s="1" t="n">
        <v>0.1496</v>
      </c>
      <c r="G184" s="1" t="n">
        <v>43.7</v>
      </c>
      <c r="H184" s="1" t="n">
        <v>5.51</v>
      </c>
      <c r="I184" s="1" t="n">
        <v>0.17</v>
      </c>
      <c r="J184" s="1" t="n">
        <v>9.34</v>
      </c>
      <c r="K184" s="1" t="n">
        <v>26.9</v>
      </c>
      <c r="L184" s="1" t="n">
        <v>0.15</v>
      </c>
      <c r="M184" s="1" t="n">
        <v>4.83</v>
      </c>
      <c r="N184" s="1" t="n">
        <v>0.95</v>
      </c>
      <c r="O184" s="1" t="n">
        <v>0.11</v>
      </c>
      <c r="P184" s="1" t="n">
        <v>0.19</v>
      </c>
      <c r="Q184" s="1" t="n">
        <v>4.24</v>
      </c>
      <c r="R184" s="1" t="n">
        <v>96.4027</v>
      </c>
      <c r="S184" s="1" t="n">
        <v>0.005</v>
      </c>
      <c r="T184" s="1" t="n">
        <v>0.0344</v>
      </c>
      <c r="U184" s="1" t="n">
        <v>0.01</v>
      </c>
      <c r="V184" s="1" t="n">
        <v>54</v>
      </c>
      <c r="W184" s="1" t="n">
        <v>312</v>
      </c>
      <c r="X184" s="1" t="n">
        <v>67</v>
      </c>
      <c r="Y184" s="1" t="n">
        <v>12727</v>
      </c>
      <c r="Z184" s="1" t="n">
        <v>-21334</v>
      </c>
      <c r="AA184" s="1" t="n">
        <v>-445</v>
      </c>
      <c r="AB184" s="1" t="n">
        <v>183.17</v>
      </c>
      <c r="AC184" s="1" t="s">
        <v>367</v>
      </c>
    </row>
    <row r="185" customFormat="false" ht="15" hidden="false" customHeight="false" outlineLevel="0" collapsed="false">
      <c r="A185" s="1" t="s">
        <v>389</v>
      </c>
      <c r="B185" s="1" t="s">
        <v>367</v>
      </c>
      <c r="C185" s="1" t="s">
        <v>62</v>
      </c>
      <c r="D185" s="1" t="n">
        <v>0.0119</v>
      </c>
      <c r="E185" s="1" t="n">
        <v>0.1662</v>
      </c>
      <c r="F185" s="1" t="n">
        <v>0.152</v>
      </c>
      <c r="G185" s="1" t="n">
        <v>43.7</v>
      </c>
      <c r="H185" s="1" t="n">
        <v>5.51</v>
      </c>
      <c r="I185" s="1" t="n">
        <v>0.17</v>
      </c>
      <c r="J185" s="1" t="n">
        <v>9.34</v>
      </c>
      <c r="K185" s="1" t="n">
        <v>26.9</v>
      </c>
      <c r="L185" s="1" t="n">
        <v>0.15</v>
      </c>
      <c r="M185" s="1" t="n">
        <v>4.83</v>
      </c>
      <c r="N185" s="1" t="n">
        <v>0.95</v>
      </c>
      <c r="O185" s="1" t="n">
        <v>0.11</v>
      </c>
      <c r="P185" s="1" t="n">
        <v>0.19</v>
      </c>
      <c r="Q185" s="1" t="n">
        <v>4.24</v>
      </c>
      <c r="R185" s="1" t="n">
        <v>96.4201</v>
      </c>
      <c r="S185" s="1" t="n">
        <v>0.005</v>
      </c>
      <c r="T185" s="1" t="n">
        <v>0.0336</v>
      </c>
      <c r="U185" s="1" t="n">
        <v>0.01</v>
      </c>
      <c r="V185" s="1" t="n">
        <v>53</v>
      </c>
      <c r="W185" s="1" t="n">
        <v>285</v>
      </c>
      <c r="X185" s="1" t="n">
        <v>67</v>
      </c>
      <c r="Y185" s="1" t="n">
        <v>12557</v>
      </c>
      <c r="Z185" s="1" t="n">
        <v>-21317</v>
      </c>
      <c r="AA185" s="1" t="n">
        <v>-445</v>
      </c>
      <c r="AB185" s="1" t="n">
        <v>317.31</v>
      </c>
      <c r="AC185" s="1" t="s">
        <v>367</v>
      </c>
    </row>
    <row r="186" customFormat="false" ht="15" hidden="false" customHeight="false" outlineLevel="0" collapsed="false">
      <c r="A186" s="1" t="s">
        <v>390</v>
      </c>
      <c r="B186" s="1" t="s">
        <v>367</v>
      </c>
      <c r="C186" s="1" t="s">
        <v>62</v>
      </c>
      <c r="D186" s="1" t="n">
        <v>0.0102</v>
      </c>
      <c r="E186" s="1" t="n">
        <v>0.1387</v>
      </c>
      <c r="F186" s="1" t="n">
        <v>0.1538</v>
      </c>
      <c r="G186" s="1" t="n">
        <v>43.7</v>
      </c>
      <c r="H186" s="1" t="n">
        <v>5.51</v>
      </c>
      <c r="I186" s="1" t="n">
        <v>0.17</v>
      </c>
      <c r="J186" s="1" t="n">
        <v>9.34</v>
      </c>
      <c r="K186" s="1" t="n">
        <v>26.9</v>
      </c>
      <c r="L186" s="1" t="n">
        <v>0.15</v>
      </c>
      <c r="M186" s="1" t="n">
        <v>4.83</v>
      </c>
      <c r="N186" s="1" t="n">
        <v>0.95</v>
      </c>
      <c r="O186" s="1" t="n">
        <v>0.11</v>
      </c>
      <c r="P186" s="1" t="n">
        <v>0.19</v>
      </c>
      <c r="Q186" s="1" t="n">
        <v>4.24</v>
      </c>
      <c r="R186" s="1" t="n">
        <v>96.3927</v>
      </c>
      <c r="S186" s="1" t="n">
        <v>0.0052</v>
      </c>
      <c r="T186" s="1" t="n">
        <v>0.0336</v>
      </c>
      <c r="U186" s="1" t="n">
        <v>0.01</v>
      </c>
      <c r="V186" s="1" t="n">
        <v>57</v>
      </c>
      <c r="W186" s="1" t="n">
        <v>308</v>
      </c>
      <c r="X186" s="1" t="n">
        <v>66</v>
      </c>
      <c r="Y186" s="1" t="n">
        <v>12583</v>
      </c>
      <c r="Z186" s="1" t="n">
        <v>-21356</v>
      </c>
      <c r="AA186" s="1" t="n">
        <v>-445</v>
      </c>
      <c r="AB186" s="1" t="n">
        <v>274.87</v>
      </c>
      <c r="AC186" s="1" t="s">
        <v>367</v>
      </c>
    </row>
    <row r="187" customFormat="false" ht="15" hidden="false" customHeight="false" outlineLevel="0" collapsed="false">
      <c r="A187" s="1" t="s">
        <v>391</v>
      </c>
      <c r="B187" s="1" t="s">
        <v>367</v>
      </c>
      <c r="C187" s="1" t="s">
        <v>62</v>
      </c>
      <c r="D187" s="1" t="n">
        <v>0.0096</v>
      </c>
      <c r="E187" s="1" t="n">
        <v>0.1926</v>
      </c>
      <c r="F187" s="1" t="n">
        <v>0.1455</v>
      </c>
      <c r="G187" s="1" t="n">
        <v>43.7</v>
      </c>
      <c r="H187" s="1" t="n">
        <v>5.51</v>
      </c>
      <c r="I187" s="1" t="n">
        <v>0.17</v>
      </c>
      <c r="J187" s="1" t="n">
        <v>9.34</v>
      </c>
      <c r="K187" s="1" t="n">
        <v>26.9</v>
      </c>
      <c r="L187" s="1" t="n">
        <v>0.15</v>
      </c>
      <c r="M187" s="1" t="n">
        <v>4.83</v>
      </c>
      <c r="N187" s="1" t="n">
        <v>0.95</v>
      </c>
      <c r="O187" s="1" t="n">
        <v>0.11</v>
      </c>
      <c r="P187" s="1" t="n">
        <v>0.19</v>
      </c>
      <c r="Q187" s="1" t="n">
        <v>4.24</v>
      </c>
      <c r="R187" s="1" t="n">
        <v>96.4378</v>
      </c>
      <c r="S187" s="1" t="n">
        <v>0.0051</v>
      </c>
      <c r="T187" s="1" t="n">
        <v>0.0352</v>
      </c>
      <c r="U187" s="1" t="n">
        <v>0.0099</v>
      </c>
      <c r="V187" s="1" t="n">
        <v>55</v>
      </c>
      <c r="W187" s="1" t="n">
        <v>292</v>
      </c>
      <c r="X187" s="1" t="n">
        <v>68</v>
      </c>
      <c r="Y187" s="1" t="n">
        <v>12527</v>
      </c>
      <c r="Z187" s="1" t="n">
        <v>-21408</v>
      </c>
      <c r="AA187" s="1" t="n">
        <v>-445</v>
      </c>
      <c r="AB187" s="1" t="n">
        <v>307.15</v>
      </c>
      <c r="AC187" s="1" t="s">
        <v>367</v>
      </c>
    </row>
    <row r="188" customFormat="false" ht="15" hidden="false" customHeight="false" outlineLevel="0" collapsed="false">
      <c r="A188" s="1" t="s">
        <v>95</v>
      </c>
      <c r="B188" s="1" t="s">
        <v>367</v>
      </c>
      <c r="C188" s="1" t="s">
        <v>62</v>
      </c>
      <c r="D188" s="1" t="n">
        <v>0.0139</v>
      </c>
      <c r="E188" s="1" t="n">
        <v>0.1684</v>
      </c>
      <c r="F188" s="1" t="n">
        <v>0.1493</v>
      </c>
      <c r="G188" s="1" t="n">
        <v>43.7</v>
      </c>
      <c r="H188" s="1" t="n">
        <v>5.51</v>
      </c>
      <c r="I188" s="1" t="n">
        <v>0.17</v>
      </c>
      <c r="J188" s="1" t="n">
        <v>9.34</v>
      </c>
      <c r="K188" s="1" t="n">
        <v>26.9</v>
      </c>
      <c r="L188" s="1" t="n">
        <v>0.15</v>
      </c>
      <c r="M188" s="1" t="n">
        <v>4.83</v>
      </c>
      <c r="N188" s="1" t="n">
        <v>0.95</v>
      </c>
      <c r="O188" s="1" t="n">
        <v>0.11</v>
      </c>
      <c r="P188" s="1" t="n">
        <v>0.19</v>
      </c>
      <c r="Q188" s="1" t="n">
        <v>4.24</v>
      </c>
      <c r="R188" s="1" t="n">
        <v>96.4217</v>
      </c>
      <c r="S188" s="1" t="n">
        <v>0.0051</v>
      </c>
      <c r="T188" s="1" t="n">
        <v>0.0344</v>
      </c>
      <c r="U188" s="1" t="n">
        <v>0.0101</v>
      </c>
      <c r="V188" s="1" t="n">
        <v>53</v>
      </c>
      <c r="W188" s="1" t="n">
        <v>297</v>
      </c>
      <c r="X188" s="1" t="n">
        <v>69</v>
      </c>
      <c r="Y188" s="1" t="n">
        <v>12533</v>
      </c>
      <c r="Z188" s="1" t="n">
        <v>-21440</v>
      </c>
      <c r="AA188" s="1" t="n">
        <v>-445</v>
      </c>
      <c r="AB188" s="1" t="n">
        <v>0</v>
      </c>
      <c r="AC188" s="1" t="s">
        <v>367</v>
      </c>
    </row>
    <row r="189" customFormat="false" ht="15" hidden="false" customHeight="false" outlineLevel="0" collapsed="false">
      <c r="A189" s="1" t="s">
        <v>392</v>
      </c>
      <c r="B189" s="1" t="s">
        <v>367</v>
      </c>
      <c r="C189" s="1" t="s">
        <v>62</v>
      </c>
      <c r="D189" s="1" t="n">
        <v>0.0102</v>
      </c>
      <c r="E189" s="1" t="n">
        <v>0.1676</v>
      </c>
      <c r="F189" s="1" t="n">
        <v>0.1484</v>
      </c>
      <c r="G189" s="1" t="n">
        <v>43.7</v>
      </c>
      <c r="H189" s="1" t="n">
        <v>5.51</v>
      </c>
      <c r="I189" s="1" t="n">
        <v>0.17</v>
      </c>
      <c r="J189" s="1" t="n">
        <v>9.34</v>
      </c>
      <c r="K189" s="1" t="n">
        <v>26.9</v>
      </c>
      <c r="L189" s="1" t="n">
        <v>0.15</v>
      </c>
      <c r="M189" s="1" t="n">
        <v>4.83</v>
      </c>
      <c r="N189" s="1" t="n">
        <v>0.95</v>
      </c>
      <c r="O189" s="1" t="n">
        <v>0.11</v>
      </c>
      <c r="P189" s="1" t="n">
        <v>0.19</v>
      </c>
      <c r="Q189" s="1" t="n">
        <v>4.24</v>
      </c>
      <c r="R189" s="1" t="n">
        <v>96.4162</v>
      </c>
      <c r="S189" s="1" t="n">
        <v>0.0051</v>
      </c>
      <c r="T189" s="1" t="n">
        <v>0.0352</v>
      </c>
      <c r="U189" s="1" t="n">
        <v>0.0099</v>
      </c>
      <c r="V189" s="1" t="n">
        <v>56</v>
      </c>
      <c r="W189" s="1" t="n">
        <v>311</v>
      </c>
      <c r="X189" s="1" t="n">
        <v>66</v>
      </c>
      <c r="Y189" s="1" t="n">
        <v>12541</v>
      </c>
      <c r="Z189" s="1" t="n">
        <v>-21468</v>
      </c>
      <c r="AA189" s="1" t="n">
        <v>-445</v>
      </c>
      <c r="AB189" s="1" t="n">
        <v>29.12</v>
      </c>
      <c r="AC189" s="1" t="s">
        <v>367</v>
      </c>
    </row>
    <row r="190" customFormat="false" ht="15" hidden="false" customHeight="false" outlineLevel="0" collapsed="false">
      <c r="A190" s="1" t="s">
        <v>393</v>
      </c>
      <c r="B190" s="1" t="s">
        <v>367</v>
      </c>
      <c r="C190" s="1" t="s">
        <v>62</v>
      </c>
      <c r="D190" s="1" t="n">
        <v>0.0118</v>
      </c>
      <c r="E190" s="1" t="n">
        <v>0.1782</v>
      </c>
      <c r="F190" s="1" t="n">
        <v>0.1466</v>
      </c>
      <c r="G190" s="1" t="n">
        <v>43.7</v>
      </c>
      <c r="H190" s="1" t="n">
        <v>5.51</v>
      </c>
      <c r="I190" s="1" t="n">
        <v>0.17</v>
      </c>
      <c r="J190" s="1" t="n">
        <v>9.34</v>
      </c>
      <c r="K190" s="1" t="n">
        <v>26.9</v>
      </c>
      <c r="L190" s="1" t="n">
        <v>0.15</v>
      </c>
      <c r="M190" s="1" t="n">
        <v>4.83</v>
      </c>
      <c r="N190" s="1" t="n">
        <v>0.95</v>
      </c>
      <c r="O190" s="1" t="n">
        <v>0.11</v>
      </c>
      <c r="P190" s="1" t="n">
        <v>0.19</v>
      </c>
      <c r="Q190" s="1" t="n">
        <v>4.24</v>
      </c>
      <c r="R190" s="1" t="n">
        <v>96.4267</v>
      </c>
      <c r="S190" s="1" t="n">
        <v>0.0051</v>
      </c>
      <c r="T190" s="1" t="n">
        <v>0.0353</v>
      </c>
      <c r="U190" s="1" t="n">
        <v>0.0099</v>
      </c>
      <c r="V190" s="1" t="n">
        <v>54</v>
      </c>
      <c r="W190" s="1" t="n">
        <v>305</v>
      </c>
      <c r="X190" s="1" t="n">
        <v>67</v>
      </c>
      <c r="Y190" s="1" t="n">
        <v>12494</v>
      </c>
      <c r="Z190" s="1" t="n">
        <v>-21456</v>
      </c>
      <c r="AA190" s="1" t="n">
        <v>-445</v>
      </c>
      <c r="AB190" s="1" t="n">
        <v>42.15</v>
      </c>
      <c r="AC190" s="1" t="s">
        <v>367</v>
      </c>
    </row>
    <row r="191" customFormat="false" ht="15" hidden="false" customHeight="false" outlineLevel="0" collapsed="false">
      <c r="A191" s="1" t="s">
        <v>394</v>
      </c>
      <c r="B191" s="1" t="s">
        <v>367</v>
      </c>
      <c r="C191" s="1" t="s">
        <v>62</v>
      </c>
      <c r="D191" s="1" t="n">
        <v>0.0103</v>
      </c>
      <c r="E191" s="1" t="n">
        <v>0.1959</v>
      </c>
      <c r="F191" s="1" t="n">
        <v>0.1515</v>
      </c>
      <c r="G191" s="1" t="n">
        <v>43.7</v>
      </c>
      <c r="H191" s="1" t="n">
        <v>5.51</v>
      </c>
      <c r="I191" s="1" t="n">
        <v>0.17</v>
      </c>
      <c r="J191" s="1" t="n">
        <v>9.34</v>
      </c>
      <c r="K191" s="1" t="n">
        <v>26.9</v>
      </c>
      <c r="L191" s="1" t="n">
        <v>0.15</v>
      </c>
      <c r="M191" s="1" t="n">
        <v>4.83</v>
      </c>
      <c r="N191" s="1" t="n">
        <v>0.95</v>
      </c>
      <c r="O191" s="1" t="n">
        <v>0.11</v>
      </c>
      <c r="P191" s="1" t="n">
        <v>0.19</v>
      </c>
      <c r="Q191" s="1" t="n">
        <v>4.24</v>
      </c>
      <c r="R191" s="1" t="n">
        <v>96.4477</v>
      </c>
      <c r="S191" s="1" t="n">
        <v>0.005</v>
      </c>
      <c r="T191" s="1" t="n">
        <v>0.0356</v>
      </c>
      <c r="U191" s="1" t="n">
        <v>0.0099</v>
      </c>
      <c r="V191" s="1" t="n">
        <v>55</v>
      </c>
      <c r="W191" s="1" t="n">
        <v>295</v>
      </c>
      <c r="X191" s="1" t="n">
        <v>65</v>
      </c>
      <c r="Y191" s="1" t="n">
        <v>12473</v>
      </c>
      <c r="Z191" s="1" t="n">
        <v>-21445</v>
      </c>
      <c r="AA191" s="1" t="n">
        <v>-445</v>
      </c>
      <c r="AB191" s="1" t="n">
        <v>60.21</v>
      </c>
      <c r="AC191" s="1" t="s">
        <v>367</v>
      </c>
    </row>
    <row r="192" customFormat="false" ht="15" hidden="false" customHeight="false" outlineLevel="0" collapsed="false">
      <c r="A192" s="1" t="s">
        <v>395</v>
      </c>
      <c r="B192" s="1" t="s">
        <v>367</v>
      </c>
      <c r="C192" s="1" t="s">
        <v>62</v>
      </c>
      <c r="D192" s="1" t="n">
        <v>0.0114</v>
      </c>
      <c r="E192" s="1" t="n">
        <v>0.1692</v>
      </c>
      <c r="F192" s="1" t="n">
        <v>0.1501</v>
      </c>
      <c r="G192" s="1" t="n">
        <v>43.7</v>
      </c>
      <c r="H192" s="1" t="n">
        <v>5.51</v>
      </c>
      <c r="I192" s="1" t="n">
        <v>0.17</v>
      </c>
      <c r="J192" s="1" t="n">
        <v>9.34</v>
      </c>
      <c r="K192" s="1" t="n">
        <v>26.9</v>
      </c>
      <c r="L192" s="1" t="n">
        <v>0.15</v>
      </c>
      <c r="M192" s="1" t="n">
        <v>4.83</v>
      </c>
      <c r="N192" s="1" t="n">
        <v>0.95</v>
      </c>
      <c r="O192" s="1" t="n">
        <v>0.11</v>
      </c>
      <c r="P192" s="1" t="n">
        <v>0.19</v>
      </c>
      <c r="Q192" s="1" t="n">
        <v>4.24</v>
      </c>
      <c r="R192" s="1" t="n">
        <v>96.4207</v>
      </c>
      <c r="S192" s="1" t="n">
        <v>0.0051</v>
      </c>
      <c r="T192" s="1" t="n">
        <v>0.0353</v>
      </c>
      <c r="U192" s="1" t="n">
        <v>0.01</v>
      </c>
      <c r="V192" s="1" t="n">
        <v>54</v>
      </c>
      <c r="W192" s="1" t="n">
        <v>313</v>
      </c>
      <c r="X192" s="1" t="n">
        <v>67</v>
      </c>
      <c r="Y192" s="1" t="n">
        <v>12350</v>
      </c>
      <c r="Z192" s="1" t="n">
        <v>-21441</v>
      </c>
      <c r="AA192" s="1" t="n">
        <v>-445</v>
      </c>
      <c r="AB192" s="1" t="n">
        <v>183</v>
      </c>
      <c r="AC192" s="1" t="s">
        <v>367</v>
      </c>
    </row>
    <row r="193" customFormat="false" ht="15" hidden="false" customHeight="false" outlineLevel="0" collapsed="false">
      <c r="C193" s="1" t="s">
        <v>43</v>
      </c>
      <c r="D193" s="5" t="n">
        <f aca="false">AVERAGE(D173:D192)*10000</f>
        <v>115.05</v>
      </c>
      <c r="E193" s="5" t="n">
        <f aca="false">AVERAGE(E173:E192)*10000</f>
        <v>1678.75</v>
      </c>
      <c r="F193" s="5" t="n">
        <f aca="false">AVERAGE(F173:F192)*10000</f>
        <v>1492.25</v>
      </c>
      <c r="S193" s="5" t="n">
        <f aca="false">AVERAGE(S173:S192)*10000</f>
        <v>51.7</v>
      </c>
      <c r="T193" s="5" t="n">
        <f aca="false">AVERAGE(T173:T192)*10000</f>
        <v>350.95</v>
      </c>
      <c r="U193" s="5" t="n">
        <f aca="false">AVERAGE(U173:U192)*10000</f>
        <v>100.5</v>
      </c>
      <c r="V193" s="5" t="n">
        <f aca="false">AVERAGE(V173:V192)</f>
        <v>55.55</v>
      </c>
      <c r="W193" s="5" t="n">
        <f aca="false">AVERAGE(W173:W192)</f>
        <v>307.1</v>
      </c>
      <c r="X193" s="5" t="n">
        <f aca="false">AVERAGE(X173:X192)</f>
        <v>67.85</v>
      </c>
    </row>
    <row r="194" customFormat="false" ht="15" hidden="false" customHeight="false" outlineLevel="0" collapsed="false">
      <c r="C194" s="1" t="s">
        <v>44</v>
      </c>
      <c r="D194" s="5" t="n">
        <f aca="false">_xlfn.STDEV.P(D173:D192)*2*10000</f>
        <v>30.8056812942029</v>
      </c>
      <c r="E194" s="5" t="n">
        <f aca="false">_xlfn.STDEV.P(E173:E192)*2*10000</f>
        <v>274.245054650034</v>
      </c>
      <c r="F194" s="5" t="n">
        <f aca="false">_xlfn.STDEV.P(F173:F192)*2*10000</f>
        <v>77.4851598694872</v>
      </c>
    </row>
    <row r="195" customFormat="false" ht="15" hidden="false" customHeight="false" outlineLevel="0" collapsed="false">
      <c r="C195" s="1" t="s">
        <v>45</v>
      </c>
      <c r="D195" s="5" t="n">
        <f aca="false">S193/3*2</f>
        <v>34.4666666666667</v>
      </c>
      <c r="E195" s="5" t="n">
        <f aca="false">T193/3*2</f>
        <v>233.966666666667</v>
      </c>
      <c r="F195" s="5" t="n">
        <f aca="false">U193/3*2</f>
        <v>67</v>
      </c>
    </row>
    <row r="196" customFormat="false" ht="15" hidden="false" customHeight="false" outlineLevel="0" collapsed="false">
      <c r="C196" s="1" t="s">
        <v>46</v>
      </c>
      <c r="D196" s="5" t="n">
        <f aca="false">V193</f>
        <v>55.55</v>
      </c>
      <c r="E196" s="5" t="n">
        <f aca="false">W193</f>
        <v>307.1</v>
      </c>
      <c r="F196" s="5" t="n">
        <f aca="false">X193</f>
        <v>67.85</v>
      </c>
    </row>
    <row r="198" customFormat="false" ht="15" hidden="false" customHeight="false" outlineLevel="0" collapsed="false">
      <c r="A198" s="1" t="s">
        <v>97</v>
      </c>
      <c r="B198" s="1" t="s">
        <v>367</v>
      </c>
      <c r="C198" s="1" t="s">
        <v>64</v>
      </c>
      <c r="D198" s="1" t="n">
        <v>0.0018</v>
      </c>
      <c r="E198" s="1" t="n">
        <v>0.1952</v>
      </c>
      <c r="F198" s="1" t="n">
        <v>0.2402</v>
      </c>
      <c r="G198" s="1" t="n">
        <v>43.7</v>
      </c>
      <c r="H198" s="1" t="n">
        <v>5.51</v>
      </c>
      <c r="I198" s="1" t="n">
        <v>0.17</v>
      </c>
      <c r="J198" s="1" t="n">
        <v>9.34</v>
      </c>
      <c r="K198" s="1" t="n">
        <v>26.9</v>
      </c>
      <c r="L198" s="1" t="n">
        <v>0.15</v>
      </c>
      <c r="M198" s="1" t="n">
        <v>4.83</v>
      </c>
      <c r="N198" s="1" t="n">
        <v>0.95</v>
      </c>
      <c r="O198" s="1" t="n">
        <v>0.11</v>
      </c>
      <c r="P198" s="1" t="n">
        <v>0.19</v>
      </c>
      <c r="Q198" s="1" t="n">
        <v>4.24</v>
      </c>
      <c r="R198" s="1" t="n">
        <v>96.5272</v>
      </c>
      <c r="S198" s="1" t="n">
        <v>0.0048</v>
      </c>
      <c r="T198" s="1" t="n">
        <v>0.0365</v>
      </c>
      <c r="U198" s="1" t="n">
        <v>0.0125</v>
      </c>
      <c r="V198" s="1" t="n">
        <v>56</v>
      </c>
      <c r="W198" s="1" t="n">
        <v>300</v>
      </c>
      <c r="X198" s="1" t="n">
        <v>69</v>
      </c>
      <c r="Y198" s="1" t="n">
        <v>7247</v>
      </c>
      <c r="Z198" s="1" t="n">
        <v>-6754</v>
      </c>
      <c r="AA198" s="1" t="n">
        <v>-482</v>
      </c>
      <c r="AB198" s="1" t="n">
        <v>0</v>
      </c>
      <c r="AC198" s="1" t="s">
        <v>367</v>
      </c>
    </row>
    <row r="199" customFormat="false" ht="15" hidden="false" customHeight="false" outlineLevel="0" collapsed="false">
      <c r="A199" s="1" t="s">
        <v>396</v>
      </c>
      <c r="B199" s="1" t="s">
        <v>367</v>
      </c>
      <c r="C199" s="1" t="s">
        <v>64</v>
      </c>
      <c r="D199" s="1" t="n">
        <v>0.0033</v>
      </c>
      <c r="E199" s="1" t="n">
        <v>0.2037</v>
      </c>
      <c r="F199" s="1" t="n">
        <v>0.2384</v>
      </c>
      <c r="G199" s="1" t="n">
        <v>43.7</v>
      </c>
      <c r="H199" s="1" t="n">
        <v>5.51</v>
      </c>
      <c r="I199" s="1" t="n">
        <v>0.17</v>
      </c>
      <c r="J199" s="1" t="n">
        <v>9.34</v>
      </c>
      <c r="K199" s="1" t="n">
        <v>26.9</v>
      </c>
      <c r="L199" s="1" t="n">
        <v>0.15</v>
      </c>
      <c r="M199" s="1" t="n">
        <v>4.83</v>
      </c>
      <c r="N199" s="1" t="n">
        <v>0.95</v>
      </c>
      <c r="O199" s="1" t="n">
        <v>0.11</v>
      </c>
      <c r="P199" s="1" t="n">
        <v>0.19</v>
      </c>
      <c r="Q199" s="1" t="n">
        <v>4.24</v>
      </c>
      <c r="R199" s="1" t="n">
        <v>96.5354</v>
      </c>
      <c r="S199" s="1" t="n">
        <v>0.0048</v>
      </c>
      <c r="T199" s="1" t="n">
        <v>0.0371</v>
      </c>
      <c r="U199" s="1" t="n">
        <v>0.0125</v>
      </c>
      <c r="V199" s="1" t="n">
        <v>55</v>
      </c>
      <c r="W199" s="1" t="n">
        <v>303</v>
      </c>
      <c r="X199" s="1" t="n">
        <v>69</v>
      </c>
      <c r="Y199" s="1" t="n">
        <v>7249</v>
      </c>
      <c r="Z199" s="1" t="n">
        <v>-6805</v>
      </c>
      <c r="AA199" s="1" t="n">
        <v>-482</v>
      </c>
      <c r="AB199" s="1" t="n">
        <v>51.04</v>
      </c>
      <c r="AC199" s="1" t="s">
        <v>367</v>
      </c>
    </row>
    <row r="200" customFormat="false" ht="15" hidden="false" customHeight="false" outlineLevel="0" collapsed="false">
      <c r="A200" s="1" t="s">
        <v>397</v>
      </c>
      <c r="B200" s="1" t="s">
        <v>367</v>
      </c>
      <c r="C200" s="1" t="s">
        <v>64</v>
      </c>
      <c r="D200" s="1" t="n">
        <v>0.0052</v>
      </c>
      <c r="E200" s="1" t="n">
        <v>0.1937</v>
      </c>
      <c r="F200" s="1" t="n">
        <v>0.2428</v>
      </c>
      <c r="G200" s="1" t="n">
        <v>43.7</v>
      </c>
      <c r="H200" s="1" t="n">
        <v>5.51</v>
      </c>
      <c r="I200" s="1" t="n">
        <v>0.17</v>
      </c>
      <c r="J200" s="1" t="n">
        <v>9.34</v>
      </c>
      <c r="K200" s="1" t="n">
        <v>26.9</v>
      </c>
      <c r="L200" s="1" t="n">
        <v>0.15</v>
      </c>
      <c r="M200" s="1" t="n">
        <v>4.83</v>
      </c>
      <c r="N200" s="1" t="n">
        <v>0.95</v>
      </c>
      <c r="O200" s="1" t="n">
        <v>0.11</v>
      </c>
      <c r="P200" s="1" t="n">
        <v>0.19</v>
      </c>
      <c r="Q200" s="1" t="n">
        <v>4.24</v>
      </c>
      <c r="R200" s="1" t="n">
        <v>96.5317</v>
      </c>
      <c r="S200" s="1" t="n">
        <v>0.0049</v>
      </c>
      <c r="T200" s="1" t="n">
        <v>0.0367</v>
      </c>
      <c r="U200" s="1" t="n">
        <v>0.0126</v>
      </c>
      <c r="V200" s="1" t="n">
        <v>56</v>
      </c>
      <c r="W200" s="1" t="n">
        <v>306</v>
      </c>
      <c r="X200" s="1" t="n">
        <v>69</v>
      </c>
      <c r="Y200" s="1" t="n">
        <v>7230</v>
      </c>
      <c r="Z200" s="1" t="n">
        <v>-6852</v>
      </c>
      <c r="AA200" s="1" t="n">
        <v>-482</v>
      </c>
      <c r="AB200" s="1" t="n">
        <v>99.46</v>
      </c>
      <c r="AC200" s="1" t="s">
        <v>367</v>
      </c>
    </row>
    <row r="201" customFormat="false" ht="15" hidden="false" customHeight="false" outlineLevel="0" collapsed="false">
      <c r="A201" s="1" t="s">
        <v>398</v>
      </c>
      <c r="B201" s="1" t="s">
        <v>367</v>
      </c>
      <c r="C201" s="1" t="s">
        <v>64</v>
      </c>
      <c r="D201" s="1" t="n">
        <v>0.0024</v>
      </c>
      <c r="E201" s="1" t="n">
        <v>0.2054</v>
      </c>
      <c r="F201" s="1" t="n">
        <v>0.252</v>
      </c>
      <c r="G201" s="1" t="n">
        <v>43.7</v>
      </c>
      <c r="H201" s="1" t="n">
        <v>5.51</v>
      </c>
      <c r="I201" s="1" t="n">
        <v>0.17</v>
      </c>
      <c r="J201" s="1" t="n">
        <v>9.34</v>
      </c>
      <c r="K201" s="1" t="n">
        <v>26.9</v>
      </c>
      <c r="L201" s="1" t="n">
        <v>0.15</v>
      </c>
      <c r="M201" s="1" t="n">
        <v>4.83</v>
      </c>
      <c r="N201" s="1" t="n">
        <v>0.95</v>
      </c>
      <c r="O201" s="1" t="n">
        <v>0.11</v>
      </c>
      <c r="P201" s="1" t="n">
        <v>0.19</v>
      </c>
      <c r="Q201" s="1" t="n">
        <v>4.24</v>
      </c>
      <c r="R201" s="1" t="n">
        <v>96.5498</v>
      </c>
      <c r="S201" s="1" t="n">
        <v>0.0048</v>
      </c>
      <c r="T201" s="1" t="n">
        <v>0.0378</v>
      </c>
      <c r="U201" s="1" t="n">
        <v>0.0128</v>
      </c>
      <c r="V201" s="1" t="n">
        <v>56</v>
      </c>
      <c r="W201" s="1" t="n">
        <v>314</v>
      </c>
      <c r="X201" s="1" t="n">
        <v>70</v>
      </c>
      <c r="Y201" s="1" t="n">
        <v>7080</v>
      </c>
      <c r="Z201" s="1" t="n">
        <v>-6796</v>
      </c>
      <c r="AA201" s="1" t="n">
        <v>-482</v>
      </c>
      <c r="AB201" s="1" t="n">
        <v>172.2</v>
      </c>
      <c r="AC201" s="1" t="s">
        <v>367</v>
      </c>
    </row>
    <row r="202" customFormat="false" ht="15" hidden="false" customHeight="false" outlineLevel="0" collapsed="false">
      <c r="A202" s="1" t="s">
        <v>399</v>
      </c>
      <c r="B202" s="1" t="s">
        <v>367</v>
      </c>
      <c r="C202" s="1" t="s">
        <v>64</v>
      </c>
      <c r="D202" s="1" t="n">
        <v>0.0057</v>
      </c>
      <c r="E202" s="1" t="n">
        <v>0.2045</v>
      </c>
      <c r="F202" s="1" t="n">
        <v>0.2526</v>
      </c>
      <c r="G202" s="1" t="n">
        <v>43.7</v>
      </c>
      <c r="H202" s="1" t="n">
        <v>5.51</v>
      </c>
      <c r="I202" s="1" t="n">
        <v>0.17</v>
      </c>
      <c r="J202" s="1" t="n">
        <v>9.34</v>
      </c>
      <c r="K202" s="1" t="n">
        <v>26.9</v>
      </c>
      <c r="L202" s="1" t="n">
        <v>0.15</v>
      </c>
      <c r="M202" s="1" t="n">
        <v>4.83</v>
      </c>
      <c r="N202" s="1" t="n">
        <v>0.95</v>
      </c>
      <c r="O202" s="1" t="n">
        <v>0.11</v>
      </c>
      <c r="P202" s="1" t="n">
        <v>0.19</v>
      </c>
      <c r="Q202" s="1" t="n">
        <v>4.24</v>
      </c>
      <c r="R202" s="1" t="n">
        <v>96.5528</v>
      </c>
      <c r="S202" s="1" t="n">
        <v>0.0047</v>
      </c>
      <c r="T202" s="1" t="n">
        <v>0.0373</v>
      </c>
      <c r="U202" s="1" t="n">
        <v>0.0128</v>
      </c>
      <c r="V202" s="1" t="n">
        <v>52</v>
      </c>
      <c r="W202" s="1" t="n">
        <v>306</v>
      </c>
      <c r="X202" s="1" t="n">
        <v>69</v>
      </c>
      <c r="Y202" s="1" t="n">
        <v>6883</v>
      </c>
      <c r="Z202" s="1" t="n">
        <v>-6693</v>
      </c>
      <c r="AA202" s="1" t="n">
        <v>-482</v>
      </c>
      <c r="AB202" s="1" t="n">
        <v>369.08</v>
      </c>
      <c r="AC202" s="1" t="s">
        <v>367</v>
      </c>
    </row>
    <row r="203" customFormat="false" ht="15" hidden="false" customHeight="false" outlineLevel="0" collapsed="false">
      <c r="A203" s="1" t="s">
        <v>98</v>
      </c>
      <c r="B203" s="1" t="s">
        <v>367</v>
      </c>
      <c r="C203" s="1" t="s">
        <v>64</v>
      </c>
      <c r="D203" s="1" t="n">
        <v>0.0046</v>
      </c>
      <c r="E203" s="21" t="n">
        <v>0.2063</v>
      </c>
      <c r="F203" s="21" t="n">
        <v>0.2536</v>
      </c>
      <c r="G203" s="21" t="n">
        <v>43.7</v>
      </c>
      <c r="H203" s="1" t="n">
        <v>5.51</v>
      </c>
      <c r="I203" s="1" t="n">
        <v>0.17</v>
      </c>
      <c r="J203" s="1" t="n">
        <v>9.34</v>
      </c>
      <c r="K203" s="1" t="n">
        <v>26.9</v>
      </c>
      <c r="L203" s="1" t="n">
        <v>0.15</v>
      </c>
      <c r="M203" s="1" t="n">
        <v>4.83</v>
      </c>
      <c r="N203" s="1" t="n">
        <v>0.95</v>
      </c>
      <c r="O203" s="1" t="n">
        <v>0.11</v>
      </c>
      <c r="P203" s="1" t="n">
        <v>0.19</v>
      </c>
      <c r="Q203" s="1" t="n">
        <v>4.24</v>
      </c>
      <c r="R203" s="1" t="n">
        <v>96.5546</v>
      </c>
      <c r="S203" s="1" t="n">
        <v>0.0049</v>
      </c>
      <c r="T203" s="1" t="n">
        <v>0.0384</v>
      </c>
      <c r="U203" s="1" t="n">
        <v>0.0129</v>
      </c>
      <c r="V203" s="1" t="n">
        <v>56</v>
      </c>
      <c r="W203" s="1" t="n">
        <v>324</v>
      </c>
      <c r="X203" s="1" t="n">
        <v>71</v>
      </c>
      <c r="Y203" s="1" t="n">
        <v>6930</v>
      </c>
      <c r="Z203" s="1" t="n">
        <v>-6341</v>
      </c>
      <c r="AA203" s="1" t="n">
        <v>-482</v>
      </c>
      <c r="AB203" s="1" t="n">
        <v>0</v>
      </c>
      <c r="AC203" s="1" t="s">
        <v>367</v>
      </c>
    </row>
    <row r="204" customFormat="false" ht="15" hidden="false" customHeight="false" outlineLevel="0" collapsed="false">
      <c r="A204" s="1" t="s">
        <v>400</v>
      </c>
      <c r="B204" s="1" t="s">
        <v>367</v>
      </c>
      <c r="C204" s="1" t="s">
        <v>64</v>
      </c>
      <c r="D204" s="1" t="n">
        <v>0.0049</v>
      </c>
      <c r="E204" s="1" t="n">
        <v>0.2103</v>
      </c>
      <c r="F204" s="1" t="n">
        <v>0.236</v>
      </c>
      <c r="G204" s="1" t="n">
        <v>43.7</v>
      </c>
      <c r="H204" s="1" t="n">
        <v>5.51</v>
      </c>
      <c r="I204" s="1" t="n">
        <v>0.17</v>
      </c>
      <c r="J204" s="1" t="n">
        <v>9.34</v>
      </c>
      <c r="K204" s="1" t="n">
        <v>26.9</v>
      </c>
      <c r="L204" s="1" t="n">
        <v>0.15</v>
      </c>
      <c r="M204" s="1" t="n">
        <v>4.83</v>
      </c>
      <c r="N204" s="1" t="n">
        <v>0.95</v>
      </c>
      <c r="O204" s="1" t="n">
        <v>0.11</v>
      </c>
      <c r="P204" s="1" t="n">
        <v>0.19</v>
      </c>
      <c r="Q204" s="1" t="n">
        <v>4.24</v>
      </c>
      <c r="R204" s="1" t="n">
        <v>96.5413</v>
      </c>
      <c r="S204" s="1" t="n">
        <v>0.005</v>
      </c>
      <c r="T204" s="1" t="n">
        <v>0.0368</v>
      </c>
      <c r="U204" s="1" t="n">
        <v>0.0125</v>
      </c>
      <c r="V204" s="1" t="n">
        <v>57</v>
      </c>
      <c r="W204" s="1" t="n">
        <v>290</v>
      </c>
      <c r="X204" s="1" t="n">
        <v>70</v>
      </c>
      <c r="Y204" s="1" t="n">
        <v>7029</v>
      </c>
      <c r="Z204" s="1" t="n">
        <v>-6470</v>
      </c>
      <c r="AA204" s="1" t="n">
        <v>-481</v>
      </c>
      <c r="AB204" s="1" t="n">
        <v>162.61</v>
      </c>
      <c r="AC204" s="1" t="s">
        <v>367</v>
      </c>
    </row>
    <row r="205" customFormat="false" ht="15" hidden="false" customHeight="false" outlineLevel="0" collapsed="false">
      <c r="A205" s="1" t="s">
        <v>401</v>
      </c>
      <c r="B205" s="1" t="s">
        <v>367</v>
      </c>
      <c r="C205" s="1" t="s">
        <v>64</v>
      </c>
      <c r="D205" s="1" t="n">
        <v>0.0039</v>
      </c>
      <c r="E205" s="1" t="n">
        <v>0.1901</v>
      </c>
      <c r="F205" s="1" t="n">
        <v>0.2382</v>
      </c>
      <c r="G205" s="1" t="n">
        <v>43.7</v>
      </c>
      <c r="H205" s="1" t="n">
        <v>5.51</v>
      </c>
      <c r="I205" s="1" t="n">
        <v>0.17</v>
      </c>
      <c r="J205" s="1" t="n">
        <v>9.34</v>
      </c>
      <c r="K205" s="1" t="n">
        <v>26.9</v>
      </c>
      <c r="L205" s="1" t="n">
        <v>0.15</v>
      </c>
      <c r="M205" s="1" t="n">
        <v>4.83</v>
      </c>
      <c r="N205" s="1" t="n">
        <v>0.95</v>
      </c>
      <c r="O205" s="1" t="n">
        <v>0.11</v>
      </c>
      <c r="P205" s="1" t="n">
        <v>0.19</v>
      </c>
      <c r="Q205" s="1" t="n">
        <v>4.24</v>
      </c>
      <c r="R205" s="1" t="n">
        <v>96.5223</v>
      </c>
      <c r="S205" s="1" t="n">
        <v>0.005</v>
      </c>
      <c r="T205" s="1" t="n">
        <v>0.0382</v>
      </c>
      <c r="U205" s="1" t="n">
        <v>0.0125</v>
      </c>
      <c r="V205" s="1" t="n">
        <v>58</v>
      </c>
      <c r="W205" s="1" t="n">
        <v>334</v>
      </c>
      <c r="X205" s="1" t="n">
        <v>69</v>
      </c>
      <c r="Y205" s="1" t="n">
        <v>6946</v>
      </c>
      <c r="Z205" s="1" t="n">
        <v>-6424</v>
      </c>
      <c r="AA205" s="1" t="n">
        <v>-482</v>
      </c>
      <c r="AB205" s="1" t="n">
        <v>84.53</v>
      </c>
      <c r="AC205" s="1" t="s">
        <v>367</v>
      </c>
    </row>
    <row r="206" customFormat="false" ht="15" hidden="false" customHeight="false" outlineLevel="0" collapsed="false">
      <c r="A206" s="1" t="s">
        <v>402</v>
      </c>
      <c r="B206" s="1" t="s">
        <v>367</v>
      </c>
      <c r="C206" s="1" t="s">
        <v>64</v>
      </c>
      <c r="D206" s="1" t="n">
        <v>0.0056</v>
      </c>
      <c r="E206" s="1" t="n">
        <v>0.1868</v>
      </c>
      <c r="F206" s="1" t="n">
        <v>0.2509</v>
      </c>
      <c r="G206" s="1" t="n">
        <v>43.7</v>
      </c>
      <c r="H206" s="1" t="n">
        <v>5.51</v>
      </c>
      <c r="I206" s="1" t="n">
        <v>0.17</v>
      </c>
      <c r="J206" s="1" t="n">
        <v>9.34</v>
      </c>
      <c r="K206" s="1" t="n">
        <v>26.9</v>
      </c>
      <c r="L206" s="1" t="n">
        <v>0.15</v>
      </c>
      <c r="M206" s="1" t="n">
        <v>4.83</v>
      </c>
      <c r="N206" s="1" t="n">
        <v>0.95</v>
      </c>
      <c r="O206" s="1" t="n">
        <v>0.11</v>
      </c>
      <c r="P206" s="1" t="n">
        <v>0.19</v>
      </c>
      <c r="Q206" s="1" t="n">
        <v>4.24</v>
      </c>
      <c r="R206" s="1" t="n">
        <v>96.5333</v>
      </c>
      <c r="S206" s="1" t="n">
        <v>0.0051</v>
      </c>
      <c r="T206" s="1" t="n">
        <v>0.0371</v>
      </c>
      <c r="U206" s="1" t="n">
        <v>0.0128</v>
      </c>
      <c r="V206" s="1" t="n">
        <v>58</v>
      </c>
      <c r="W206" s="1" t="n">
        <v>316</v>
      </c>
      <c r="X206" s="1" t="n">
        <v>70</v>
      </c>
      <c r="Y206" s="1" t="n">
        <v>7627</v>
      </c>
      <c r="Z206" s="1" t="n">
        <v>-5453</v>
      </c>
      <c r="AA206" s="1" t="n">
        <v>-479</v>
      </c>
      <c r="AB206" s="1" t="n">
        <v>1128.88</v>
      </c>
      <c r="AC206" s="1" t="s">
        <v>367</v>
      </c>
    </row>
    <row r="207" customFormat="false" ht="15" hidden="false" customHeight="false" outlineLevel="0" collapsed="false">
      <c r="A207" s="1" t="s">
        <v>403</v>
      </c>
      <c r="B207" s="1" t="s">
        <v>367</v>
      </c>
      <c r="C207" s="1" t="s">
        <v>64</v>
      </c>
      <c r="D207" s="1" t="n">
        <v>0.0045</v>
      </c>
      <c r="E207" s="1" t="n">
        <v>0.1889</v>
      </c>
      <c r="F207" s="1" t="n">
        <v>0.232</v>
      </c>
      <c r="G207" s="1" t="n">
        <v>43.7</v>
      </c>
      <c r="H207" s="1" t="n">
        <v>5.51</v>
      </c>
      <c r="I207" s="1" t="n">
        <v>0.17</v>
      </c>
      <c r="J207" s="1" t="n">
        <v>9.34</v>
      </c>
      <c r="K207" s="1" t="n">
        <v>26.9</v>
      </c>
      <c r="L207" s="1" t="n">
        <v>0.15</v>
      </c>
      <c r="M207" s="1" t="n">
        <v>4.83</v>
      </c>
      <c r="N207" s="1" t="n">
        <v>0.95</v>
      </c>
      <c r="O207" s="1" t="n">
        <v>0.11</v>
      </c>
      <c r="P207" s="1" t="n">
        <v>0.19</v>
      </c>
      <c r="Q207" s="1" t="n">
        <v>4.24</v>
      </c>
      <c r="R207" s="1" t="n">
        <v>96.5154</v>
      </c>
      <c r="S207" s="1" t="n">
        <v>0.005</v>
      </c>
      <c r="T207" s="1" t="n">
        <v>0.0375</v>
      </c>
      <c r="U207" s="1" t="n">
        <v>0.0123</v>
      </c>
      <c r="V207" s="1" t="n">
        <v>58</v>
      </c>
      <c r="W207" s="1" t="n">
        <v>322</v>
      </c>
      <c r="X207" s="1" t="n">
        <v>68</v>
      </c>
      <c r="Y207" s="1" t="n">
        <v>7883</v>
      </c>
      <c r="Z207" s="1" t="n">
        <v>-5502</v>
      </c>
      <c r="AA207" s="1" t="n">
        <v>-478</v>
      </c>
      <c r="AB207" s="1" t="n">
        <v>1269.7</v>
      </c>
      <c r="AC207" s="1" t="s">
        <v>367</v>
      </c>
    </row>
    <row r="208" customFormat="false" ht="15" hidden="false" customHeight="false" outlineLevel="0" collapsed="false">
      <c r="A208" s="1" t="s">
        <v>99</v>
      </c>
      <c r="B208" s="1" t="s">
        <v>367</v>
      </c>
      <c r="C208" s="1" t="s">
        <v>64</v>
      </c>
      <c r="D208" s="1" t="n">
        <v>0</v>
      </c>
      <c r="E208" s="1" t="n">
        <v>0.1749</v>
      </c>
      <c r="F208" s="1" t="n">
        <v>0.2326</v>
      </c>
      <c r="G208" s="1" t="n">
        <v>43.7</v>
      </c>
      <c r="H208" s="1" t="n">
        <v>5.51</v>
      </c>
      <c r="I208" s="1" t="n">
        <v>0.17</v>
      </c>
      <c r="J208" s="1" t="n">
        <v>9.34</v>
      </c>
      <c r="K208" s="1" t="n">
        <v>26.9</v>
      </c>
      <c r="L208" s="1" t="n">
        <v>0.15</v>
      </c>
      <c r="M208" s="1" t="n">
        <v>4.83</v>
      </c>
      <c r="N208" s="1" t="n">
        <v>0.95</v>
      </c>
      <c r="O208" s="1" t="n">
        <v>0.11</v>
      </c>
      <c r="P208" s="1" t="n">
        <v>0.19</v>
      </c>
      <c r="Q208" s="1" t="n">
        <v>4.24</v>
      </c>
      <c r="R208" s="1" t="n">
        <v>96.4975</v>
      </c>
      <c r="S208" s="1" t="n">
        <v>-0.0002</v>
      </c>
      <c r="T208" s="1" t="n">
        <v>0.036</v>
      </c>
      <c r="U208" s="1" t="n">
        <v>0.0124</v>
      </c>
      <c r="W208" s="1" t="n">
        <v>310</v>
      </c>
      <c r="X208" s="1" t="n">
        <v>71</v>
      </c>
      <c r="Y208" s="1" t="n">
        <v>6839</v>
      </c>
      <c r="Z208" s="1" t="n">
        <v>-6678</v>
      </c>
      <c r="AA208" s="1" t="n">
        <v>-482</v>
      </c>
      <c r="AB208" s="1" t="n">
        <v>0</v>
      </c>
      <c r="AC208" s="1" t="s">
        <v>367</v>
      </c>
    </row>
    <row r="209" customFormat="false" ht="15" hidden="false" customHeight="false" outlineLevel="0" collapsed="false">
      <c r="A209" s="1" t="s">
        <v>404</v>
      </c>
      <c r="B209" s="1" t="s">
        <v>367</v>
      </c>
      <c r="C209" s="1" t="s">
        <v>64</v>
      </c>
      <c r="D209" s="1" t="n">
        <v>0.0038</v>
      </c>
      <c r="E209" s="1" t="n">
        <v>0.162</v>
      </c>
      <c r="F209" s="1" t="n">
        <v>0.2341</v>
      </c>
      <c r="G209" s="1" t="n">
        <v>43.7</v>
      </c>
      <c r="H209" s="1" t="n">
        <v>5.51</v>
      </c>
      <c r="I209" s="1" t="n">
        <v>0.17</v>
      </c>
      <c r="J209" s="1" t="n">
        <v>9.34</v>
      </c>
      <c r="K209" s="1" t="n">
        <v>26.9</v>
      </c>
      <c r="L209" s="1" t="n">
        <v>0.15</v>
      </c>
      <c r="M209" s="1" t="n">
        <v>4.83</v>
      </c>
      <c r="N209" s="1" t="n">
        <v>0.95</v>
      </c>
      <c r="O209" s="1" t="n">
        <v>0.11</v>
      </c>
      <c r="P209" s="1" t="n">
        <v>0.19</v>
      </c>
      <c r="Q209" s="1" t="n">
        <v>4.24</v>
      </c>
      <c r="R209" s="1" t="n">
        <v>96.4899</v>
      </c>
      <c r="S209" s="1" t="n">
        <v>0.0048</v>
      </c>
      <c r="T209" s="1" t="n">
        <v>0.0369</v>
      </c>
      <c r="U209" s="1" t="n">
        <v>0.0123</v>
      </c>
      <c r="V209" s="1" t="n">
        <v>55</v>
      </c>
      <c r="W209" s="1" t="n">
        <v>335</v>
      </c>
      <c r="X209" s="1" t="n">
        <v>68</v>
      </c>
      <c r="Y209" s="1" t="n">
        <v>6836</v>
      </c>
      <c r="Z209" s="1" t="n">
        <v>-6690</v>
      </c>
      <c r="AA209" s="1" t="n">
        <v>-482</v>
      </c>
      <c r="AB209" s="1" t="n">
        <v>12.37</v>
      </c>
      <c r="AC209" s="1" t="s">
        <v>367</v>
      </c>
    </row>
    <row r="210" customFormat="false" ht="15" hidden="false" customHeight="false" outlineLevel="0" collapsed="false">
      <c r="A210" s="1" t="s">
        <v>405</v>
      </c>
      <c r="B210" s="1" t="s">
        <v>367</v>
      </c>
      <c r="C210" s="1" t="s">
        <v>64</v>
      </c>
      <c r="D210" s="1" t="n">
        <v>0.0011</v>
      </c>
      <c r="E210" s="1" t="n">
        <v>0.1901</v>
      </c>
      <c r="F210" s="1" t="n">
        <v>0.2406</v>
      </c>
      <c r="G210" s="1" t="n">
        <v>43.7</v>
      </c>
      <c r="H210" s="1" t="n">
        <v>5.51</v>
      </c>
      <c r="I210" s="1" t="n">
        <v>0.17</v>
      </c>
      <c r="J210" s="1" t="n">
        <v>9.34</v>
      </c>
      <c r="K210" s="1" t="n">
        <v>26.9</v>
      </c>
      <c r="L210" s="1" t="n">
        <v>0.15</v>
      </c>
      <c r="M210" s="1" t="n">
        <v>4.83</v>
      </c>
      <c r="N210" s="1" t="n">
        <v>0.95</v>
      </c>
      <c r="O210" s="1" t="n">
        <v>0.11</v>
      </c>
      <c r="P210" s="1" t="n">
        <v>0.19</v>
      </c>
      <c r="Q210" s="1" t="n">
        <v>4.24</v>
      </c>
      <c r="R210" s="1" t="n">
        <v>96.5218</v>
      </c>
      <c r="S210" s="1" t="n">
        <v>0.0049</v>
      </c>
      <c r="T210" s="1" t="n">
        <v>0.0361</v>
      </c>
      <c r="U210" s="1" t="n">
        <v>0.0125</v>
      </c>
      <c r="V210" s="1" t="n">
        <v>58</v>
      </c>
      <c r="W210" s="1" t="n">
        <v>298</v>
      </c>
      <c r="X210" s="1" t="n">
        <v>69</v>
      </c>
      <c r="Y210" s="1" t="n">
        <v>6831</v>
      </c>
      <c r="Z210" s="1" t="n">
        <v>-6669</v>
      </c>
      <c r="AA210" s="1" t="n">
        <v>-482</v>
      </c>
      <c r="AB210" s="1" t="n">
        <v>12.04</v>
      </c>
      <c r="AC210" s="1" t="s">
        <v>367</v>
      </c>
    </row>
    <row r="211" customFormat="false" ht="15" hidden="false" customHeight="false" outlineLevel="0" collapsed="false">
      <c r="A211" s="1" t="s">
        <v>406</v>
      </c>
      <c r="B211" s="1" t="s">
        <v>367</v>
      </c>
      <c r="C211" s="1" t="s">
        <v>64</v>
      </c>
      <c r="D211" s="1" t="n">
        <v>0.0029</v>
      </c>
      <c r="E211" s="1" t="n">
        <v>0.1849</v>
      </c>
      <c r="F211" s="1" t="n">
        <v>0.2391</v>
      </c>
      <c r="G211" s="1" t="n">
        <v>43.7</v>
      </c>
      <c r="H211" s="1" t="n">
        <v>5.51</v>
      </c>
      <c r="I211" s="1" t="n">
        <v>0.17</v>
      </c>
      <c r="J211" s="1" t="n">
        <v>9.34</v>
      </c>
      <c r="K211" s="1" t="n">
        <v>26.9</v>
      </c>
      <c r="L211" s="1" t="n">
        <v>0.15</v>
      </c>
      <c r="M211" s="1" t="n">
        <v>4.83</v>
      </c>
      <c r="N211" s="1" t="n">
        <v>0.95</v>
      </c>
      <c r="O211" s="1" t="n">
        <v>0.11</v>
      </c>
      <c r="P211" s="1" t="n">
        <v>0.19</v>
      </c>
      <c r="Q211" s="1" t="n">
        <v>4.24</v>
      </c>
      <c r="R211" s="1" t="n">
        <v>96.5168</v>
      </c>
      <c r="S211" s="1" t="n">
        <v>0.0048</v>
      </c>
      <c r="T211" s="1" t="n">
        <v>0.0365</v>
      </c>
      <c r="U211" s="1" t="n">
        <v>0.0125</v>
      </c>
      <c r="V211" s="1" t="n">
        <v>56</v>
      </c>
      <c r="W211" s="1" t="n">
        <v>309</v>
      </c>
      <c r="X211" s="1" t="n">
        <v>69</v>
      </c>
      <c r="Y211" s="1" t="n">
        <v>6837</v>
      </c>
      <c r="Z211" s="1" t="n">
        <v>-6653</v>
      </c>
      <c r="AA211" s="1" t="n">
        <v>-482</v>
      </c>
      <c r="AB211" s="1" t="n">
        <v>25.08</v>
      </c>
      <c r="AC211" s="1" t="s">
        <v>367</v>
      </c>
    </row>
    <row r="212" customFormat="false" ht="15" hidden="false" customHeight="false" outlineLevel="0" collapsed="false">
      <c r="A212" s="1" t="s">
        <v>407</v>
      </c>
      <c r="B212" s="1" t="s">
        <v>367</v>
      </c>
      <c r="C212" s="1" t="s">
        <v>64</v>
      </c>
      <c r="D212" s="1" t="n">
        <v>0.0042</v>
      </c>
      <c r="E212" s="1" t="n">
        <v>0.1752</v>
      </c>
      <c r="F212" s="1" t="n">
        <v>0.234</v>
      </c>
      <c r="G212" s="1" t="n">
        <v>43.7</v>
      </c>
      <c r="H212" s="1" t="n">
        <v>5.51</v>
      </c>
      <c r="I212" s="1" t="n">
        <v>0.17</v>
      </c>
      <c r="J212" s="1" t="n">
        <v>9.34</v>
      </c>
      <c r="K212" s="1" t="n">
        <v>26.9</v>
      </c>
      <c r="L212" s="1" t="n">
        <v>0.15</v>
      </c>
      <c r="M212" s="1" t="n">
        <v>4.83</v>
      </c>
      <c r="N212" s="1" t="n">
        <v>0.95</v>
      </c>
      <c r="O212" s="1" t="n">
        <v>0.11</v>
      </c>
      <c r="P212" s="1" t="n">
        <v>0.19</v>
      </c>
      <c r="Q212" s="1" t="n">
        <v>4.24</v>
      </c>
      <c r="R212" s="1" t="n">
        <v>96.5034</v>
      </c>
      <c r="S212" s="1" t="n">
        <v>0.005</v>
      </c>
      <c r="T212" s="1" t="n">
        <v>0.0366</v>
      </c>
      <c r="U212" s="1" t="n">
        <v>0.0123</v>
      </c>
      <c r="V212" s="1" t="n">
        <v>57</v>
      </c>
      <c r="W212" s="1" t="n">
        <v>320</v>
      </c>
      <c r="X212" s="1" t="n">
        <v>69</v>
      </c>
      <c r="Y212" s="1" t="n">
        <v>6867</v>
      </c>
      <c r="Z212" s="1" t="n">
        <v>-6629</v>
      </c>
      <c r="AA212" s="1" t="n">
        <v>-482</v>
      </c>
      <c r="AB212" s="1" t="n">
        <v>56.44</v>
      </c>
      <c r="AC212" s="1" t="s">
        <v>367</v>
      </c>
    </row>
    <row r="213" customFormat="false" ht="15" hidden="false" customHeight="false" outlineLevel="0" collapsed="false">
      <c r="A213" s="1" t="s">
        <v>100</v>
      </c>
      <c r="B213" s="1" t="s">
        <v>367</v>
      </c>
      <c r="C213" s="1" t="s">
        <v>64</v>
      </c>
      <c r="D213" s="1" t="n">
        <v>0.0022</v>
      </c>
      <c r="E213" s="1" t="n">
        <v>0.1677</v>
      </c>
      <c r="F213" s="1" t="n">
        <v>0.2286</v>
      </c>
      <c r="G213" s="1" t="n">
        <v>43.7</v>
      </c>
      <c r="H213" s="1" t="n">
        <v>5.51</v>
      </c>
      <c r="I213" s="1" t="n">
        <v>0.17</v>
      </c>
      <c r="J213" s="1" t="n">
        <v>9.34</v>
      </c>
      <c r="K213" s="1" t="n">
        <v>26.9</v>
      </c>
      <c r="L213" s="1" t="n">
        <v>0.15</v>
      </c>
      <c r="M213" s="1" t="n">
        <v>4.83</v>
      </c>
      <c r="N213" s="1" t="n">
        <v>0.95</v>
      </c>
      <c r="O213" s="1" t="n">
        <v>0.11</v>
      </c>
      <c r="P213" s="1" t="n">
        <v>0.19</v>
      </c>
      <c r="Q213" s="1" t="n">
        <v>4.24</v>
      </c>
      <c r="R213" s="1" t="n">
        <v>96.4885</v>
      </c>
      <c r="S213" s="1" t="n">
        <v>0.0049</v>
      </c>
      <c r="T213" s="1" t="n">
        <v>0.0361</v>
      </c>
      <c r="U213" s="1" t="n">
        <v>0.0123</v>
      </c>
      <c r="V213" s="1" t="n">
        <v>58</v>
      </c>
      <c r="W213" s="1" t="n">
        <v>317</v>
      </c>
      <c r="X213" s="1" t="n">
        <v>69</v>
      </c>
      <c r="Y213" s="1" t="n">
        <v>6843</v>
      </c>
      <c r="Z213" s="1" t="n">
        <v>-6716</v>
      </c>
      <c r="AA213" s="1" t="n">
        <v>-482</v>
      </c>
      <c r="AB213" s="1" t="n">
        <v>0</v>
      </c>
      <c r="AC213" s="1" t="s">
        <v>367</v>
      </c>
    </row>
    <row r="214" customFormat="false" ht="15" hidden="false" customHeight="false" outlineLevel="0" collapsed="false">
      <c r="A214" s="1" t="s">
        <v>408</v>
      </c>
      <c r="B214" s="1" t="s">
        <v>367</v>
      </c>
      <c r="C214" s="1" t="s">
        <v>64</v>
      </c>
      <c r="D214" s="1" t="n">
        <v>0.0058</v>
      </c>
      <c r="E214" s="1" t="n">
        <v>0.1742</v>
      </c>
      <c r="F214" s="1" t="n">
        <v>0.232</v>
      </c>
      <c r="G214" s="1" t="n">
        <v>43.7</v>
      </c>
      <c r="H214" s="1" t="n">
        <v>5.51</v>
      </c>
      <c r="I214" s="1" t="n">
        <v>0.17</v>
      </c>
      <c r="J214" s="1" t="n">
        <v>9.34</v>
      </c>
      <c r="K214" s="1" t="n">
        <v>26.9</v>
      </c>
      <c r="L214" s="1" t="n">
        <v>0.15</v>
      </c>
      <c r="M214" s="1" t="n">
        <v>4.83</v>
      </c>
      <c r="N214" s="1" t="n">
        <v>0.95</v>
      </c>
      <c r="O214" s="1" t="n">
        <v>0.11</v>
      </c>
      <c r="P214" s="1" t="n">
        <v>0.19</v>
      </c>
      <c r="Q214" s="1" t="n">
        <v>4.24</v>
      </c>
      <c r="R214" s="1" t="n">
        <v>96.502</v>
      </c>
      <c r="S214" s="1" t="n">
        <v>0.005</v>
      </c>
      <c r="T214" s="1" t="n">
        <v>0.0367</v>
      </c>
      <c r="U214" s="1" t="n">
        <v>0.0123</v>
      </c>
      <c r="V214" s="1" t="n">
        <v>57</v>
      </c>
      <c r="W214" s="1" t="n">
        <v>320</v>
      </c>
      <c r="X214" s="1" t="n">
        <v>68</v>
      </c>
      <c r="Y214" s="1" t="n">
        <v>6941</v>
      </c>
      <c r="Z214" s="1" t="n">
        <v>-6598</v>
      </c>
      <c r="AA214" s="1" t="n">
        <v>-482</v>
      </c>
      <c r="AB214" s="1" t="n">
        <v>153.39</v>
      </c>
      <c r="AC214" s="1" t="s">
        <v>367</v>
      </c>
    </row>
    <row r="215" customFormat="false" ht="15" hidden="false" customHeight="false" outlineLevel="0" collapsed="false">
      <c r="A215" s="1" t="s">
        <v>409</v>
      </c>
      <c r="B215" s="1" t="s">
        <v>367</v>
      </c>
      <c r="C215" s="1" t="s">
        <v>64</v>
      </c>
      <c r="D215" s="1" t="n">
        <v>0.0035</v>
      </c>
      <c r="E215" s="1" t="n">
        <v>0.1933</v>
      </c>
      <c r="F215" s="1" t="n">
        <v>0.2366</v>
      </c>
      <c r="G215" s="1" t="n">
        <v>43.7</v>
      </c>
      <c r="H215" s="1" t="n">
        <v>5.51</v>
      </c>
      <c r="I215" s="1" t="n">
        <v>0.17</v>
      </c>
      <c r="J215" s="1" t="n">
        <v>9.34</v>
      </c>
      <c r="K215" s="1" t="n">
        <v>26.9</v>
      </c>
      <c r="L215" s="1" t="n">
        <v>0.15</v>
      </c>
      <c r="M215" s="1" t="n">
        <v>4.83</v>
      </c>
      <c r="N215" s="1" t="n">
        <v>0.95</v>
      </c>
      <c r="O215" s="1" t="n">
        <v>0.11</v>
      </c>
      <c r="P215" s="1" t="n">
        <v>0.19</v>
      </c>
      <c r="Q215" s="1" t="n">
        <v>4.24</v>
      </c>
      <c r="R215" s="1" t="n">
        <v>96.5234</v>
      </c>
      <c r="S215" s="1" t="n">
        <v>0.0049</v>
      </c>
      <c r="T215" s="1" t="n">
        <v>0.0366</v>
      </c>
      <c r="U215" s="1" t="n">
        <v>0.0125</v>
      </c>
      <c r="V215" s="1" t="n">
        <v>56</v>
      </c>
      <c r="W215" s="1" t="n">
        <v>302</v>
      </c>
      <c r="X215" s="1" t="n">
        <v>69</v>
      </c>
      <c r="Y215" s="1" t="n">
        <v>6996</v>
      </c>
      <c r="Z215" s="1" t="n">
        <v>-6610</v>
      </c>
      <c r="AA215" s="1" t="n">
        <v>-482</v>
      </c>
      <c r="AB215" s="1" t="n">
        <v>186.13</v>
      </c>
      <c r="AC215" s="1" t="s">
        <v>367</v>
      </c>
    </row>
    <row r="216" customFormat="false" ht="15" hidden="false" customHeight="false" outlineLevel="0" collapsed="false">
      <c r="A216" s="1" t="s">
        <v>410</v>
      </c>
      <c r="B216" s="1" t="s">
        <v>367</v>
      </c>
      <c r="C216" s="1" t="s">
        <v>64</v>
      </c>
      <c r="D216" s="1" t="n">
        <v>0.0046</v>
      </c>
      <c r="E216" s="1" t="n">
        <v>0.1822</v>
      </c>
      <c r="F216" s="1" t="n">
        <v>0.2394</v>
      </c>
      <c r="G216" s="1" t="n">
        <v>43.7</v>
      </c>
      <c r="H216" s="1" t="n">
        <v>5.51</v>
      </c>
      <c r="I216" s="1" t="n">
        <v>0.17</v>
      </c>
      <c r="J216" s="1" t="n">
        <v>9.34</v>
      </c>
      <c r="K216" s="1" t="n">
        <v>26.9</v>
      </c>
      <c r="L216" s="1" t="n">
        <v>0.15</v>
      </c>
      <c r="M216" s="1" t="n">
        <v>4.83</v>
      </c>
      <c r="N216" s="1" t="n">
        <v>0.95</v>
      </c>
      <c r="O216" s="1" t="n">
        <v>0.11</v>
      </c>
      <c r="P216" s="1" t="n">
        <v>0.19</v>
      </c>
      <c r="Q216" s="1" t="n">
        <v>4.24</v>
      </c>
      <c r="R216" s="1" t="n">
        <v>96.5162</v>
      </c>
      <c r="S216" s="1" t="n">
        <v>0.0048</v>
      </c>
      <c r="T216" s="1" t="n">
        <v>0.0363</v>
      </c>
      <c r="U216" s="1" t="n">
        <v>0.0126</v>
      </c>
      <c r="V216" s="1" t="n">
        <v>55</v>
      </c>
      <c r="W216" s="1" t="n">
        <v>308</v>
      </c>
      <c r="X216" s="1" t="n">
        <v>71</v>
      </c>
      <c r="Y216" s="1" t="n">
        <v>6949</v>
      </c>
      <c r="Z216" s="1" t="n">
        <v>-6551</v>
      </c>
      <c r="AA216" s="1" t="n">
        <v>-482</v>
      </c>
      <c r="AB216" s="1" t="n">
        <v>196.11</v>
      </c>
      <c r="AC216" s="1" t="s">
        <v>367</v>
      </c>
    </row>
    <row r="217" customFormat="false" ht="15" hidden="false" customHeight="false" outlineLevel="0" collapsed="false">
      <c r="A217" s="1" t="s">
        <v>411</v>
      </c>
      <c r="B217" s="1" t="s">
        <v>367</v>
      </c>
      <c r="C217" s="1" t="s">
        <v>64</v>
      </c>
      <c r="D217" s="1" t="n">
        <v>0.0052</v>
      </c>
      <c r="E217" s="1" t="n">
        <v>0.2026</v>
      </c>
      <c r="F217" s="1" t="n">
        <v>0.2355</v>
      </c>
      <c r="G217" s="1" t="n">
        <v>43.7</v>
      </c>
      <c r="H217" s="1" t="n">
        <v>5.51</v>
      </c>
      <c r="I217" s="1" t="n">
        <v>0.17</v>
      </c>
      <c r="J217" s="1" t="n">
        <v>9.34</v>
      </c>
      <c r="K217" s="1" t="n">
        <v>26.9</v>
      </c>
      <c r="L217" s="1" t="n">
        <v>0.15</v>
      </c>
      <c r="M217" s="1" t="n">
        <v>4.83</v>
      </c>
      <c r="N217" s="1" t="n">
        <v>0.95</v>
      </c>
      <c r="O217" s="1" t="n">
        <v>0.11</v>
      </c>
      <c r="P217" s="1" t="n">
        <v>0.19</v>
      </c>
      <c r="Q217" s="1" t="n">
        <v>4.24</v>
      </c>
      <c r="R217" s="1" t="n">
        <v>96.5333</v>
      </c>
      <c r="S217" s="1" t="n">
        <v>0.0049</v>
      </c>
      <c r="T217" s="1" t="n">
        <v>0.0367</v>
      </c>
      <c r="U217" s="1" t="n">
        <v>0.0125</v>
      </c>
      <c r="V217" s="1" t="n">
        <v>56</v>
      </c>
      <c r="W217" s="1" t="n">
        <v>297</v>
      </c>
      <c r="X217" s="1" t="n">
        <v>71</v>
      </c>
      <c r="Y217" s="1" t="n">
        <v>6997</v>
      </c>
      <c r="Z217" s="1" t="n">
        <v>-6490</v>
      </c>
      <c r="AA217" s="1" t="n">
        <v>-482</v>
      </c>
      <c r="AB217" s="1" t="n">
        <v>273.48</v>
      </c>
      <c r="AC217" s="1" t="s">
        <v>367</v>
      </c>
    </row>
    <row r="218" customFormat="false" ht="15" hidden="false" customHeight="false" outlineLevel="0" collapsed="false">
      <c r="C218" s="1" t="s">
        <v>43</v>
      </c>
      <c r="D218" s="5" t="n">
        <f aca="false">AVERAGE(D198:D217)*10000</f>
        <v>37.6</v>
      </c>
      <c r="E218" s="5" t="n">
        <f aca="false">AVERAGE(E198:E217)*10000</f>
        <v>1896</v>
      </c>
      <c r="F218" s="5" t="n">
        <f aca="false">AVERAGE(F198:F217)*10000</f>
        <v>2394.6</v>
      </c>
      <c r="S218" s="5" t="n">
        <f aca="false">AVERAGE(S198:S217)*10000</f>
        <v>46.4</v>
      </c>
      <c r="T218" s="5" t="n">
        <f aca="false">AVERAGE(T198:T217)*10000</f>
        <v>368.95</v>
      </c>
      <c r="U218" s="5" t="n">
        <f aca="false">AVERAGE(U198:U217)*10000</f>
        <v>125.2</v>
      </c>
      <c r="V218" s="5" t="n">
        <f aca="false">AVERAGE(V198:V217)</f>
        <v>56.3157894736842</v>
      </c>
      <c r="W218" s="5" t="n">
        <f aca="false">AVERAGE(W198:W217)</f>
        <v>311.55</v>
      </c>
      <c r="X218" s="5" t="n">
        <f aca="false">AVERAGE(X198:X217)</f>
        <v>69.4</v>
      </c>
    </row>
    <row r="219" customFormat="false" ht="15" hidden="false" customHeight="false" outlineLevel="0" collapsed="false">
      <c r="C219" s="1" t="s">
        <v>44</v>
      </c>
      <c r="D219" s="5" t="n">
        <f aca="false">_xlfn.STDEV.P(D198:D217)*2*10000</f>
        <v>31.3968151251046</v>
      </c>
      <c r="E219" s="5" t="n">
        <f aca="false">_xlfn.STDEV.P(E198:E217)*2*10000</f>
        <v>268.192468201477</v>
      </c>
      <c r="F219" s="5" t="n">
        <f aca="false">_xlfn.STDEV.P(F198:F217)*2*10000</f>
        <v>144.723736822955</v>
      </c>
    </row>
    <row r="220" customFormat="false" ht="15" hidden="false" customHeight="false" outlineLevel="0" collapsed="false">
      <c r="C220" s="1" t="s">
        <v>45</v>
      </c>
      <c r="D220" s="5" t="n">
        <f aca="false">S218/3*2</f>
        <v>30.9333333333333</v>
      </c>
      <c r="E220" s="5" t="n">
        <f aca="false">T218/3*2</f>
        <v>245.966666666667</v>
      </c>
      <c r="F220" s="5" t="n">
        <f aca="false">U218/3*2</f>
        <v>83.4666666666667</v>
      </c>
    </row>
    <row r="221" customFormat="false" ht="15" hidden="false" customHeight="false" outlineLevel="0" collapsed="false">
      <c r="C221" s="1" t="s">
        <v>46</v>
      </c>
      <c r="D221" s="5" t="n">
        <f aca="false">V218</f>
        <v>56.3157894736842</v>
      </c>
      <c r="E221" s="5" t="n">
        <f aca="false">W218</f>
        <v>311.55</v>
      </c>
      <c r="F221" s="5" t="n">
        <f aca="false">X218</f>
        <v>69.4</v>
      </c>
    </row>
    <row r="223" customFormat="false" ht="15" hidden="false" customHeight="false" outlineLevel="0" collapsed="false">
      <c r="A223" s="1" t="s">
        <v>93</v>
      </c>
      <c r="B223" s="1" t="s">
        <v>289</v>
      </c>
      <c r="C223" s="1" t="s">
        <v>51</v>
      </c>
      <c r="D223" s="1" t="n">
        <v>0.088</v>
      </c>
      <c r="E223" s="1" t="n">
        <v>0.1931</v>
      </c>
      <c r="F223" s="1" t="n">
        <v>0.1031</v>
      </c>
      <c r="G223" s="1" t="n">
        <v>41.63</v>
      </c>
      <c r="H223" s="1" t="n">
        <v>3.61</v>
      </c>
      <c r="I223" s="1" t="n">
        <v>1.94</v>
      </c>
      <c r="J223" s="1" t="n">
        <v>8.4</v>
      </c>
      <c r="K223" s="1" t="n">
        <v>22.8</v>
      </c>
      <c r="L223" s="1" t="n">
        <v>1.04</v>
      </c>
      <c r="M223" s="1" t="n">
        <v>2.36</v>
      </c>
      <c r="N223" s="1" t="n">
        <v>4.74</v>
      </c>
      <c r="O223" s="1" t="n">
        <v>2.1</v>
      </c>
      <c r="P223" s="1" t="n">
        <v>0.17</v>
      </c>
      <c r="Q223" s="1" t="n">
        <v>7.83</v>
      </c>
      <c r="R223" s="1" t="n">
        <v>97.0042</v>
      </c>
      <c r="S223" s="1" t="n">
        <v>0.0136</v>
      </c>
      <c r="T223" s="1" t="n">
        <v>0.0609</v>
      </c>
      <c r="U223" s="1" t="n">
        <v>0.014</v>
      </c>
      <c r="V223" s="1" t="n">
        <v>89</v>
      </c>
      <c r="W223" s="1" t="n">
        <v>536</v>
      </c>
      <c r="X223" s="1" t="n">
        <v>110</v>
      </c>
      <c r="Y223" s="1" t="n">
        <v>17140</v>
      </c>
      <c r="Z223" s="1" t="n">
        <v>-567</v>
      </c>
      <c r="AA223" s="1" t="n">
        <v>-481</v>
      </c>
      <c r="AB223" s="1" t="n">
        <v>0</v>
      </c>
      <c r="AC223" s="1" t="s">
        <v>289</v>
      </c>
    </row>
    <row r="224" customFormat="false" ht="15" hidden="false" customHeight="false" outlineLevel="0" collapsed="false">
      <c r="A224" s="1" t="s">
        <v>412</v>
      </c>
      <c r="B224" s="1" t="s">
        <v>289</v>
      </c>
      <c r="C224" s="1" t="s">
        <v>51</v>
      </c>
      <c r="D224" s="1" t="n">
        <v>0.0872</v>
      </c>
      <c r="E224" s="1" t="n">
        <v>0.1781</v>
      </c>
      <c r="F224" s="1" t="n">
        <v>0.094</v>
      </c>
      <c r="G224" s="1" t="n">
        <v>41.63</v>
      </c>
      <c r="H224" s="1" t="n">
        <v>3.61</v>
      </c>
      <c r="I224" s="1" t="n">
        <v>1.94</v>
      </c>
      <c r="J224" s="1" t="n">
        <v>8.4</v>
      </c>
      <c r="K224" s="1" t="n">
        <v>22.8</v>
      </c>
      <c r="L224" s="1" t="n">
        <v>1.04</v>
      </c>
      <c r="M224" s="1" t="n">
        <v>2.36</v>
      </c>
      <c r="N224" s="1" t="n">
        <v>4.74</v>
      </c>
      <c r="O224" s="1" t="n">
        <v>2.1</v>
      </c>
      <c r="P224" s="1" t="n">
        <v>0.17</v>
      </c>
      <c r="Q224" s="1" t="n">
        <v>7.83</v>
      </c>
      <c r="R224" s="1" t="n">
        <v>96.9792</v>
      </c>
      <c r="S224" s="1" t="n">
        <v>0.0137</v>
      </c>
      <c r="T224" s="1" t="n">
        <v>0.0562</v>
      </c>
      <c r="U224" s="1" t="n">
        <v>0.0137</v>
      </c>
      <c r="V224" s="1" t="n">
        <v>93</v>
      </c>
      <c r="W224" s="1" t="n">
        <v>478</v>
      </c>
      <c r="X224" s="1" t="n">
        <v>112</v>
      </c>
      <c r="Y224" s="1" t="n">
        <v>17163</v>
      </c>
      <c r="Z224" s="1" t="n">
        <v>-543</v>
      </c>
      <c r="AA224" s="1" t="n">
        <v>-481</v>
      </c>
      <c r="AB224" s="1" t="n">
        <v>33.24</v>
      </c>
      <c r="AC224" s="1" t="s">
        <v>289</v>
      </c>
    </row>
    <row r="225" customFormat="false" ht="15" hidden="false" customHeight="false" outlineLevel="0" collapsed="false">
      <c r="A225" s="1" t="s">
        <v>413</v>
      </c>
      <c r="B225" s="1" t="s">
        <v>289</v>
      </c>
      <c r="C225" s="1" t="s">
        <v>51</v>
      </c>
      <c r="D225" s="1" t="n">
        <v>0.0839</v>
      </c>
      <c r="E225" s="1" t="n">
        <v>0.1921</v>
      </c>
      <c r="F225" s="1" t="n">
        <v>0.0931</v>
      </c>
      <c r="G225" s="1" t="n">
        <v>41.63</v>
      </c>
      <c r="H225" s="1" t="n">
        <v>3.61</v>
      </c>
      <c r="I225" s="1" t="n">
        <v>1.94</v>
      </c>
      <c r="J225" s="1" t="n">
        <v>8.4</v>
      </c>
      <c r="K225" s="1" t="n">
        <v>22.8</v>
      </c>
      <c r="L225" s="1" t="n">
        <v>1.04</v>
      </c>
      <c r="M225" s="1" t="n">
        <v>2.36</v>
      </c>
      <c r="N225" s="1" t="n">
        <v>4.74</v>
      </c>
      <c r="O225" s="1" t="n">
        <v>2.1</v>
      </c>
      <c r="P225" s="1" t="n">
        <v>0.17</v>
      </c>
      <c r="Q225" s="1" t="n">
        <v>7.83</v>
      </c>
      <c r="R225" s="1" t="n">
        <v>96.9892</v>
      </c>
      <c r="S225" s="1" t="n">
        <v>0.0135</v>
      </c>
      <c r="T225" s="1" t="n">
        <v>0.0601</v>
      </c>
      <c r="U225" s="1" t="n">
        <v>0.0139</v>
      </c>
      <c r="V225" s="1" t="n">
        <v>92</v>
      </c>
      <c r="W225" s="1" t="n">
        <v>524</v>
      </c>
      <c r="X225" s="1" t="n">
        <v>115</v>
      </c>
      <c r="Y225" s="1" t="n">
        <v>17175</v>
      </c>
      <c r="Z225" s="1" t="n">
        <v>-531</v>
      </c>
      <c r="AA225" s="1" t="n">
        <v>-481</v>
      </c>
      <c r="AB225" s="1" t="n">
        <v>50.21</v>
      </c>
      <c r="AC225" s="1" t="s">
        <v>289</v>
      </c>
    </row>
    <row r="226" customFormat="false" ht="15" hidden="false" customHeight="false" outlineLevel="0" collapsed="false">
      <c r="A226" s="1" t="s">
        <v>414</v>
      </c>
      <c r="B226" s="1" t="s">
        <v>289</v>
      </c>
      <c r="C226" s="1" t="s">
        <v>51</v>
      </c>
      <c r="D226" s="1" t="n">
        <v>0.0819</v>
      </c>
      <c r="E226" s="1" t="n">
        <v>0.2061</v>
      </c>
      <c r="F226" s="1" t="n">
        <v>0.0968</v>
      </c>
      <c r="G226" s="1" t="n">
        <v>41.63</v>
      </c>
      <c r="H226" s="1" t="n">
        <v>3.61</v>
      </c>
      <c r="I226" s="1" t="n">
        <v>1.94</v>
      </c>
      <c r="J226" s="1" t="n">
        <v>8.4</v>
      </c>
      <c r="K226" s="1" t="n">
        <v>22.8</v>
      </c>
      <c r="L226" s="1" t="n">
        <v>1.04</v>
      </c>
      <c r="M226" s="1" t="n">
        <v>2.36</v>
      </c>
      <c r="N226" s="1" t="n">
        <v>4.74</v>
      </c>
      <c r="O226" s="1" t="n">
        <v>2.1</v>
      </c>
      <c r="P226" s="1" t="n">
        <v>0.17</v>
      </c>
      <c r="Q226" s="1" t="n">
        <v>7.83</v>
      </c>
      <c r="R226" s="1" t="n">
        <v>97.0047</v>
      </c>
      <c r="S226" s="1" t="n">
        <v>0.0138</v>
      </c>
      <c r="T226" s="1" t="n">
        <v>0.0624</v>
      </c>
      <c r="U226" s="1" t="n">
        <v>0.0139</v>
      </c>
      <c r="V226" s="1" t="n">
        <v>102</v>
      </c>
      <c r="W226" s="1" t="n">
        <v>546</v>
      </c>
      <c r="X226" s="1" t="n">
        <v>112</v>
      </c>
      <c r="Y226" s="1" t="n">
        <v>17094</v>
      </c>
      <c r="Z226" s="1" t="n">
        <v>-514</v>
      </c>
      <c r="AA226" s="1" t="n">
        <v>-481</v>
      </c>
      <c r="AB226" s="1" t="n">
        <v>70.18</v>
      </c>
      <c r="AC226" s="1" t="s">
        <v>289</v>
      </c>
    </row>
    <row r="227" customFormat="false" ht="15" hidden="false" customHeight="false" outlineLevel="0" collapsed="false">
      <c r="A227" s="1" t="s">
        <v>415</v>
      </c>
      <c r="B227" s="1" t="s">
        <v>289</v>
      </c>
      <c r="C227" s="1" t="s">
        <v>51</v>
      </c>
      <c r="D227" s="1" t="n">
        <v>0.0929</v>
      </c>
      <c r="E227" s="1" t="n">
        <v>0.1821</v>
      </c>
      <c r="F227" s="1" t="n">
        <v>0.093</v>
      </c>
      <c r="G227" s="1" t="n">
        <v>41.63</v>
      </c>
      <c r="H227" s="1" t="n">
        <v>3.61</v>
      </c>
      <c r="I227" s="1" t="n">
        <v>1.94</v>
      </c>
      <c r="J227" s="1" t="n">
        <v>8.4</v>
      </c>
      <c r="K227" s="1" t="n">
        <v>22.8</v>
      </c>
      <c r="L227" s="1" t="n">
        <v>1.04</v>
      </c>
      <c r="M227" s="1" t="n">
        <v>2.36</v>
      </c>
      <c r="N227" s="1" t="n">
        <v>4.74</v>
      </c>
      <c r="O227" s="1" t="n">
        <v>2.1</v>
      </c>
      <c r="P227" s="1" t="n">
        <v>0.17</v>
      </c>
      <c r="Q227" s="1" t="n">
        <v>7.83</v>
      </c>
      <c r="R227" s="1" t="n">
        <v>96.988</v>
      </c>
      <c r="S227" s="1" t="n">
        <v>0.0141</v>
      </c>
      <c r="T227" s="1" t="n">
        <v>0.0573</v>
      </c>
      <c r="U227" s="1" t="n">
        <v>0.0137</v>
      </c>
      <c r="V227" s="1" t="n">
        <v>93</v>
      </c>
      <c r="W227" s="1" t="n">
        <v>491</v>
      </c>
      <c r="X227" s="1" t="n">
        <v>111</v>
      </c>
      <c r="Y227" s="1" t="n">
        <v>17103</v>
      </c>
      <c r="Z227" s="1" t="n">
        <v>-480</v>
      </c>
      <c r="AA227" s="1" t="n">
        <v>-481</v>
      </c>
      <c r="AB227" s="1" t="n">
        <v>94.54</v>
      </c>
      <c r="AC227" s="1" t="s">
        <v>289</v>
      </c>
    </row>
    <row r="228" customFormat="false" ht="15" hidden="false" customHeight="false" outlineLevel="0" collapsed="false">
      <c r="A228" s="1" t="s">
        <v>94</v>
      </c>
      <c r="B228" s="1" t="s">
        <v>289</v>
      </c>
      <c r="C228" s="1" t="s">
        <v>51</v>
      </c>
      <c r="D228" s="1" t="n">
        <v>0.0887</v>
      </c>
      <c r="E228" s="1" t="n">
        <v>0.1654</v>
      </c>
      <c r="F228" s="1" t="n">
        <v>0.0906</v>
      </c>
      <c r="G228" s="1" t="n">
        <v>41.63</v>
      </c>
      <c r="H228" s="1" t="n">
        <v>3.61</v>
      </c>
      <c r="I228" s="1" t="n">
        <v>1.94</v>
      </c>
      <c r="J228" s="1" t="n">
        <v>8.4</v>
      </c>
      <c r="K228" s="1" t="n">
        <v>22.8</v>
      </c>
      <c r="L228" s="1" t="n">
        <v>1.04</v>
      </c>
      <c r="M228" s="1" t="n">
        <v>2.36</v>
      </c>
      <c r="N228" s="1" t="n">
        <v>4.74</v>
      </c>
      <c r="O228" s="1" t="n">
        <v>2.1</v>
      </c>
      <c r="P228" s="1" t="n">
        <v>0.17</v>
      </c>
      <c r="Q228" s="1" t="n">
        <v>7.83</v>
      </c>
      <c r="R228" s="1" t="n">
        <v>96.9647</v>
      </c>
      <c r="S228" s="1" t="n">
        <v>0.0136</v>
      </c>
      <c r="T228" s="1" t="n">
        <v>0.0587</v>
      </c>
      <c r="U228" s="1" t="n">
        <v>0.0139</v>
      </c>
      <c r="V228" s="1" t="n">
        <v>89</v>
      </c>
      <c r="W228" s="1" t="n">
        <v>537</v>
      </c>
      <c r="X228" s="1" t="n">
        <v>116</v>
      </c>
      <c r="Y228" s="1" t="n">
        <v>17121</v>
      </c>
      <c r="Z228" s="1" t="n">
        <v>-471</v>
      </c>
      <c r="AA228" s="1" t="n">
        <v>-481</v>
      </c>
      <c r="AB228" s="1" t="n">
        <v>0</v>
      </c>
      <c r="AC228" s="1" t="s">
        <v>289</v>
      </c>
    </row>
    <row r="229" customFormat="false" ht="15" hidden="false" customHeight="false" outlineLevel="0" collapsed="false">
      <c r="A229" s="1" t="s">
        <v>416</v>
      </c>
      <c r="B229" s="1" t="s">
        <v>289</v>
      </c>
      <c r="C229" s="1" t="s">
        <v>51</v>
      </c>
      <c r="D229" s="1" t="n">
        <v>0.0837</v>
      </c>
      <c r="E229" s="1" t="n">
        <v>0.1634</v>
      </c>
      <c r="F229" s="1" t="n">
        <v>0.0891</v>
      </c>
      <c r="G229" s="1" t="n">
        <v>41.63</v>
      </c>
      <c r="H229" s="1" t="n">
        <v>3.61</v>
      </c>
      <c r="I229" s="1" t="n">
        <v>1.94</v>
      </c>
      <c r="J229" s="1" t="n">
        <v>8.4</v>
      </c>
      <c r="K229" s="1" t="n">
        <v>22.8</v>
      </c>
      <c r="L229" s="1" t="n">
        <v>1.04</v>
      </c>
      <c r="M229" s="1" t="n">
        <v>2.36</v>
      </c>
      <c r="N229" s="1" t="n">
        <v>4.74</v>
      </c>
      <c r="O229" s="1" t="n">
        <v>2.1</v>
      </c>
      <c r="P229" s="1" t="n">
        <v>0.17</v>
      </c>
      <c r="Q229" s="1" t="n">
        <v>7.83</v>
      </c>
      <c r="R229" s="1" t="n">
        <v>96.9562</v>
      </c>
      <c r="S229" s="1" t="n">
        <v>0.0135</v>
      </c>
      <c r="T229" s="1" t="n">
        <v>0.0572</v>
      </c>
      <c r="U229" s="1" t="n">
        <v>0.0137</v>
      </c>
      <c r="V229" s="1" t="n">
        <v>93</v>
      </c>
      <c r="W229" s="1" t="n">
        <v>515</v>
      </c>
      <c r="X229" s="1" t="n">
        <v>115</v>
      </c>
      <c r="Y229" s="1" t="n">
        <v>17137</v>
      </c>
      <c r="Z229" s="1" t="n">
        <v>-732</v>
      </c>
      <c r="AA229" s="1" t="n">
        <v>-481</v>
      </c>
      <c r="AB229" s="1" t="n">
        <v>261.49</v>
      </c>
      <c r="AC229" s="1" t="s">
        <v>289</v>
      </c>
    </row>
    <row r="230" customFormat="false" ht="15" hidden="false" customHeight="false" outlineLevel="0" collapsed="false">
      <c r="A230" s="1" t="s">
        <v>417</v>
      </c>
      <c r="B230" s="1" t="s">
        <v>289</v>
      </c>
      <c r="C230" s="1" t="s">
        <v>51</v>
      </c>
      <c r="D230" s="1" t="n">
        <v>0.0823</v>
      </c>
      <c r="E230" s="1" t="n">
        <v>0.1774</v>
      </c>
      <c r="F230" s="1" t="n">
        <v>0.0897</v>
      </c>
      <c r="G230" s="1" t="n">
        <v>41.63</v>
      </c>
      <c r="H230" s="1" t="n">
        <v>3.61</v>
      </c>
      <c r="I230" s="1" t="n">
        <v>1.94</v>
      </c>
      <c r="J230" s="1" t="n">
        <v>8.4</v>
      </c>
      <c r="K230" s="1" t="n">
        <v>22.8</v>
      </c>
      <c r="L230" s="1" t="n">
        <v>1.04</v>
      </c>
      <c r="M230" s="1" t="n">
        <v>2.36</v>
      </c>
      <c r="N230" s="1" t="n">
        <v>4.74</v>
      </c>
      <c r="O230" s="1" t="n">
        <v>2.1</v>
      </c>
      <c r="P230" s="1" t="n">
        <v>0.17</v>
      </c>
      <c r="Q230" s="1" t="n">
        <v>7.83</v>
      </c>
      <c r="R230" s="1" t="n">
        <v>96.9694</v>
      </c>
      <c r="S230" s="1" t="n">
        <v>0.0136</v>
      </c>
      <c r="T230" s="1" t="n">
        <v>0.0585</v>
      </c>
      <c r="U230" s="1" t="n">
        <v>0.0134</v>
      </c>
      <c r="V230" s="1" t="n">
        <v>97</v>
      </c>
      <c r="W230" s="1" t="n">
        <v>517</v>
      </c>
      <c r="X230" s="1" t="n">
        <v>109</v>
      </c>
      <c r="Y230" s="1" t="n">
        <v>16858</v>
      </c>
      <c r="Z230" s="1" t="n">
        <v>-752</v>
      </c>
      <c r="AA230" s="1" t="n">
        <v>-481</v>
      </c>
      <c r="AB230" s="1" t="n">
        <v>384.88</v>
      </c>
      <c r="AC230" s="1" t="s">
        <v>289</v>
      </c>
    </row>
    <row r="231" customFormat="false" ht="15" hidden="false" customHeight="false" outlineLevel="0" collapsed="false">
      <c r="A231" s="1" t="s">
        <v>418</v>
      </c>
      <c r="B231" s="1" t="s">
        <v>289</v>
      </c>
      <c r="C231" s="1" t="s">
        <v>51</v>
      </c>
      <c r="D231" s="1" t="n">
        <v>0.0841</v>
      </c>
      <c r="E231" s="1" t="n">
        <v>0.1873</v>
      </c>
      <c r="F231" s="1" t="n">
        <v>0.089</v>
      </c>
      <c r="G231" s="1" t="n">
        <v>41.63</v>
      </c>
      <c r="H231" s="1" t="n">
        <v>3.61</v>
      </c>
      <c r="I231" s="1" t="n">
        <v>1.94</v>
      </c>
      <c r="J231" s="1" t="n">
        <v>8.4</v>
      </c>
      <c r="K231" s="1" t="n">
        <v>22.8</v>
      </c>
      <c r="L231" s="1" t="n">
        <v>1.04</v>
      </c>
      <c r="M231" s="1" t="n">
        <v>2.36</v>
      </c>
      <c r="N231" s="1" t="n">
        <v>4.74</v>
      </c>
      <c r="O231" s="1" t="n">
        <v>2.1</v>
      </c>
      <c r="P231" s="1" t="n">
        <v>0.17</v>
      </c>
      <c r="Q231" s="1" t="n">
        <v>7.83</v>
      </c>
      <c r="R231" s="1" t="n">
        <v>96.9804</v>
      </c>
      <c r="S231" s="1" t="n">
        <v>0.0137</v>
      </c>
      <c r="T231" s="1" t="n">
        <v>0.0585</v>
      </c>
      <c r="U231" s="1" t="n">
        <v>0.0136</v>
      </c>
      <c r="V231" s="1" t="n">
        <v>98</v>
      </c>
      <c r="W231" s="1" t="n">
        <v>505</v>
      </c>
      <c r="X231" s="1" t="n">
        <v>113</v>
      </c>
      <c r="Y231" s="1" t="n">
        <v>16862</v>
      </c>
      <c r="Z231" s="1" t="n">
        <v>-728</v>
      </c>
      <c r="AA231" s="1" t="n">
        <v>-481</v>
      </c>
      <c r="AB231" s="1" t="n">
        <v>364.87</v>
      </c>
      <c r="AC231" s="1" t="s">
        <v>289</v>
      </c>
    </row>
    <row r="232" customFormat="false" ht="15" hidden="false" customHeight="false" outlineLevel="0" collapsed="false">
      <c r="A232" s="1" t="s">
        <v>419</v>
      </c>
      <c r="B232" s="1" t="s">
        <v>289</v>
      </c>
      <c r="C232" s="1" t="s">
        <v>51</v>
      </c>
      <c r="D232" s="1" t="n">
        <v>0.0891</v>
      </c>
      <c r="E232" s="1" t="n">
        <v>0.1744</v>
      </c>
      <c r="F232" s="1" t="n">
        <v>0.0897</v>
      </c>
      <c r="G232" s="1" t="n">
        <v>41.63</v>
      </c>
      <c r="H232" s="1" t="n">
        <v>3.61</v>
      </c>
      <c r="I232" s="1" t="n">
        <v>1.94</v>
      </c>
      <c r="J232" s="1" t="n">
        <v>8.4</v>
      </c>
      <c r="K232" s="1" t="n">
        <v>22.8</v>
      </c>
      <c r="L232" s="1" t="n">
        <v>1.04</v>
      </c>
      <c r="M232" s="1" t="n">
        <v>2.36</v>
      </c>
      <c r="N232" s="1" t="n">
        <v>4.74</v>
      </c>
      <c r="O232" s="1" t="n">
        <v>2.1</v>
      </c>
      <c r="P232" s="1" t="n">
        <v>0.17</v>
      </c>
      <c r="Q232" s="1" t="n">
        <v>7.83</v>
      </c>
      <c r="R232" s="1" t="n">
        <v>96.9732</v>
      </c>
      <c r="S232" s="1" t="n">
        <v>0.014</v>
      </c>
      <c r="T232" s="1" t="n">
        <v>0.059</v>
      </c>
      <c r="U232" s="1" t="n">
        <v>0.0135</v>
      </c>
      <c r="V232" s="1" t="n">
        <v>96</v>
      </c>
      <c r="W232" s="1" t="n">
        <v>530</v>
      </c>
      <c r="X232" s="1" t="n">
        <v>110</v>
      </c>
      <c r="Y232" s="1" t="n">
        <v>16902</v>
      </c>
      <c r="Z232" s="1" t="n">
        <v>-646</v>
      </c>
      <c r="AA232" s="1" t="n">
        <v>-481</v>
      </c>
      <c r="AB232" s="1" t="n">
        <v>280.33</v>
      </c>
      <c r="AC232" s="1" t="s">
        <v>289</v>
      </c>
    </row>
    <row r="233" customFormat="false" ht="15" hidden="false" customHeight="false" outlineLevel="0" collapsed="false">
      <c r="A233" s="1" t="s">
        <v>86</v>
      </c>
      <c r="B233" s="1" t="s">
        <v>289</v>
      </c>
      <c r="C233" s="1" t="s">
        <v>51</v>
      </c>
      <c r="D233" s="1" t="n">
        <v>0.0886</v>
      </c>
      <c r="E233" s="1" t="n">
        <v>0.1457</v>
      </c>
      <c r="F233" s="1" t="n">
        <v>0.1086</v>
      </c>
      <c r="G233" s="1" t="n">
        <v>41.63</v>
      </c>
      <c r="H233" s="1" t="n">
        <v>3.61</v>
      </c>
      <c r="I233" s="1" t="n">
        <v>1.94</v>
      </c>
      <c r="J233" s="1" t="n">
        <v>8.4</v>
      </c>
      <c r="K233" s="1" t="n">
        <v>22.8</v>
      </c>
      <c r="L233" s="1" t="n">
        <v>1.04</v>
      </c>
      <c r="M233" s="1" t="n">
        <v>2.36</v>
      </c>
      <c r="N233" s="1" t="n">
        <v>4.74</v>
      </c>
      <c r="O233" s="1" t="n">
        <v>2.1</v>
      </c>
      <c r="P233" s="1" t="n">
        <v>0.17</v>
      </c>
      <c r="Q233" s="1" t="n">
        <v>7.83</v>
      </c>
      <c r="R233" s="1" t="n">
        <v>96.9629</v>
      </c>
      <c r="S233" s="1" t="n">
        <v>0.0139</v>
      </c>
      <c r="T233" s="1" t="n">
        <v>0.0571</v>
      </c>
      <c r="U233" s="1" t="n">
        <v>0.0143</v>
      </c>
      <c r="V233" s="1" t="n">
        <v>95</v>
      </c>
      <c r="W233" s="1" t="n">
        <v>535</v>
      </c>
      <c r="X233" s="1" t="n">
        <v>111</v>
      </c>
      <c r="Y233" s="1" t="n">
        <v>16909</v>
      </c>
      <c r="Z233" s="1" t="n">
        <v>-4344</v>
      </c>
      <c r="AA233" s="1" t="n">
        <v>-481</v>
      </c>
      <c r="AB233" s="1" t="n">
        <v>0</v>
      </c>
      <c r="AC233" s="1" t="s">
        <v>289</v>
      </c>
    </row>
    <row r="235" customFormat="false" ht="15" hidden="false" customHeight="false" outlineLevel="0" collapsed="false">
      <c r="A235" s="1" t="s">
        <v>420</v>
      </c>
      <c r="B235" s="1" t="s">
        <v>289</v>
      </c>
      <c r="C235" s="1" t="s">
        <v>51</v>
      </c>
      <c r="D235" s="1" t="n">
        <v>0.0891</v>
      </c>
      <c r="E235" s="1" t="n">
        <v>0.1717</v>
      </c>
      <c r="F235" s="1" t="n">
        <v>0.0967</v>
      </c>
      <c r="G235" s="1" t="n">
        <v>41.63</v>
      </c>
      <c r="H235" s="1" t="n">
        <v>3.61</v>
      </c>
      <c r="I235" s="1" t="n">
        <v>1.94</v>
      </c>
      <c r="J235" s="1" t="n">
        <v>8.4</v>
      </c>
      <c r="K235" s="1" t="n">
        <v>22.8</v>
      </c>
      <c r="L235" s="1" t="n">
        <v>1.04</v>
      </c>
      <c r="M235" s="1" t="n">
        <v>2.36</v>
      </c>
      <c r="N235" s="1" t="n">
        <v>4.74</v>
      </c>
      <c r="O235" s="1" t="n">
        <v>2.1</v>
      </c>
      <c r="P235" s="1" t="n">
        <v>0.17</v>
      </c>
      <c r="Q235" s="1" t="n">
        <v>7.83</v>
      </c>
      <c r="R235" s="1" t="n">
        <v>96.9775</v>
      </c>
      <c r="S235" s="1" t="n">
        <v>0.0137</v>
      </c>
      <c r="T235" s="1" t="n">
        <v>0.0586</v>
      </c>
      <c r="U235" s="1" t="n">
        <v>0.0139</v>
      </c>
      <c r="V235" s="1" t="n">
        <v>90</v>
      </c>
      <c r="W235" s="1" t="n">
        <v>526</v>
      </c>
      <c r="X235" s="1" t="n">
        <v>112</v>
      </c>
      <c r="Y235" s="1" t="n">
        <v>16943</v>
      </c>
      <c r="Z235" s="1" t="n">
        <v>-4272</v>
      </c>
      <c r="AA235" s="1" t="n">
        <v>-481</v>
      </c>
      <c r="AB235" s="1" t="n">
        <v>79.62</v>
      </c>
      <c r="AC235" s="1" t="s">
        <v>289</v>
      </c>
    </row>
    <row r="236" customFormat="false" ht="15" hidden="false" customHeight="false" outlineLevel="0" collapsed="false">
      <c r="A236" s="1" t="s">
        <v>421</v>
      </c>
      <c r="B236" s="1" t="s">
        <v>289</v>
      </c>
      <c r="C236" s="1" t="s">
        <v>51</v>
      </c>
      <c r="D236" s="1" t="n">
        <v>0.086</v>
      </c>
      <c r="E236" s="1" t="n">
        <v>0.2046</v>
      </c>
      <c r="F236" s="1" t="n">
        <v>0.0904</v>
      </c>
      <c r="G236" s="1" t="n">
        <v>41.63</v>
      </c>
      <c r="H236" s="1" t="n">
        <v>3.61</v>
      </c>
      <c r="I236" s="1" t="n">
        <v>1.94</v>
      </c>
      <c r="J236" s="1" t="n">
        <v>8.4</v>
      </c>
      <c r="K236" s="1" t="n">
        <v>22.8</v>
      </c>
      <c r="L236" s="1" t="n">
        <v>1.04</v>
      </c>
      <c r="M236" s="1" t="n">
        <v>2.36</v>
      </c>
      <c r="N236" s="1" t="n">
        <v>4.74</v>
      </c>
      <c r="O236" s="1" t="n">
        <v>2.1</v>
      </c>
      <c r="P236" s="1" t="n">
        <v>0.17</v>
      </c>
      <c r="Q236" s="1" t="n">
        <v>7.83</v>
      </c>
      <c r="R236" s="1" t="n">
        <v>97.0009</v>
      </c>
      <c r="S236" s="1" t="n">
        <v>0.0137</v>
      </c>
      <c r="T236" s="1" t="n">
        <v>0.0572</v>
      </c>
      <c r="U236" s="1" t="n">
        <v>0.014</v>
      </c>
      <c r="V236" s="1" t="n">
        <v>95</v>
      </c>
      <c r="W236" s="1" t="n">
        <v>460</v>
      </c>
      <c r="X236" s="1" t="n">
        <v>118</v>
      </c>
      <c r="Y236" s="1" t="n">
        <v>16927</v>
      </c>
      <c r="Z236" s="1" t="n">
        <v>-4257</v>
      </c>
      <c r="AA236" s="1" t="n">
        <v>-481</v>
      </c>
      <c r="AB236" s="1" t="n">
        <v>88.84</v>
      </c>
      <c r="AC236" s="1" t="s">
        <v>289</v>
      </c>
    </row>
    <row r="237" customFormat="false" ht="15" hidden="false" customHeight="false" outlineLevel="0" collapsed="false">
      <c r="A237" s="1" t="s">
        <v>422</v>
      </c>
      <c r="B237" s="1" t="s">
        <v>289</v>
      </c>
      <c r="C237" s="1" t="s">
        <v>51</v>
      </c>
      <c r="D237" s="1" t="n">
        <v>0.0883</v>
      </c>
      <c r="E237" s="1" t="n">
        <v>0.1826</v>
      </c>
      <c r="F237" s="1" t="n">
        <v>0.0933</v>
      </c>
      <c r="G237" s="1" t="n">
        <v>41.63</v>
      </c>
      <c r="H237" s="1" t="n">
        <v>3.61</v>
      </c>
      <c r="I237" s="1" t="n">
        <v>1.94</v>
      </c>
      <c r="J237" s="1" t="n">
        <v>8.4</v>
      </c>
      <c r="K237" s="1" t="n">
        <v>22.8</v>
      </c>
      <c r="L237" s="1" t="n">
        <v>1.04</v>
      </c>
      <c r="M237" s="1" t="n">
        <v>2.36</v>
      </c>
      <c r="N237" s="1" t="n">
        <v>4.74</v>
      </c>
      <c r="O237" s="1" t="n">
        <v>2.1</v>
      </c>
      <c r="P237" s="1" t="n">
        <v>0.17</v>
      </c>
      <c r="Q237" s="1" t="n">
        <v>7.83</v>
      </c>
      <c r="R237" s="1" t="n">
        <v>96.9842</v>
      </c>
      <c r="S237" s="1" t="n">
        <v>0.0139</v>
      </c>
      <c r="T237" s="1" t="n">
        <v>0.0612</v>
      </c>
      <c r="U237" s="1" t="n">
        <v>0.0137</v>
      </c>
      <c r="V237" s="1" t="n">
        <v>95</v>
      </c>
      <c r="W237" s="1" t="n">
        <v>554</v>
      </c>
      <c r="X237" s="1" t="n">
        <v>111</v>
      </c>
      <c r="Y237" s="1" t="n">
        <v>16917</v>
      </c>
      <c r="Z237" s="1" t="n">
        <v>-4226</v>
      </c>
      <c r="AA237" s="1" t="n">
        <v>-481</v>
      </c>
      <c r="AB237" s="1" t="n">
        <v>118.27</v>
      </c>
      <c r="AC237" s="1" t="s">
        <v>289</v>
      </c>
    </row>
    <row r="238" customFormat="false" ht="15" hidden="false" customHeight="false" outlineLevel="0" collapsed="false">
      <c r="A238" s="1" t="s">
        <v>87</v>
      </c>
      <c r="B238" s="1" t="s">
        <v>289</v>
      </c>
      <c r="C238" s="1" t="s">
        <v>51</v>
      </c>
      <c r="D238" s="1" t="n">
        <v>0.0816</v>
      </c>
      <c r="E238" s="1" t="n">
        <v>0.2157</v>
      </c>
      <c r="F238" s="1" t="n">
        <v>0.1041</v>
      </c>
      <c r="G238" s="1" t="n">
        <v>41.63</v>
      </c>
      <c r="H238" s="1" t="n">
        <v>3.61</v>
      </c>
      <c r="I238" s="1" t="n">
        <v>1.94</v>
      </c>
      <c r="J238" s="1" t="n">
        <v>8.4</v>
      </c>
      <c r="K238" s="1" t="n">
        <v>22.8</v>
      </c>
      <c r="L238" s="1" t="n">
        <v>1.04</v>
      </c>
      <c r="M238" s="1" t="n">
        <v>2.36</v>
      </c>
      <c r="N238" s="1" t="n">
        <v>4.74</v>
      </c>
      <c r="O238" s="1" t="n">
        <v>2.1</v>
      </c>
      <c r="P238" s="1" t="n">
        <v>0.17</v>
      </c>
      <c r="Q238" s="1" t="n">
        <v>7.83</v>
      </c>
      <c r="R238" s="1" t="n">
        <v>97.0214</v>
      </c>
      <c r="S238" s="1" t="n">
        <v>0.0135</v>
      </c>
      <c r="T238" s="1" t="n">
        <v>0.0595</v>
      </c>
      <c r="U238" s="1" t="n">
        <v>0.0143</v>
      </c>
      <c r="V238" s="1" t="n">
        <v>97</v>
      </c>
      <c r="W238" s="1" t="n">
        <v>485</v>
      </c>
      <c r="X238" s="1" t="n">
        <v>114</v>
      </c>
      <c r="Y238" s="1" t="n">
        <v>16774</v>
      </c>
      <c r="Z238" s="1" t="n">
        <v>-4217</v>
      </c>
      <c r="AA238" s="1" t="n">
        <v>-481</v>
      </c>
      <c r="AB238" s="1" t="n">
        <v>0</v>
      </c>
      <c r="AC238" s="1" t="s">
        <v>289</v>
      </c>
    </row>
    <row r="239" customFormat="false" ht="15" hidden="false" customHeight="false" outlineLevel="0" collapsed="false">
      <c r="A239" s="1" t="s">
        <v>423</v>
      </c>
      <c r="B239" s="1" t="s">
        <v>289</v>
      </c>
      <c r="C239" s="1" t="s">
        <v>51</v>
      </c>
      <c r="D239" s="1" t="n">
        <v>0.0836</v>
      </c>
      <c r="E239" s="1" t="n">
        <v>0.2057</v>
      </c>
      <c r="F239" s="1" t="n">
        <v>0.0994</v>
      </c>
      <c r="G239" s="1" t="n">
        <v>41.63</v>
      </c>
      <c r="H239" s="1" t="n">
        <v>3.61</v>
      </c>
      <c r="I239" s="1" t="n">
        <v>1.94</v>
      </c>
      <c r="J239" s="1" t="n">
        <v>8.4</v>
      </c>
      <c r="K239" s="1" t="n">
        <v>22.8</v>
      </c>
      <c r="L239" s="1" t="n">
        <v>1.04</v>
      </c>
      <c r="M239" s="1" t="n">
        <v>2.36</v>
      </c>
      <c r="N239" s="1" t="n">
        <v>4.74</v>
      </c>
      <c r="O239" s="1" t="n">
        <v>2.1</v>
      </c>
      <c r="P239" s="1" t="n">
        <v>0.17</v>
      </c>
      <c r="Q239" s="1" t="n">
        <v>7.83</v>
      </c>
      <c r="R239" s="1" t="n">
        <v>97.0087</v>
      </c>
      <c r="S239" s="1" t="n">
        <v>0.0137</v>
      </c>
      <c r="T239" s="1" t="n">
        <v>0.061</v>
      </c>
      <c r="U239" s="1" t="n">
        <v>0.0141</v>
      </c>
      <c r="V239" s="1" t="n">
        <v>97</v>
      </c>
      <c r="W239" s="1" t="n">
        <v>523</v>
      </c>
      <c r="X239" s="1" t="n">
        <v>114</v>
      </c>
      <c r="Y239" s="1" t="n">
        <v>16739</v>
      </c>
      <c r="Z239" s="1" t="n">
        <v>-4279</v>
      </c>
      <c r="AA239" s="1" t="n">
        <v>-481</v>
      </c>
      <c r="AB239" s="1" t="n">
        <v>71.2</v>
      </c>
      <c r="AC239" s="1" t="s">
        <v>289</v>
      </c>
    </row>
    <row r="240" customFormat="false" ht="15" hidden="false" customHeight="false" outlineLevel="0" collapsed="false">
      <c r="A240" s="1" t="s">
        <v>424</v>
      </c>
      <c r="B240" s="1" t="s">
        <v>289</v>
      </c>
      <c r="C240" s="1" t="s">
        <v>51</v>
      </c>
      <c r="D240" s="1" t="n">
        <v>0.0916</v>
      </c>
      <c r="E240" s="1" t="n">
        <v>0.1997</v>
      </c>
      <c r="F240" s="1" t="n">
        <v>0.0978</v>
      </c>
      <c r="G240" s="1" t="n">
        <v>41.63</v>
      </c>
      <c r="H240" s="1" t="n">
        <v>3.61</v>
      </c>
      <c r="I240" s="1" t="n">
        <v>1.94</v>
      </c>
      <c r="J240" s="1" t="n">
        <v>8.4</v>
      </c>
      <c r="K240" s="1" t="n">
        <v>22.8</v>
      </c>
      <c r="L240" s="1" t="n">
        <v>1.04</v>
      </c>
      <c r="M240" s="1" t="n">
        <v>2.36</v>
      </c>
      <c r="N240" s="1" t="n">
        <v>4.74</v>
      </c>
      <c r="O240" s="1" t="n">
        <v>2.1</v>
      </c>
      <c r="P240" s="1" t="n">
        <v>0.17</v>
      </c>
      <c r="Q240" s="1" t="n">
        <v>7.83</v>
      </c>
      <c r="R240" s="1" t="n">
        <v>97.0091</v>
      </c>
      <c r="S240" s="1" t="n">
        <v>0.0142</v>
      </c>
      <c r="T240" s="1" t="n">
        <v>0.0593</v>
      </c>
      <c r="U240" s="1" t="n">
        <v>0.0144</v>
      </c>
      <c r="V240" s="1" t="n">
        <v>96</v>
      </c>
      <c r="W240" s="1" t="n">
        <v>503</v>
      </c>
      <c r="X240" s="1" t="n">
        <v>120</v>
      </c>
      <c r="Y240" s="1" t="n">
        <v>16804</v>
      </c>
      <c r="Z240" s="1" t="n">
        <v>-4310</v>
      </c>
      <c r="AA240" s="1" t="n">
        <v>-481</v>
      </c>
      <c r="AB240" s="1" t="n">
        <v>97.72</v>
      </c>
      <c r="AC240" s="1" t="s">
        <v>289</v>
      </c>
    </row>
    <row r="241" customFormat="false" ht="15" hidden="false" customHeight="false" outlineLevel="0" collapsed="false">
      <c r="A241" s="1" t="s">
        <v>425</v>
      </c>
      <c r="B241" s="1" t="s">
        <v>289</v>
      </c>
      <c r="C241" s="1" t="s">
        <v>51</v>
      </c>
      <c r="D241" s="1" t="n">
        <v>0.0861</v>
      </c>
      <c r="E241" s="1" t="n">
        <v>0.1638</v>
      </c>
      <c r="F241" s="1" t="n">
        <v>0.0886</v>
      </c>
      <c r="G241" s="1" t="n">
        <v>41.63</v>
      </c>
      <c r="H241" s="1" t="n">
        <v>3.61</v>
      </c>
      <c r="I241" s="1" t="n">
        <v>1.94</v>
      </c>
      <c r="J241" s="1" t="n">
        <v>8.4</v>
      </c>
      <c r="K241" s="1" t="n">
        <v>22.8</v>
      </c>
      <c r="L241" s="1" t="n">
        <v>1.04</v>
      </c>
      <c r="M241" s="1" t="n">
        <v>2.36</v>
      </c>
      <c r="N241" s="1" t="n">
        <v>4.74</v>
      </c>
      <c r="O241" s="1" t="n">
        <v>2.1</v>
      </c>
      <c r="P241" s="1" t="n">
        <v>0.17</v>
      </c>
      <c r="Q241" s="1" t="n">
        <v>7.83</v>
      </c>
      <c r="R241" s="1" t="n">
        <v>96.9585</v>
      </c>
      <c r="S241" s="1" t="n">
        <v>0.0138</v>
      </c>
      <c r="T241" s="1" t="n">
        <v>0.0584</v>
      </c>
      <c r="U241" s="1" t="n">
        <v>0.0138</v>
      </c>
      <c r="V241" s="1" t="n">
        <v>97</v>
      </c>
      <c r="W241" s="1" t="n">
        <v>533</v>
      </c>
      <c r="X241" s="1" t="n">
        <v>117</v>
      </c>
      <c r="Y241" s="1" t="n">
        <v>16818</v>
      </c>
      <c r="Z241" s="1" t="n">
        <v>-4393</v>
      </c>
      <c r="AA241" s="1" t="n">
        <v>-481</v>
      </c>
      <c r="AB241" s="1" t="n">
        <v>181.42</v>
      </c>
      <c r="AC241" s="1" t="s">
        <v>289</v>
      </c>
    </row>
    <row r="242" customFormat="false" ht="15" hidden="false" customHeight="false" outlineLevel="0" collapsed="false">
      <c r="A242" s="1" t="s">
        <v>426</v>
      </c>
      <c r="B242" s="1" t="s">
        <v>289</v>
      </c>
      <c r="C242" s="1" t="s">
        <v>51</v>
      </c>
      <c r="D242" s="1" t="n">
        <v>0.0945</v>
      </c>
      <c r="E242" s="1" t="n">
        <v>0.1687</v>
      </c>
      <c r="F242" s="1" t="n">
        <v>0.1108</v>
      </c>
      <c r="G242" s="1" t="n">
        <v>41.63</v>
      </c>
      <c r="H242" s="1" t="n">
        <v>3.61</v>
      </c>
      <c r="I242" s="1" t="n">
        <v>1.94</v>
      </c>
      <c r="J242" s="1" t="n">
        <v>8.4</v>
      </c>
      <c r="K242" s="1" t="n">
        <v>22.8</v>
      </c>
      <c r="L242" s="1" t="n">
        <v>1.04</v>
      </c>
      <c r="M242" s="1" t="n">
        <v>2.36</v>
      </c>
      <c r="N242" s="1" t="n">
        <v>4.74</v>
      </c>
      <c r="O242" s="1" t="n">
        <v>2.1</v>
      </c>
      <c r="P242" s="1" t="n">
        <v>0.17</v>
      </c>
      <c r="Q242" s="1" t="n">
        <v>7.83</v>
      </c>
      <c r="R242" s="1" t="n">
        <v>96.9941</v>
      </c>
      <c r="S242" s="1" t="n">
        <v>0.014</v>
      </c>
      <c r="T242" s="1" t="n">
        <v>0.0591</v>
      </c>
      <c r="U242" s="1" t="n">
        <v>0.0143</v>
      </c>
      <c r="V242" s="1" t="n">
        <v>88</v>
      </c>
      <c r="W242" s="1" t="n">
        <v>538</v>
      </c>
      <c r="X242" s="1" t="n">
        <v>110</v>
      </c>
      <c r="Y242" s="1" t="n">
        <v>16665</v>
      </c>
      <c r="Z242" s="1" t="n">
        <v>-4320</v>
      </c>
      <c r="AA242" s="1" t="n">
        <v>-481</v>
      </c>
      <c r="AB242" s="1" t="n">
        <v>149.97</v>
      </c>
      <c r="AC242" s="1" t="s">
        <v>289</v>
      </c>
    </row>
    <row r="243" customFormat="false" ht="15" hidden="false" customHeight="false" outlineLevel="0" collapsed="false">
      <c r="C243" s="1" t="s">
        <v>43</v>
      </c>
      <c r="D243" s="5" t="n">
        <f aca="false">AVERAGE(D223:D242)*10000</f>
        <v>869.052631578947</v>
      </c>
      <c r="E243" s="5" t="n">
        <f aca="false">AVERAGE(E223:E242)*10000</f>
        <v>1830.31578947368</v>
      </c>
      <c r="F243" s="5" t="n">
        <f aca="false">AVERAGE(F223:F242)*10000</f>
        <v>956.736842105263</v>
      </c>
      <c r="S243" s="5" t="n">
        <f aca="false">AVERAGE(S223:S242)*10000</f>
        <v>137.631578947368</v>
      </c>
      <c r="T243" s="5" t="n">
        <f aca="false">AVERAGE(T223:T242)*10000</f>
        <v>589.578947368421</v>
      </c>
      <c r="U243" s="5" t="n">
        <f aca="false">AVERAGE(U223:U242)*10000</f>
        <v>139</v>
      </c>
      <c r="V243" s="5" t="n">
        <f aca="false">AVERAGE(V223:V242)</f>
        <v>94.3157894736842</v>
      </c>
      <c r="W243" s="5" t="n">
        <f aca="false">AVERAGE(W223:W242)</f>
        <v>517.684210526316</v>
      </c>
      <c r="X243" s="5" t="n">
        <f aca="false">AVERAGE(X223:X242)</f>
        <v>113.157894736842</v>
      </c>
    </row>
    <row r="244" customFormat="false" ht="15" hidden="false" customHeight="false" outlineLevel="0" collapsed="false">
      <c r="C244" s="1" t="s">
        <v>44</v>
      </c>
      <c r="D244" s="5" t="n">
        <f aca="false">_xlfn.STDEV.P(D223:D242)*2*10000</f>
        <v>72.3426748460279</v>
      </c>
      <c r="E244" s="5" t="n">
        <f aca="false">_xlfn.STDEV.P(E223:E242)*2*10000</f>
        <v>354.913215563633</v>
      </c>
      <c r="F244" s="5" t="n">
        <f aca="false">_xlfn.STDEV.P(F223:F242)*2*10000</f>
        <v>132.004532785432</v>
      </c>
    </row>
    <row r="245" customFormat="false" ht="15" hidden="false" customHeight="false" outlineLevel="0" collapsed="false">
      <c r="C245" s="1" t="s">
        <v>45</v>
      </c>
      <c r="D245" s="5" t="n">
        <f aca="false">S243/3*2</f>
        <v>91.7543859649123</v>
      </c>
      <c r="E245" s="5" t="n">
        <f aca="false">T243/3*2</f>
        <v>393.052631578947</v>
      </c>
      <c r="F245" s="5" t="n">
        <f aca="false">U243/3*2</f>
        <v>92.6666666666667</v>
      </c>
    </row>
    <row r="246" customFormat="false" ht="15" hidden="false" customHeight="false" outlineLevel="0" collapsed="false">
      <c r="C246" s="1" t="s">
        <v>46</v>
      </c>
      <c r="D246" s="5" t="n">
        <f aca="false">V243</f>
        <v>94.3157894736842</v>
      </c>
      <c r="E246" s="5" t="n">
        <f aca="false">W243</f>
        <v>517.684210526316</v>
      </c>
      <c r="F246" s="5" t="n">
        <f aca="false">X243</f>
        <v>113.157894736842</v>
      </c>
    </row>
    <row r="248" customFormat="false" ht="15" hidden="false" customHeight="false" outlineLevel="0" collapsed="false">
      <c r="A248" s="1" t="s">
        <v>88</v>
      </c>
      <c r="B248" s="1" t="s">
        <v>289</v>
      </c>
      <c r="C248" s="1" t="s">
        <v>3</v>
      </c>
      <c r="D248" s="1" t="n">
        <v>0.0943</v>
      </c>
      <c r="E248" s="1" t="n">
        <v>0.1728</v>
      </c>
      <c r="F248" s="1" t="n">
        <v>0.0645</v>
      </c>
      <c r="G248" s="1" t="n">
        <v>41.63</v>
      </c>
      <c r="H248" s="1" t="n">
        <v>3.61</v>
      </c>
      <c r="I248" s="1" t="n">
        <v>1.94</v>
      </c>
      <c r="J248" s="1" t="n">
        <v>8.4</v>
      </c>
      <c r="K248" s="1" t="n">
        <v>22.8</v>
      </c>
      <c r="L248" s="1" t="n">
        <v>1.04</v>
      </c>
      <c r="M248" s="1" t="n">
        <v>2.36</v>
      </c>
      <c r="N248" s="1" t="n">
        <v>4.74</v>
      </c>
      <c r="O248" s="1" t="n">
        <v>2.1</v>
      </c>
      <c r="P248" s="1" t="n">
        <v>0.17</v>
      </c>
      <c r="Q248" s="1" t="n">
        <v>7.83</v>
      </c>
      <c r="R248" s="1" t="n">
        <v>96.9515</v>
      </c>
      <c r="S248" s="1" t="n">
        <v>0.0141</v>
      </c>
      <c r="T248" s="1" t="n">
        <v>0.0573</v>
      </c>
      <c r="U248" s="1" t="n">
        <v>0.0129</v>
      </c>
      <c r="V248" s="1" t="n">
        <v>92</v>
      </c>
      <c r="W248" s="1" t="n">
        <v>503</v>
      </c>
      <c r="X248" s="1" t="n">
        <v>118</v>
      </c>
      <c r="Y248" s="1" t="n">
        <v>11224</v>
      </c>
      <c r="Z248" s="1" t="n">
        <v>-6682</v>
      </c>
      <c r="AA248" s="1" t="n">
        <v>-471</v>
      </c>
      <c r="AB248" s="1" t="n">
        <v>0</v>
      </c>
      <c r="AC248" s="1" t="s">
        <v>289</v>
      </c>
    </row>
    <row r="249" customFormat="false" ht="15" hidden="false" customHeight="false" outlineLevel="0" collapsed="false">
      <c r="A249" s="1" t="s">
        <v>427</v>
      </c>
      <c r="B249" s="1" t="s">
        <v>289</v>
      </c>
      <c r="C249" s="1" t="s">
        <v>3</v>
      </c>
      <c r="D249" s="1" t="n">
        <v>0.1004</v>
      </c>
      <c r="E249" s="1" t="n">
        <v>0.1857</v>
      </c>
      <c r="F249" s="1" t="n">
        <v>0.0685</v>
      </c>
      <c r="G249" s="1" t="n">
        <v>41.63</v>
      </c>
      <c r="H249" s="1" t="n">
        <v>3.61</v>
      </c>
      <c r="I249" s="1" t="n">
        <v>1.94</v>
      </c>
      <c r="J249" s="1" t="n">
        <v>8.4</v>
      </c>
      <c r="K249" s="1" t="n">
        <v>22.8</v>
      </c>
      <c r="L249" s="1" t="n">
        <v>1.04</v>
      </c>
      <c r="M249" s="1" t="n">
        <v>2.36</v>
      </c>
      <c r="N249" s="1" t="n">
        <v>4.74</v>
      </c>
      <c r="O249" s="1" t="n">
        <v>2.1</v>
      </c>
      <c r="P249" s="1" t="n">
        <v>0.17</v>
      </c>
      <c r="Q249" s="1" t="n">
        <v>7.83</v>
      </c>
      <c r="R249" s="1" t="n">
        <v>96.9747</v>
      </c>
      <c r="S249" s="1" t="n">
        <v>0.0145</v>
      </c>
      <c r="T249" s="1" t="n">
        <v>0.061</v>
      </c>
      <c r="U249" s="1" t="n">
        <v>0.0128</v>
      </c>
      <c r="V249" s="1" t="n">
        <v>91</v>
      </c>
      <c r="W249" s="1" t="n">
        <v>548</v>
      </c>
      <c r="X249" s="1" t="n">
        <v>113</v>
      </c>
      <c r="Y249" s="1" t="n">
        <v>11166</v>
      </c>
      <c r="Z249" s="1" t="n">
        <v>-6674</v>
      </c>
      <c r="AA249" s="1" t="n">
        <v>-471</v>
      </c>
      <c r="AB249" s="1" t="n">
        <v>58.55</v>
      </c>
      <c r="AC249" s="1" t="s">
        <v>289</v>
      </c>
    </row>
    <row r="250" customFormat="false" ht="15" hidden="false" customHeight="false" outlineLevel="0" collapsed="false">
      <c r="A250" s="1" t="s">
        <v>428</v>
      </c>
      <c r="B250" s="1" t="s">
        <v>289</v>
      </c>
      <c r="C250" s="1" t="s">
        <v>3</v>
      </c>
      <c r="D250" s="1" t="n">
        <v>0.1024</v>
      </c>
      <c r="E250" s="1" t="n">
        <v>0.1458</v>
      </c>
      <c r="F250" s="1" t="n">
        <v>0.0739</v>
      </c>
      <c r="G250" s="1" t="n">
        <v>41.63</v>
      </c>
      <c r="H250" s="1" t="n">
        <v>3.61</v>
      </c>
      <c r="I250" s="1" t="n">
        <v>1.94</v>
      </c>
      <c r="J250" s="1" t="n">
        <v>8.4</v>
      </c>
      <c r="K250" s="1" t="n">
        <v>22.8</v>
      </c>
      <c r="L250" s="1" t="n">
        <v>1.04</v>
      </c>
      <c r="M250" s="1" t="n">
        <v>2.36</v>
      </c>
      <c r="N250" s="1" t="n">
        <v>4.74</v>
      </c>
      <c r="O250" s="1" t="n">
        <v>2.1</v>
      </c>
      <c r="P250" s="1" t="n">
        <v>0.17</v>
      </c>
      <c r="Q250" s="1" t="n">
        <v>7.83</v>
      </c>
      <c r="R250" s="1" t="n">
        <v>96.9422</v>
      </c>
      <c r="S250" s="1" t="n">
        <v>0.0148</v>
      </c>
      <c r="T250" s="1" t="n">
        <v>0.0581</v>
      </c>
      <c r="U250" s="1" t="n">
        <v>0.0129</v>
      </c>
      <c r="V250" s="1" t="n">
        <v>95</v>
      </c>
      <c r="W250" s="1" t="n">
        <v>550</v>
      </c>
      <c r="X250" s="1" t="n">
        <v>111</v>
      </c>
      <c r="Y250" s="1" t="n">
        <v>11158</v>
      </c>
      <c r="Z250" s="1" t="n">
        <v>-6640</v>
      </c>
      <c r="AA250" s="1" t="n">
        <v>-471</v>
      </c>
      <c r="AB250" s="1" t="n">
        <v>78.23</v>
      </c>
      <c r="AC250" s="1" t="s">
        <v>289</v>
      </c>
    </row>
    <row r="251" customFormat="false" ht="15" hidden="false" customHeight="false" outlineLevel="0" collapsed="false">
      <c r="A251" s="1" t="s">
        <v>429</v>
      </c>
      <c r="B251" s="1" t="s">
        <v>289</v>
      </c>
      <c r="C251" s="1" t="s">
        <v>3</v>
      </c>
      <c r="D251" s="1" t="n">
        <v>0.0973</v>
      </c>
      <c r="E251" s="1" t="n">
        <v>0.1368</v>
      </c>
      <c r="F251" s="1" t="n">
        <v>0.0713</v>
      </c>
      <c r="G251" s="1" t="n">
        <v>41.63</v>
      </c>
      <c r="H251" s="1" t="n">
        <v>3.61</v>
      </c>
      <c r="I251" s="1" t="n">
        <v>1.94</v>
      </c>
      <c r="J251" s="1" t="n">
        <v>8.4</v>
      </c>
      <c r="K251" s="1" t="n">
        <v>22.8</v>
      </c>
      <c r="L251" s="1" t="n">
        <v>1.04</v>
      </c>
      <c r="M251" s="1" t="n">
        <v>2.36</v>
      </c>
      <c r="N251" s="1" t="n">
        <v>4.74</v>
      </c>
      <c r="O251" s="1" t="n">
        <v>2.1</v>
      </c>
      <c r="P251" s="1" t="n">
        <v>0.17</v>
      </c>
      <c r="Q251" s="1" t="n">
        <v>7.83</v>
      </c>
      <c r="R251" s="1" t="n">
        <v>96.9253</v>
      </c>
      <c r="S251" s="1" t="n">
        <v>0.0146</v>
      </c>
      <c r="T251" s="1" t="n">
        <v>0.056</v>
      </c>
      <c r="U251" s="1" t="n">
        <v>0.013</v>
      </c>
      <c r="V251" s="1" t="n">
        <v>97</v>
      </c>
      <c r="W251" s="1" t="n">
        <v>528</v>
      </c>
      <c r="X251" s="1" t="n">
        <v>115</v>
      </c>
      <c r="Y251" s="1" t="n">
        <v>11156</v>
      </c>
      <c r="Z251" s="1" t="n">
        <v>-6602</v>
      </c>
      <c r="AA251" s="1" t="n">
        <v>-471</v>
      </c>
      <c r="AB251" s="1" t="n">
        <v>105</v>
      </c>
      <c r="AC251" s="1" t="s">
        <v>289</v>
      </c>
    </row>
    <row r="252" customFormat="false" ht="15" hidden="false" customHeight="false" outlineLevel="0" collapsed="false">
      <c r="A252" s="1" t="s">
        <v>430</v>
      </c>
      <c r="B252" s="1" t="s">
        <v>289</v>
      </c>
      <c r="C252" s="1" t="s">
        <v>3</v>
      </c>
      <c r="D252" s="1" t="n">
        <v>0.0983</v>
      </c>
      <c r="E252" s="1" t="n">
        <v>0.1738</v>
      </c>
      <c r="F252" s="1" t="n">
        <v>0.0715</v>
      </c>
      <c r="G252" s="1" t="n">
        <v>41.63</v>
      </c>
      <c r="H252" s="1" t="n">
        <v>3.61</v>
      </c>
      <c r="I252" s="1" t="n">
        <v>1.94</v>
      </c>
      <c r="J252" s="1" t="n">
        <v>8.4</v>
      </c>
      <c r="K252" s="1" t="n">
        <v>22.8</v>
      </c>
      <c r="L252" s="1" t="n">
        <v>1.04</v>
      </c>
      <c r="M252" s="1" t="n">
        <v>2.36</v>
      </c>
      <c r="N252" s="1" t="n">
        <v>4.74</v>
      </c>
      <c r="O252" s="1" t="n">
        <v>2.1</v>
      </c>
      <c r="P252" s="1" t="n">
        <v>0.17</v>
      </c>
      <c r="Q252" s="1" t="n">
        <v>7.83</v>
      </c>
      <c r="R252" s="1" t="n">
        <v>96.9636</v>
      </c>
      <c r="S252" s="1" t="n">
        <v>0.0144</v>
      </c>
      <c r="T252" s="1" t="n">
        <v>0.0559</v>
      </c>
      <c r="U252" s="1" t="n">
        <v>0.0128</v>
      </c>
      <c r="V252" s="1" t="n">
        <v>91</v>
      </c>
      <c r="W252" s="1" t="n">
        <v>479</v>
      </c>
      <c r="X252" s="1" t="n">
        <v>111</v>
      </c>
      <c r="Y252" s="1" t="n">
        <v>11159</v>
      </c>
      <c r="Z252" s="1" t="n">
        <v>-6565</v>
      </c>
      <c r="AA252" s="1" t="n">
        <v>-471</v>
      </c>
      <c r="AB252" s="1" t="n">
        <v>133.84</v>
      </c>
      <c r="AC252" s="1" t="s">
        <v>289</v>
      </c>
    </row>
    <row r="253" customFormat="false" ht="15" hidden="false" customHeight="false" outlineLevel="0" collapsed="false">
      <c r="A253" s="1" t="s">
        <v>191</v>
      </c>
      <c r="B253" s="1" t="s">
        <v>289</v>
      </c>
      <c r="C253" s="1" t="s">
        <v>3</v>
      </c>
      <c r="D253" s="1" t="n">
        <v>0.0944</v>
      </c>
      <c r="E253" s="1" t="n">
        <v>0.145</v>
      </c>
      <c r="F253" s="1" t="n">
        <v>0.0733</v>
      </c>
      <c r="G253" s="1" t="n">
        <v>41.63</v>
      </c>
      <c r="H253" s="1" t="n">
        <v>3.61</v>
      </c>
      <c r="I253" s="1" t="n">
        <v>1.94</v>
      </c>
      <c r="J253" s="1" t="n">
        <v>8.4</v>
      </c>
      <c r="K253" s="1" t="n">
        <v>22.8</v>
      </c>
      <c r="L253" s="1" t="n">
        <v>1.04</v>
      </c>
      <c r="M253" s="1" t="n">
        <v>2.36</v>
      </c>
      <c r="N253" s="1" t="n">
        <v>4.74</v>
      </c>
      <c r="O253" s="1" t="n">
        <v>2.1</v>
      </c>
      <c r="P253" s="1" t="n">
        <v>0.17</v>
      </c>
      <c r="Q253" s="1" t="n">
        <v>7.83</v>
      </c>
      <c r="R253" s="1" t="n">
        <v>96.9327</v>
      </c>
      <c r="S253" s="1" t="n">
        <v>0.0144</v>
      </c>
      <c r="T253" s="1" t="n">
        <v>0.0541</v>
      </c>
      <c r="U253" s="1" t="n">
        <v>0.0131</v>
      </c>
      <c r="V253" s="1" t="n">
        <v>97</v>
      </c>
      <c r="W253" s="1" t="n">
        <v>488</v>
      </c>
      <c r="X253" s="1" t="n">
        <v>115</v>
      </c>
      <c r="Y253" s="1" t="n">
        <v>11223</v>
      </c>
      <c r="Z253" s="1" t="n">
        <v>-6542</v>
      </c>
      <c r="AA253" s="1" t="n">
        <v>-471</v>
      </c>
      <c r="AB253" s="1" t="n">
        <v>0</v>
      </c>
      <c r="AC253" s="1" t="s">
        <v>289</v>
      </c>
    </row>
    <row r="254" customFormat="false" ht="15" hidden="false" customHeight="false" outlineLevel="0" collapsed="false">
      <c r="A254" s="1" t="s">
        <v>431</v>
      </c>
      <c r="B254" s="1" t="s">
        <v>289</v>
      </c>
      <c r="C254" s="1" t="s">
        <v>3</v>
      </c>
      <c r="D254" s="1" t="n">
        <v>0.096</v>
      </c>
      <c r="E254" s="1" t="n">
        <v>0.169</v>
      </c>
      <c r="F254" s="1" t="n">
        <v>0.0709</v>
      </c>
      <c r="G254" s="1" t="n">
        <v>41.63</v>
      </c>
      <c r="H254" s="1" t="n">
        <v>3.61</v>
      </c>
      <c r="I254" s="1" t="n">
        <v>1.94</v>
      </c>
      <c r="J254" s="1" t="n">
        <v>8.4</v>
      </c>
      <c r="K254" s="1" t="n">
        <v>22.8</v>
      </c>
      <c r="L254" s="1" t="n">
        <v>1.04</v>
      </c>
      <c r="M254" s="1" t="n">
        <v>2.36</v>
      </c>
      <c r="N254" s="1" t="n">
        <v>4.74</v>
      </c>
      <c r="O254" s="1" t="n">
        <v>2.1</v>
      </c>
      <c r="P254" s="1" t="n">
        <v>0.17</v>
      </c>
      <c r="Q254" s="1" t="n">
        <v>7.83</v>
      </c>
      <c r="R254" s="1" t="n">
        <v>96.9559</v>
      </c>
      <c r="S254" s="1" t="n">
        <v>0.0145</v>
      </c>
      <c r="T254" s="1" t="n">
        <v>0.0564</v>
      </c>
      <c r="U254" s="1" t="n">
        <v>0.0127</v>
      </c>
      <c r="V254" s="1" t="n">
        <v>98</v>
      </c>
      <c r="W254" s="1" t="n">
        <v>493</v>
      </c>
      <c r="X254" s="1" t="n">
        <v>110</v>
      </c>
      <c r="Y254" s="1" t="n">
        <v>11196</v>
      </c>
      <c r="Z254" s="1" t="n">
        <v>-6552</v>
      </c>
      <c r="AA254" s="1" t="n">
        <v>-471</v>
      </c>
      <c r="AB254" s="1" t="n">
        <v>28.79</v>
      </c>
      <c r="AC254" s="1" t="s">
        <v>289</v>
      </c>
    </row>
    <row r="255" customFormat="false" ht="15" hidden="false" customHeight="false" outlineLevel="0" collapsed="false">
      <c r="A255" s="1" t="s">
        <v>432</v>
      </c>
      <c r="B255" s="1" t="s">
        <v>289</v>
      </c>
      <c r="C255" s="1" t="s">
        <v>3</v>
      </c>
      <c r="D255" s="1" t="n">
        <v>0.0962</v>
      </c>
      <c r="E255" s="1" t="n">
        <v>0.1641</v>
      </c>
      <c r="F255" s="1" t="n">
        <v>0.0734</v>
      </c>
      <c r="G255" s="1" t="n">
        <v>41.63</v>
      </c>
      <c r="H255" s="1" t="n">
        <v>3.61</v>
      </c>
      <c r="I255" s="1" t="n">
        <v>1.94</v>
      </c>
      <c r="J255" s="1" t="n">
        <v>8.4</v>
      </c>
      <c r="K255" s="1" t="n">
        <v>22.8</v>
      </c>
      <c r="L255" s="1" t="n">
        <v>1.04</v>
      </c>
      <c r="M255" s="1" t="n">
        <v>2.36</v>
      </c>
      <c r="N255" s="1" t="n">
        <v>4.74</v>
      </c>
      <c r="O255" s="1" t="n">
        <v>2.1</v>
      </c>
      <c r="P255" s="1" t="n">
        <v>0.17</v>
      </c>
      <c r="Q255" s="1" t="n">
        <v>7.83</v>
      </c>
      <c r="R255" s="1" t="n">
        <v>96.9537</v>
      </c>
      <c r="S255" s="1" t="n">
        <v>0.0144</v>
      </c>
      <c r="T255" s="1" t="n">
        <v>0.0587</v>
      </c>
      <c r="U255" s="1" t="n">
        <v>0.0129</v>
      </c>
      <c r="V255" s="1" t="n">
        <v>96</v>
      </c>
      <c r="W255" s="1" t="n">
        <v>537</v>
      </c>
      <c r="X255" s="1" t="n">
        <v>112</v>
      </c>
      <c r="Y255" s="1" t="n">
        <v>11260</v>
      </c>
      <c r="Z255" s="1" t="n">
        <v>-6538</v>
      </c>
      <c r="AA255" s="1" t="n">
        <v>-471</v>
      </c>
      <c r="AB255" s="1" t="n">
        <v>37.22</v>
      </c>
      <c r="AC255" s="1" t="s">
        <v>289</v>
      </c>
    </row>
    <row r="256" customFormat="false" ht="15" hidden="false" customHeight="false" outlineLevel="0" collapsed="false">
      <c r="A256" s="1" t="s">
        <v>433</v>
      </c>
      <c r="B256" s="1" t="s">
        <v>289</v>
      </c>
      <c r="C256" s="1" t="s">
        <v>3</v>
      </c>
      <c r="D256" s="1" t="n">
        <v>0.0978</v>
      </c>
      <c r="E256" s="1" t="n">
        <v>0.159</v>
      </c>
      <c r="F256" s="1" t="n">
        <v>0.0766</v>
      </c>
      <c r="G256" s="1" t="n">
        <v>41.63</v>
      </c>
      <c r="H256" s="1" t="n">
        <v>3.61</v>
      </c>
      <c r="I256" s="1" t="n">
        <v>1.94</v>
      </c>
      <c r="J256" s="1" t="n">
        <v>8.4</v>
      </c>
      <c r="K256" s="1" t="n">
        <v>22.8</v>
      </c>
      <c r="L256" s="1" t="n">
        <v>1.04</v>
      </c>
      <c r="M256" s="1" t="n">
        <v>2.36</v>
      </c>
      <c r="N256" s="1" t="n">
        <v>4.74</v>
      </c>
      <c r="O256" s="1" t="n">
        <v>2.1</v>
      </c>
      <c r="P256" s="1" t="n">
        <v>0.17</v>
      </c>
      <c r="Q256" s="1" t="n">
        <v>7.83</v>
      </c>
      <c r="R256" s="1" t="n">
        <v>96.9534</v>
      </c>
      <c r="S256" s="1" t="n">
        <v>0.0144</v>
      </c>
      <c r="T256" s="1" t="n">
        <v>0.0598</v>
      </c>
      <c r="U256" s="1" t="n">
        <v>0.0131</v>
      </c>
      <c r="V256" s="1" t="n">
        <v>93</v>
      </c>
      <c r="W256" s="1" t="n">
        <v>560</v>
      </c>
      <c r="X256" s="1" t="n">
        <v>113</v>
      </c>
      <c r="Y256" s="1" t="n">
        <v>11338</v>
      </c>
      <c r="Z256" s="1" t="n">
        <v>-6534</v>
      </c>
      <c r="AA256" s="1" t="n">
        <v>-471</v>
      </c>
      <c r="AB256" s="1" t="n">
        <v>115.28</v>
      </c>
      <c r="AC256" s="1" t="s">
        <v>289</v>
      </c>
    </row>
    <row r="257" customFormat="false" ht="15" hidden="false" customHeight="false" outlineLevel="0" collapsed="false">
      <c r="A257" s="1" t="s">
        <v>434</v>
      </c>
      <c r="B257" s="1" t="s">
        <v>289</v>
      </c>
      <c r="C257" s="1" t="s">
        <v>3</v>
      </c>
      <c r="D257" s="1" t="n">
        <v>0.1031</v>
      </c>
      <c r="E257" s="1" t="n">
        <v>0.172</v>
      </c>
      <c r="F257" s="1" t="n">
        <v>0.0775</v>
      </c>
      <c r="G257" s="1" t="n">
        <v>41.63</v>
      </c>
      <c r="H257" s="1" t="n">
        <v>3.61</v>
      </c>
      <c r="I257" s="1" t="n">
        <v>1.94</v>
      </c>
      <c r="J257" s="1" t="n">
        <v>8.4</v>
      </c>
      <c r="K257" s="1" t="n">
        <v>22.8</v>
      </c>
      <c r="L257" s="1" t="n">
        <v>1.04</v>
      </c>
      <c r="M257" s="1" t="n">
        <v>2.36</v>
      </c>
      <c r="N257" s="1" t="n">
        <v>4.74</v>
      </c>
      <c r="O257" s="1" t="n">
        <v>2.1</v>
      </c>
      <c r="P257" s="1" t="n">
        <v>0.17</v>
      </c>
      <c r="Q257" s="1" t="n">
        <v>7.83</v>
      </c>
      <c r="R257" s="1" t="n">
        <v>96.9726</v>
      </c>
      <c r="S257" s="1" t="n">
        <v>0.0148</v>
      </c>
      <c r="T257" s="1" t="n">
        <v>0.0593</v>
      </c>
      <c r="U257" s="1" t="n">
        <v>0.0132</v>
      </c>
      <c r="V257" s="1" t="n">
        <v>93</v>
      </c>
      <c r="W257" s="1" t="n">
        <v>536</v>
      </c>
      <c r="X257" s="1" t="n">
        <v>114</v>
      </c>
      <c r="Y257" s="1" t="n">
        <v>11328</v>
      </c>
      <c r="Z257" s="1" t="n">
        <v>-6573</v>
      </c>
      <c r="AA257" s="1" t="n">
        <v>-471</v>
      </c>
      <c r="AB257" s="1" t="n">
        <v>109.48</v>
      </c>
      <c r="AC257" s="1" t="s">
        <v>289</v>
      </c>
    </row>
    <row r="258" customFormat="false" ht="15" hidden="false" customHeight="false" outlineLevel="0" collapsed="false">
      <c r="A258" s="1" t="s">
        <v>186</v>
      </c>
      <c r="B258" s="1" t="s">
        <v>289</v>
      </c>
      <c r="C258" s="1" t="s">
        <v>3</v>
      </c>
      <c r="D258" s="1" t="n">
        <v>0.09</v>
      </c>
      <c r="E258" s="1" t="n">
        <v>0.1457</v>
      </c>
      <c r="F258" s="1" t="n">
        <v>0.0718</v>
      </c>
      <c r="G258" s="1" t="n">
        <v>41.63</v>
      </c>
      <c r="H258" s="1" t="n">
        <v>3.61</v>
      </c>
      <c r="I258" s="1" t="n">
        <v>1.94</v>
      </c>
      <c r="J258" s="1" t="n">
        <v>8.4</v>
      </c>
      <c r="K258" s="1" t="n">
        <v>22.8</v>
      </c>
      <c r="L258" s="1" t="n">
        <v>1.04</v>
      </c>
      <c r="M258" s="1" t="n">
        <v>2.36</v>
      </c>
      <c r="N258" s="1" t="n">
        <v>4.74</v>
      </c>
      <c r="O258" s="1" t="n">
        <v>2.1</v>
      </c>
      <c r="P258" s="1" t="n">
        <v>0.17</v>
      </c>
      <c r="Q258" s="1" t="n">
        <v>7.83</v>
      </c>
      <c r="R258" s="1" t="n">
        <v>96.9275</v>
      </c>
      <c r="S258" s="1" t="n">
        <v>0.0141</v>
      </c>
      <c r="T258" s="1" t="n">
        <v>0.057</v>
      </c>
      <c r="U258" s="1" t="n">
        <v>0.0128</v>
      </c>
      <c r="V258" s="1" t="n">
        <v>97</v>
      </c>
      <c r="W258" s="1" t="n">
        <v>532</v>
      </c>
      <c r="X258" s="1" t="n">
        <v>111</v>
      </c>
      <c r="Y258" s="1" t="n">
        <v>11516</v>
      </c>
      <c r="Z258" s="1" t="n">
        <v>-6587</v>
      </c>
      <c r="AA258" s="1" t="n">
        <v>-471</v>
      </c>
      <c r="AB258" s="1" t="n">
        <v>0</v>
      </c>
      <c r="AC258" s="1" t="s">
        <v>289</v>
      </c>
    </row>
    <row r="259" customFormat="false" ht="15" hidden="false" customHeight="false" outlineLevel="0" collapsed="false">
      <c r="A259" s="1" t="s">
        <v>435</v>
      </c>
      <c r="B259" s="1" t="s">
        <v>289</v>
      </c>
      <c r="C259" s="1" t="s">
        <v>3</v>
      </c>
      <c r="D259" s="1" t="n">
        <v>0.0994</v>
      </c>
      <c r="E259" s="1" t="n">
        <v>0.1708</v>
      </c>
      <c r="F259" s="1" t="n">
        <v>0.0673</v>
      </c>
      <c r="G259" s="1" t="n">
        <v>41.63</v>
      </c>
      <c r="H259" s="1" t="n">
        <v>3.61</v>
      </c>
      <c r="I259" s="1" t="n">
        <v>1.94</v>
      </c>
      <c r="J259" s="1" t="n">
        <v>8.4</v>
      </c>
      <c r="K259" s="1" t="n">
        <v>22.8</v>
      </c>
      <c r="L259" s="1" t="n">
        <v>1.04</v>
      </c>
      <c r="M259" s="1" t="n">
        <v>2.36</v>
      </c>
      <c r="N259" s="1" t="n">
        <v>4.74</v>
      </c>
      <c r="O259" s="1" t="n">
        <v>2.1</v>
      </c>
      <c r="P259" s="1" t="n">
        <v>0.17</v>
      </c>
      <c r="Q259" s="1" t="n">
        <v>7.83</v>
      </c>
      <c r="R259" s="1" t="n">
        <v>96.9575</v>
      </c>
      <c r="S259" s="1" t="n">
        <v>0.0147</v>
      </c>
      <c r="T259" s="1" t="n">
        <v>0.0594</v>
      </c>
      <c r="U259" s="1" t="n">
        <v>0.0132</v>
      </c>
      <c r="V259" s="1" t="n">
        <v>95</v>
      </c>
      <c r="W259" s="1" t="n">
        <v>539</v>
      </c>
      <c r="X259" s="1" t="n">
        <v>121</v>
      </c>
      <c r="Y259" s="1" t="n">
        <v>11341</v>
      </c>
      <c r="Z259" s="1" t="n">
        <v>-6612</v>
      </c>
      <c r="AA259" s="1" t="n">
        <v>-471</v>
      </c>
      <c r="AB259" s="1" t="n">
        <v>176.78</v>
      </c>
      <c r="AC259" s="1" t="s">
        <v>289</v>
      </c>
    </row>
    <row r="260" customFormat="false" ht="15" hidden="false" customHeight="false" outlineLevel="0" collapsed="false">
      <c r="A260" s="1" t="s">
        <v>436</v>
      </c>
      <c r="B260" s="1" t="s">
        <v>289</v>
      </c>
      <c r="C260" s="1" t="s">
        <v>3</v>
      </c>
      <c r="D260" s="1" t="n">
        <v>0.1084</v>
      </c>
      <c r="E260" s="1" t="n">
        <v>0.1306</v>
      </c>
      <c r="F260" s="1" t="n">
        <v>0.081</v>
      </c>
      <c r="G260" s="1" t="n">
        <v>41.63</v>
      </c>
      <c r="H260" s="1" t="n">
        <v>3.61</v>
      </c>
      <c r="I260" s="1" t="n">
        <v>1.94</v>
      </c>
      <c r="J260" s="1" t="n">
        <v>8.4</v>
      </c>
      <c r="K260" s="1" t="n">
        <v>22.8</v>
      </c>
      <c r="L260" s="1" t="n">
        <v>1.04</v>
      </c>
      <c r="M260" s="1" t="n">
        <v>2.36</v>
      </c>
      <c r="N260" s="1" t="n">
        <v>4.74</v>
      </c>
      <c r="O260" s="1" t="n">
        <v>2.1</v>
      </c>
      <c r="P260" s="1" t="n">
        <v>0.17</v>
      </c>
      <c r="Q260" s="1" t="n">
        <v>7.83</v>
      </c>
      <c r="R260" s="1" t="n">
        <v>96.94</v>
      </c>
      <c r="S260" s="1" t="n">
        <v>0.015</v>
      </c>
      <c r="T260" s="1" t="n">
        <v>0.0572</v>
      </c>
      <c r="U260" s="1" t="n">
        <v>0.0132</v>
      </c>
      <c r="V260" s="1" t="n">
        <v>90</v>
      </c>
      <c r="W260" s="1" t="n">
        <v>553</v>
      </c>
      <c r="X260" s="1" t="n">
        <v>111</v>
      </c>
      <c r="Y260" s="1" t="n">
        <v>11377</v>
      </c>
      <c r="Z260" s="1" t="n">
        <v>-6626</v>
      </c>
      <c r="AA260" s="1" t="n">
        <v>-471</v>
      </c>
      <c r="AB260" s="1" t="n">
        <v>144.37</v>
      </c>
      <c r="AC260" s="1" t="s">
        <v>289</v>
      </c>
    </row>
    <row r="261" customFormat="false" ht="15" hidden="false" customHeight="false" outlineLevel="0" collapsed="false">
      <c r="A261" s="1" t="s">
        <v>437</v>
      </c>
      <c r="B261" s="1" t="s">
        <v>289</v>
      </c>
      <c r="C261" s="1" t="s">
        <v>3</v>
      </c>
      <c r="D261" s="1" t="n">
        <v>0.105</v>
      </c>
      <c r="E261" s="1" t="n">
        <v>0.1286</v>
      </c>
      <c r="F261" s="1" t="n">
        <v>0.0709</v>
      </c>
      <c r="G261" s="1" t="n">
        <v>41.63</v>
      </c>
      <c r="H261" s="1" t="n">
        <v>3.61</v>
      </c>
      <c r="I261" s="1" t="n">
        <v>1.94</v>
      </c>
      <c r="J261" s="1" t="n">
        <v>8.4</v>
      </c>
      <c r="K261" s="1" t="n">
        <v>22.8</v>
      </c>
      <c r="L261" s="1" t="n">
        <v>1.04</v>
      </c>
      <c r="M261" s="1" t="n">
        <v>2.36</v>
      </c>
      <c r="N261" s="1" t="n">
        <v>4.74</v>
      </c>
      <c r="O261" s="1" t="n">
        <v>2.1</v>
      </c>
      <c r="P261" s="1" t="n">
        <v>0.17</v>
      </c>
      <c r="Q261" s="1" t="n">
        <v>7.83</v>
      </c>
      <c r="R261" s="1" t="n">
        <v>96.9245</v>
      </c>
      <c r="S261" s="1" t="n">
        <v>0.015</v>
      </c>
      <c r="T261" s="1" t="n">
        <v>0.057</v>
      </c>
      <c r="U261" s="1" t="n">
        <v>0.0129</v>
      </c>
      <c r="V261" s="1" t="n">
        <v>94</v>
      </c>
      <c r="W261" s="1" t="n">
        <v>553</v>
      </c>
      <c r="X261" s="1" t="n">
        <v>113</v>
      </c>
      <c r="Y261" s="1" t="n">
        <v>11424</v>
      </c>
      <c r="Z261" s="1" t="n">
        <v>-6634</v>
      </c>
      <c r="AA261" s="1" t="n">
        <v>-471</v>
      </c>
      <c r="AB261" s="1" t="n">
        <v>103.31</v>
      </c>
      <c r="AC261" s="1" t="s">
        <v>289</v>
      </c>
    </row>
    <row r="262" customFormat="false" ht="15" hidden="false" customHeight="false" outlineLevel="0" collapsed="false">
      <c r="A262" s="1" t="s">
        <v>438</v>
      </c>
      <c r="B262" s="1" t="s">
        <v>289</v>
      </c>
      <c r="C262" s="1" t="s">
        <v>3</v>
      </c>
      <c r="D262" s="1" t="n">
        <v>0.0982</v>
      </c>
      <c r="E262" s="1" t="n">
        <v>0.1899</v>
      </c>
      <c r="F262" s="1" t="n">
        <v>0.0702</v>
      </c>
      <c r="G262" s="1" t="n">
        <v>41.63</v>
      </c>
      <c r="H262" s="1" t="n">
        <v>3.61</v>
      </c>
      <c r="I262" s="1" t="n">
        <v>1.94</v>
      </c>
      <c r="J262" s="1" t="n">
        <v>8.4</v>
      </c>
      <c r="K262" s="1" t="n">
        <v>22.8</v>
      </c>
      <c r="L262" s="1" t="n">
        <v>1.04</v>
      </c>
      <c r="M262" s="1" t="n">
        <v>2.36</v>
      </c>
      <c r="N262" s="1" t="n">
        <v>4.74</v>
      </c>
      <c r="O262" s="1" t="n">
        <v>2.1</v>
      </c>
      <c r="P262" s="1" t="n">
        <v>0.17</v>
      </c>
      <c r="Q262" s="1" t="n">
        <v>7.83</v>
      </c>
      <c r="R262" s="1" t="n">
        <v>96.9783</v>
      </c>
      <c r="S262" s="1" t="n">
        <v>0.0146</v>
      </c>
      <c r="T262" s="1" t="n">
        <v>0.0593</v>
      </c>
      <c r="U262" s="1" t="n">
        <v>0.0129</v>
      </c>
      <c r="V262" s="1" t="n">
        <v>96</v>
      </c>
      <c r="W262" s="1" t="n">
        <v>514</v>
      </c>
      <c r="X262" s="1" t="n">
        <v>114</v>
      </c>
      <c r="Y262" s="1" t="n">
        <v>11481</v>
      </c>
      <c r="Z262" s="1" t="n">
        <v>-6626</v>
      </c>
      <c r="AA262" s="1" t="n">
        <v>-471</v>
      </c>
      <c r="AB262" s="1" t="n">
        <v>52.4</v>
      </c>
      <c r="AC262" s="1" t="s">
        <v>289</v>
      </c>
    </row>
    <row r="263" customFormat="false" ht="15" hidden="false" customHeight="false" outlineLevel="0" collapsed="false">
      <c r="A263" s="1" t="s">
        <v>190</v>
      </c>
      <c r="B263" s="1" t="s">
        <v>289</v>
      </c>
      <c r="C263" s="1" t="s">
        <v>3</v>
      </c>
      <c r="D263" s="1" t="n">
        <v>0.1001</v>
      </c>
      <c r="E263" s="1" t="n">
        <v>0.1303</v>
      </c>
      <c r="F263" s="1" t="n">
        <v>0.0698</v>
      </c>
      <c r="G263" s="1" t="n">
        <v>41.63</v>
      </c>
      <c r="H263" s="1" t="n">
        <v>3.61</v>
      </c>
      <c r="I263" s="1" t="n">
        <v>1.94</v>
      </c>
      <c r="J263" s="1" t="n">
        <v>8.4</v>
      </c>
      <c r="K263" s="1" t="n">
        <v>22.8</v>
      </c>
      <c r="L263" s="1" t="n">
        <v>1.04</v>
      </c>
      <c r="M263" s="1" t="n">
        <v>2.36</v>
      </c>
      <c r="N263" s="1" t="n">
        <v>4.74</v>
      </c>
      <c r="O263" s="1" t="n">
        <v>2.1</v>
      </c>
      <c r="P263" s="1" t="n">
        <v>0.17</v>
      </c>
      <c r="Q263" s="1" t="n">
        <v>7.83</v>
      </c>
      <c r="R263" s="1" t="n">
        <v>96.9202</v>
      </c>
      <c r="S263" s="1" t="n">
        <v>0.0144</v>
      </c>
      <c r="T263" s="1" t="n">
        <v>0.0573</v>
      </c>
      <c r="U263" s="1" t="n">
        <v>0.0128</v>
      </c>
      <c r="V263" s="1" t="n">
        <v>89</v>
      </c>
      <c r="W263" s="1" t="n">
        <v>557</v>
      </c>
      <c r="X263" s="1" t="n">
        <v>113</v>
      </c>
      <c r="Y263" s="1" t="n">
        <v>11526</v>
      </c>
      <c r="Z263" s="1" t="n">
        <v>-6622</v>
      </c>
      <c r="AA263" s="1" t="n">
        <v>-471</v>
      </c>
      <c r="AB263" s="1" t="n">
        <v>0</v>
      </c>
      <c r="AC263" s="1" t="s">
        <v>289</v>
      </c>
    </row>
    <row r="264" customFormat="false" ht="15" hidden="false" customHeight="false" outlineLevel="0" collapsed="false">
      <c r="A264" s="1" t="s">
        <v>439</v>
      </c>
      <c r="B264" s="1" t="s">
        <v>289</v>
      </c>
      <c r="C264" s="1" t="s">
        <v>3</v>
      </c>
      <c r="D264" s="1" t="n">
        <v>0.0991</v>
      </c>
      <c r="E264" s="1" t="n">
        <v>0.1521</v>
      </c>
      <c r="F264" s="1" t="n">
        <v>0.0721</v>
      </c>
      <c r="G264" s="1" t="n">
        <v>41.63</v>
      </c>
      <c r="H264" s="1" t="n">
        <v>3.61</v>
      </c>
      <c r="I264" s="1" t="n">
        <v>1.94</v>
      </c>
      <c r="J264" s="1" t="n">
        <v>8.4</v>
      </c>
      <c r="K264" s="1" t="n">
        <v>22.8</v>
      </c>
      <c r="L264" s="1" t="n">
        <v>1.04</v>
      </c>
      <c r="M264" s="1" t="n">
        <v>2.36</v>
      </c>
      <c r="N264" s="1" t="n">
        <v>4.74</v>
      </c>
      <c r="O264" s="1" t="n">
        <v>2.1</v>
      </c>
      <c r="P264" s="1" t="n">
        <v>0.17</v>
      </c>
      <c r="Q264" s="1" t="n">
        <v>7.83</v>
      </c>
      <c r="R264" s="1" t="n">
        <v>96.9434</v>
      </c>
      <c r="S264" s="1" t="n">
        <v>0.0145</v>
      </c>
      <c r="T264" s="1" t="n">
        <v>0.0576</v>
      </c>
      <c r="U264" s="1" t="n">
        <v>0.0129</v>
      </c>
      <c r="V264" s="1" t="n">
        <v>94</v>
      </c>
      <c r="W264" s="1" t="n">
        <v>536</v>
      </c>
      <c r="X264" s="1" t="n">
        <v>113</v>
      </c>
      <c r="Y264" s="1" t="n">
        <v>11578</v>
      </c>
      <c r="Z264" s="1" t="n">
        <v>-6637</v>
      </c>
      <c r="AA264" s="1" t="n">
        <v>-471</v>
      </c>
      <c r="AB264" s="1" t="n">
        <v>54.12</v>
      </c>
      <c r="AC264" s="1" t="s">
        <v>289</v>
      </c>
    </row>
    <row r="265" customFormat="false" ht="15" hidden="false" customHeight="false" outlineLevel="0" collapsed="false">
      <c r="A265" s="1" t="s">
        <v>440</v>
      </c>
      <c r="B265" s="1" t="s">
        <v>289</v>
      </c>
      <c r="C265" s="1" t="s">
        <v>3</v>
      </c>
      <c r="D265" s="1" t="n">
        <v>0.0987</v>
      </c>
      <c r="E265" s="1" t="n">
        <v>0.1571</v>
      </c>
      <c r="F265" s="1" t="n">
        <v>0.0694</v>
      </c>
      <c r="G265" s="1" t="n">
        <v>41.63</v>
      </c>
      <c r="H265" s="1" t="n">
        <v>3.61</v>
      </c>
      <c r="I265" s="1" t="n">
        <v>1.94</v>
      </c>
      <c r="J265" s="1" t="n">
        <v>8.4</v>
      </c>
      <c r="K265" s="1" t="n">
        <v>22.8</v>
      </c>
      <c r="L265" s="1" t="n">
        <v>1.04</v>
      </c>
      <c r="M265" s="1" t="n">
        <v>2.36</v>
      </c>
      <c r="N265" s="1" t="n">
        <v>4.74</v>
      </c>
      <c r="O265" s="1" t="n">
        <v>2.1</v>
      </c>
      <c r="P265" s="1" t="n">
        <v>0.17</v>
      </c>
      <c r="Q265" s="1" t="n">
        <v>7.83</v>
      </c>
      <c r="R265" s="1" t="n">
        <v>96.9453</v>
      </c>
      <c r="S265" s="1" t="n">
        <v>0.0145</v>
      </c>
      <c r="T265" s="1" t="n">
        <v>0.0583</v>
      </c>
      <c r="U265" s="1" t="n">
        <v>0.0126</v>
      </c>
      <c r="V265" s="1" t="n">
        <v>94</v>
      </c>
      <c r="W265" s="1" t="n">
        <v>540</v>
      </c>
      <c r="X265" s="1" t="n">
        <v>111</v>
      </c>
      <c r="Y265" s="1" t="n">
        <v>11632</v>
      </c>
      <c r="Z265" s="1" t="n">
        <v>-6639</v>
      </c>
      <c r="AA265" s="1" t="n">
        <v>-471</v>
      </c>
      <c r="AB265" s="1" t="n">
        <v>107.35</v>
      </c>
      <c r="AC265" s="1" t="s">
        <v>289</v>
      </c>
    </row>
    <row r="266" customFormat="false" ht="15" hidden="false" customHeight="false" outlineLevel="0" collapsed="false">
      <c r="A266" s="1" t="s">
        <v>441</v>
      </c>
      <c r="B266" s="1" t="s">
        <v>289</v>
      </c>
      <c r="C266" s="1" t="s">
        <v>3</v>
      </c>
      <c r="D266" s="1" t="n">
        <v>0.0985</v>
      </c>
      <c r="E266" s="1" t="n">
        <v>0.1482</v>
      </c>
      <c r="F266" s="1" t="n">
        <v>0.071</v>
      </c>
      <c r="G266" s="1" t="n">
        <v>41.63</v>
      </c>
      <c r="H266" s="1" t="n">
        <v>3.61</v>
      </c>
      <c r="I266" s="1" t="n">
        <v>1.94</v>
      </c>
      <c r="J266" s="1" t="n">
        <v>8.4</v>
      </c>
      <c r="K266" s="1" t="n">
        <v>22.8</v>
      </c>
      <c r="L266" s="1" t="n">
        <v>1.04</v>
      </c>
      <c r="M266" s="1" t="n">
        <v>2.36</v>
      </c>
      <c r="N266" s="1" t="n">
        <v>4.74</v>
      </c>
      <c r="O266" s="1" t="n">
        <v>2.1</v>
      </c>
      <c r="P266" s="1" t="n">
        <v>0.17</v>
      </c>
      <c r="Q266" s="1" t="n">
        <v>7.83</v>
      </c>
      <c r="R266" s="1" t="n">
        <v>96.9377</v>
      </c>
      <c r="S266" s="1" t="n">
        <v>0.0141</v>
      </c>
      <c r="T266" s="1" t="n">
        <v>0.0598</v>
      </c>
      <c r="U266" s="1" t="n">
        <v>0.0129</v>
      </c>
      <c r="V266" s="1" t="n">
        <v>86</v>
      </c>
      <c r="W266" s="1" t="n">
        <v>573</v>
      </c>
      <c r="X266" s="1" t="n">
        <v>114</v>
      </c>
      <c r="Y266" s="1" t="n">
        <v>11763</v>
      </c>
      <c r="Z266" s="1" t="n">
        <v>-6620</v>
      </c>
      <c r="AA266" s="1" t="n">
        <v>-471</v>
      </c>
      <c r="AB266" s="1" t="n">
        <v>237.01</v>
      </c>
      <c r="AC266" s="1" t="s">
        <v>289</v>
      </c>
    </row>
    <row r="267" customFormat="false" ht="15" hidden="false" customHeight="false" outlineLevel="0" collapsed="false">
      <c r="A267" s="1" t="s">
        <v>442</v>
      </c>
      <c r="B267" s="1" t="s">
        <v>289</v>
      </c>
      <c r="C267" s="1" t="s">
        <v>3</v>
      </c>
      <c r="D267" s="1" t="n">
        <v>0.0925</v>
      </c>
      <c r="E267" s="1" t="n">
        <v>0.1601</v>
      </c>
      <c r="F267" s="1" t="n">
        <v>0.0709</v>
      </c>
      <c r="G267" s="1" t="n">
        <v>41.63</v>
      </c>
      <c r="H267" s="1" t="n">
        <v>3.61</v>
      </c>
      <c r="I267" s="1" t="n">
        <v>1.94</v>
      </c>
      <c r="J267" s="1" t="n">
        <v>8.4</v>
      </c>
      <c r="K267" s="1" t="n">
        <v>22.8</v>
      </c>
      <c r="L267" s="1" t="n">
        <v>1.04</v>
      </c>
      <c r="M267" s="1" t="n">
        <v>2.36</v>
      </c>
      <c r="N267" s="1" t="n">
        <v>4.74</v>
      </c>
      <c r="O267" s="1" t="n">
        <v>2.1</v>
      </c>
      <c r="P267" s="1" t="n">
        <v>0.17</v>
      </c>
      <c r="Q267" s="1" t="n">
        <v>7.83</v>
      </c>
      <c r="R267" s="1" t="n">
        <v>96.9435</v>
      </c>
      <c r="S267" s="1" t="n">
        <v>0.014</v>
      </c>
      <c r="T267" s="1" t="n">
        <v>0.0569</v>
      </c>
      <c r="U267" s="1" t="n">
        <v>0.0128</v>
      </c>
      <c r="V267" s="1" t="n">
        <v>93</v>
      </c>
      <c r="W267" s="1" t="n">
        <v>514</v>
      </c>
      <c r="X267" s="1" t="n">
        <v>112</v>
      </c>
      <c r="Y267" s="1" t="n">
        <v>11814</v>
      </c>
      <c r="Z267" s="1" t="n">
        <v>-6620</v>
      </c>
      <c r="AA267" s="1" t="n">
        <v>-471</v>
      </c>
      <c r="AB267" s="1" t="n">
        <v>288.01</v>
      </c>
      <c r="AC267" s="1" t="s">
        <v>289</v>
      </c>
    </row>
    <row r="268" customFormat="false" ht="15" hidden="false" customHeight="false" outlineLevel="0" collapsed="false">
      <c r="C268" s="1" t="s">
        <v>43</v>
      </c>
      <c r="D268" s="5" t="n">
        <f aca="false">AVERAGE(D248:D267)*10000</f>
        <v>985.05</v>
      </c>
      <c r="E268" s="5" t="n">
        <f aca="false">AVERAGE(E248:E267)*10000</f>
        <v>1568.7</v>
      </c>
      <c r="F268" s="5" t="n">
        <f aca="false">AVERAGE(F248:F267)*10000</f>
        <v>717.9</v>
      </c>
      <c r="S268" s="5" t="n">
        <f aca="false">AVERAGE(S248:S267)*10000</f>
        <v>144.9</v>
      </c>
      <c r="T268" s="5" t="n">
        <f aca="false">AVERAGE(T248:T267)*10000</f>
        <v>578.2</v>
      </c>
      <c r="U268" s="5" t="n">
        <f aca="false">AVERAGE(U248:U267)*10000</f>
        <v>129.2</v>
      </c>
      <c r="V268" s="5" t="n">
        <f aca="false">AVERAGE(V248:V267)</f>
        <v>93.55</v>
      </c>
      <c r="W268" s="5" t="n">
        <f aca="false">AVERAGE(W248:W267)</f>
        <v>531.65</v>
      </c>
      <c r="X268" s="5" t="n">
        <f aca="false">AVERAGE(X248:X267)</f>
        <v>113.25</v>
      </c>
    </row>
    <row r="269" customFormat="false" ht="15" hidden="false" customHeight="false" outlineLevel="0" collapsed="false">
      <c r="C269" s="1" t="s">
        <v>44</v>
      </c>
      <c r="D269" s="5" t="n">
        <f aca="false">_xlfn.STDEV.P(D248:D267)*2*10000</f>
        <v>82.499636362835</v>
      </c>
      <c r="E269" s="5" t="n">
        <f aca="false">_xlfn.STDEV.P(E248:E267)*2*10000</f>
        <v>351.685711964531</v>
      </c>
      <c r="F269" s="5" t="n">
        <f aca="false">_xlfn.STDEV.P(F248:F267)*2*10000</f>
        <v>70.659465041847</v>
      </c>
    </row>
    <row r="270" customFormat="false" ht="15" hidden="false" customHeight="false" outlineLevel="0" collapsed="false">
      <c r="C270" s="1" t="s">
        <v>45</v>
      </c>
      <c r="D270" s="5" t="n">
        <f aca="false">S268/3*2</f>
        <v>96.6</v>
      </c>
      <c r="E270" s="5" t="n">
        <f aca="false">T268/3*2</f>
        <v>385.466666666667</v>
      </c>
      <c r="F270" s="5" t="n">
        <f aca="false">U268/3*2</f>
        <v>86.1333333333333</v>
      </c>
    </row>
    <row r="271" customFormat="false" ht="15" hidden="false" customHeight="false" outlineLevel="0" collapsed="false">
      <c r="C271" s="1" t="s">
        <v>46</v>
      </c>
      <c r="D271" s="5" t="n">
        <f aca="false">V268</f>
        <v>93.55</v>
      </c>
      <c r="E271" s="5" t="n">
        <f aca="false">W268</f>
        <v>531.65</v>
      </c>
      <c r="F271" s="5" t="n">
        <f aca="false">X268</f>
        <v>113.25</v>
      </c>
    </row>
    <row r="273" customFormat="false" ht="15" hidden="false" customHeight="false" outlineLevel="0" collapsed="false">
      <c r="A273" s="1" t="s">
        <v>182</v>
      </c>
      <c r="B273" s="1" t="s">
        <v>443</v>
      </c>
      <c r="C273" s="1" t="s">
        <v>9</v>
      </c>
      <c r="D273" s="1" t="n">
        <v>0.1215</v>
      </c>
      <c r="E273" s="1" t="n">
        <v>0.1683</v>
      </c>
      <c r="F273" s="1" t="n">
        <v>0.1581</v>
      </c>
      <c r="G273" s="1" t="n">
        <v>39.75</v>
      </c>
      <c r="H273" s="1" t="n">
        <v>3.43</v>
      </c>
      <c r="I273" s="1" t="n">
        <v>2.73</v>
      </c>
      <c r="J273" s="1" t="n">
        <v>7.19</v>
      </c>
      <c r="K273" s="1" t="n">
        <v>20.18</v>
      </c>
      <c r="L273" s="1" t="n">
        <v>1.38</v>
      </c>
      <c r="M273" s="1" t="n">
        <v>2.12</v>
      </c>
      <c r="N273" s="1" t="n">
        <v>7</v>
      </c>
      <c r="O273" s="1" t="n">
        <v>2.94</v>
      </c>
      <c r="P273" s="1" t="n">
        <v>0.19</v>
      </c>
      <c r="Q273" s="1" t="n">
        <v>9.75</v>
      </c>
      <c r="R273" s="1" t="n">
        <v>97.1079</v>
      </c>
      <c r="S273" s="1" t="n">
        <v>0.0161</v>
      </c>
      <c r="T273" s="1" t="n">
        <v>0.0554</v>
      </c>
      <c r="U273" s="1" t="n">
        <v>0.0161</v>
      </c>
      <c r="V273" s="1" t="n">
        <v>98</v>
      </c>
      <c r="W273" s="1" t="n">
        <v>481</v>
      </c>
      <c r="X273" s="1" t="n">
        <v>111</v>
      </c>
      <c r="Y273" s="1" t="n">
        <v>11013</v>
      </c>
      <c r="Z273" s="1" t="n">
        <v>-642</v>
      </c>
      <c r="AA273" s="1" t="n">
        <v>-467</v>
      </c>
      <c r="AB273" s="1" t="n">
        <v>0</v>
      </c>
      <c r="AC273" s="1" t="s">
        <v>443</v>
      </c>
    </row>
    <row r="274" customFormat="false" ht="15" hidden="false" customHeight="false" outlineLevel="0" collapsed="false">
      <c r="A274" s="1" t="s">
        <v>444</v>
      </c>
      <c r="B274" s="1" t="s">
        <v>443</v>
      </c>
      <c r="C274" s="1" t="s">
        <v>9</v>
      </c>
      <c r="D274" s="1" t="n">
        <v>0.123</v>
      </c>
      <c r="E274" s="1" t="n">
        <v>0.192</v>
      </c>
      <c r="F274" s="1" t="n">
        <v>0.1529</v>
      </c>
      <c r="G274" s="1" t="n">
        <v>39.75</v>
      </c>
      <c r="H274" s="1" t="n">
        <v>3.43</v>
      </c>
      <c r="I274" s="1" t="n">
        <v>2.73</v>
      </c>
      <c r="J274" s="1" t="n">
        <v>7.19</v>
      </c>
      <c r="K274" s="1" t="n">
        <v>20.18</v>
      </c>
      <c r="L274" s="1" t="n">
        <v>1.38</v>
      </c>
      <c r="M274" s="1" t="n">
        <v>2.12</v>
      </c>
      <c r="N274" s="1" t="n">
        <v>7</v>
      </c>
      <c r="O274" s="1" t="n">
        <v>2.94</v>
      </c>
      <c r="P274" s="1" t="n">
        <v>0.19</v>
      </c>
      <c r="Q274" s="1" t="n">
        <v>9.75</v>
      </c>
      <c r="R274" s="1" t="n">
        <v>97.128</v>
      </c>
      <c r="S274" s="1" t="n">
        <v>0.0161</v>
      </c>
      <c r="T274" s="1" t="n">
        <v>0.0591</v>
      </c>
      <c r="U274" s="1" t="n">
        <v>0.016</v>
      </c>
      <c r="V274" s="1" t="n">
        <v>96</v>
      </c>
      <c r="W274" s="1" t="n">
        <v>511</v>
      </c>
      <c r="X274" s="1" t="n">
        <v>113</v>
      </c>
      <c r="Y274" s="1" t="n">
        <v>11028</v>
      </c>
      <c r="Z274" s="1" t="n">
        <v>-626</v>
      </c>
      <c r="AA274" s="1" t="n">
        <v>-467</v>
      </c>
      <c r="AB274" s="1" t="n">
        <v>21.93</v>
      </c>
      <c r="AC274" s="1" t="s">
        <v>443</v>
      </c>
    </row>
    <row r="275" customFormat="false" ht="15" hidden="false" customHeight="false" outlineLevel="0" collapsed="false">
      <c r="A275" s="1" t="s">
        <v>445</v>
      </c>
      <c r="B275" s="1" t="s">
        <v>443</v>
      </c>
      <c r="C275" s="1" t="s">
        <v>9</v>
      </c>
      <c r="D275" s="1" t="n">
        <v>0.1315</v>
      </c>
      <c r="E275" s="1" t="n">
        <v>0.1406</v>
      </c>
      <c r="F275" s="1" t="n">
        <v>0.1586</v>
      </c>
      <c r="G275" s="1" t="n">
        <v>39.75</v>
      </c>
      <c r="H275" s="1" t="n">
        <v>3.43</v>
      </c>
      <c r="I275" s="1" t="n">
        <v>2.73</v>
      </c>
      <c r="J275" s="1" t="n">
        <v>7.19</v>
      </c>
      <c r="K275" s="1" t="n">
        <v>20.18</v>
      </c>
      <c r="L275" s="1" t="n">
        <v>1.38</v>
      </c>
      <c r="M275" s="1" t="n">
        <v>2.12</v>
      </c>
      <c r="N275" s="1" t="n">
        <v>7</v>
      </c>
      <c r="O275" s="1" t="n">
        <v>2.94</v>
      </c>
      <c r="P275" s="1" t="n">
        <v>0.19</v>
      </c>
      <c r="Q275" s="1" t="n">
        <v>9.75</v>
      </c>
      <c r="R275" s="1" t="n">
        <v>97.0907</v>
      </c>
      <c r="S275" s="1" t="n">
        <v>0.0165</v>
      </c>
      <c r="T275" s="1" t="n">
        <v>0.0561</v>
      </c>
      <c r="U275" s="1" t="n">
        <v>0.0163</v>
      </c>
      <c r="V275" s="1" t="n">
        <v>93</v>
      </c>
      <c r="W275" s="1" t="n">
        <v>526</v>
      </c>
      <c r="X275" s="1" t="n">
        <v>116</v>
      </c>
      <c r="Y275" s="1" t="n">
        <v>11043</v>
      </c>
      <c r="Z275" s="1" t="n">
        <v>-612</v>
      </c>
      <c r="AA275" s="1" t="n">
        <v>-467</v>
      </c>
      <c r="AB275" s="1" t="n">
        <v>42.43</v>
      </c>
      <c r="AC275" s="1" t="s">
        <v>443</v>
      </c>
    </row>
    <row r="276" customFormat="false" ht="15" hidden="false" customHeight="false" outlineLevel="0" collapsed="false">
      <c r="A276" s="1" t="s">
        <v>446</v>
      </c>
      <c r="B276" s="1" t="s">
        <v>443</v>
      </c>
      <c r="C276" s="1" t="s">
        <v>9</v>
      </c>
      <c r="D276" s="1" t="n">
        <v>0.1332</v>
      </c>
      <c r="E276" s="1" t="n">
        <v>0.1703</v>
      </c>
      <c r="F276" s="1" t="n">
        <v>0.1552</v>
      </c>
      <c r="G276" s="1" t="n">
        <v>39.75</v>
      </c>
      <c r="H276" s="1" t="n">
        <v>3.43</v>
      </c>
      <c r="I276" s="1" t="n">
        <v>2.73</v>
      </c>
      <c r="J276" s="1" t="n">
        <v>7.19</v>
      </c>
      <c r="K276" s="1" t="n">
        <v>20.18</v>
      </c>
      <c r="L276" s="1" t="n">
        <v>1.38</v>
      </c>
      <c r="M276" s="1" t="n">
        <v>2.12</v>
      </c>
      <c r="N276" s="1" t="n">
        <v>7</v>
      </c>
      <c r="O276" s="1" t="n">
        <v>2.94</v>
      </c>
      <c r="P276" s="1" t="n">
        <v>0.19</v>
      </c>
      <c r="Q276" s="1" t="n">
        <v>9.75</v>
      </c>
      <c r="R276" s="1" t="n">
        <v>97.1187</v>
      </c>
      <c r="S276" s="1" t="n">
        <v>0.0165</v>
      </c>
      <c r="T276" s="1" t="n">
        <v>0.0585</v>
      </c>
      <c r="U276" s="1" t="n">
        <v>0.0158</v>
      </c>
      <c r="V276" s="1" t="n">
        <v>90</v>
      </c>
      <c r="W276" s="1" t="n">
        <v>528</v>
      </c>
      <c r="X276" s="1" t="n">
        <v>107</v>
      </c>
      <c r="Y276" s="1" t="n">
        <v>11056</v>
      </c>
      <c r="Z276" s="1" t="n">
        <v>-654</v>
      </c>
      <c r="AA276" s="1" t="n">
        <v>-467</v>
      </c>
      <c r="AB276" s="1" t="n">
        <v>44.64</v>
      </c>
      <c r="AC276" s="1" t="s">
        <v>443</v>
      </c>
    </row>
    <row r="277" customFormat="false" ht="15" hidden="false" customHeight="false" outlineLevel="0" collapsed="false">
      <c r="A277" s="1" t="s">
        <v>447</v>
      </c>
      <c r="B277" s="1" t="s">
        <v>443</v>
      </c>
      <c r="C277" s="1" t="s">
        <v>9</v>
      </c>
      <c r="D277" s="1" t="n">
        <v>0.1192</v>
      </c>
      <c r="E277" s="1" t="n">
        <v>0.1772</v>
      </c>
      <c r="F277" s="1" t="n">
        <v>0.1534</v>
      </c>
      <c r="G277" s="1" t="n">
        <v>39.75</v>
      </c>
      <c r="H277" s="1" t="n">
        <v>3.43</v>
      </c>
      <c r="I277" s="1" t="n">
        <v>2.73</v>
      </c>
      <c r="J277" s="1" t="n">
        <v>7.19</v>
      </c>
      <c r="K277" s="1" t="n">
        <v>20.18</v>
      </c>
      <c r="L277" s="1" t="n">
        <v>1.38</v>
      </c>
      <c r="M277" s="1" t="n">
        <v>2.12</v>
      </c>
      <c r="N277" s="1" t="n">
        <v>7</v>
      </c>
      <c r="O277" s="1" t="n">
        <v>2.94</v>
      </c>
      <c r="P277" s="1" t="n">
        <v>0.19</v>
      </c>
      <c r="Q277" s="1" t="n">
        <v>9.75</v>
      </c>
      <c r="R277" s="1" t="n">
        <v>97.1099</v>
      </c>
      <c r="S277" s="1" t="n">
        <v>0.0159</v>
      </c>
      <c r="T277" s="1" t="n">
        <v>0.0581</v>
      </c>
      <c r="U277" s="1" t="n">
        <v>0.0161</v>
      </c>
      <c r="V277" s="1" t="n">
        <v>96</v>
      </c>
      <c r="W277" s="1" t="n">
        <v>514</v>
      </c>
      <c r="X277" s="1" t="n">
        <v>114</v>
      </c>
      <c r="Y277" s="1" t="n">
        <v>11071</v>
      </c>
      <c r="Z277" s="1" t="n">
        <v>-676</v>
      </c>
      <c r="AA277" s="1" t="n">
        <v>-467</v>
      </c>
      <c r="AB277" s="1" t="n">
        <v>67.23</v>
      </c>
      <c r="AC277" s="1" t="s">
        <v>443</v>
      </c>
    </row>
    <row r="278" customFormat="false" ht="15" hidden="false" customHeight="false" outlineLevel="0" collapsed="false">
      <c r="A278" s="1" t="s">
        <v>181</v>
      </c>
      <c r="B278" s="1" t="s">
        <v>443</v>
      </c>
      <c r="C278" s="1" t="s">
        <v>9</v>
      </c>
      <c r="D278" s="1" t="n">
        <v>0.1192</v>
      </c>
      <c r="E278" s="1" t="n">
        <v>0.1944</v>
      </c>
      <c r="F278" s="1" t="n">
        <v>0.1591</v>
      </c>
      <c r="G278" s="1" t="n">
        <v>39.75</v>
      </c>
      <c r="H278" s="1" t="n">
        <v>3.43</v>
      </c>
      <c r="I278" s="1" t="n">
        <v>2.73</v>
      </c>
      <c r="J278" s="1" t="n">
        <v>7.19</v>
      </c>
      <c r="K278" s="1" t="n">
        <v>20.18</v>
      </c>
      <c r="L278" s="1" t="n">
        <v>1.38</v>
      </c>
      <c r="M278" s="1" t="n">
        <v>2.12</v>
      </c>
      <c r="N278" s="1" t="n">
        <v>7</v>
      </c>
      <c r="O278" s="1" t="n">
        <v>2.94</v>
      </c>
      <c r="P278" s="1" t="n">
        <v>0.19</v>
      </c>
      <c r="Q278" s="1" t="n">
        <v>9.75</v>
      </c>
      <c r="R278" s="1" t="n">
        <v>97.1327</v>
      </c>
      <c r="S278" s="1" t="n">
        <v>0.0159</v>
      </c>
      <c r="T278" s="1" t="n">
        <v>0.0588</v>
      </c>
      <c r="U278" s="1" t="n">
        <v>0.0166</v>
      </c>
      <c r="V278" s="1" t="n">
        <v>96</v>
      </c>
      <c r="W278" s="1" t="n">
        <v>502</v>
      </c>
      <c r="X278" s="1" t="n">
        <v>121</v>
      </c>
      <c r="Y278" s="1" t="n">
        <v>11103</v>
      </c>
      <c r="Z278" s="1" t="n">
        <v>-702</v>
      </c>
      <c r="AA278" s="1" t="n">
        <v>-467</v>
      </c>
      <c r="AB278" s="1" t="n">
        <v>0</v>
      </c>
      <c r="AC278" s="1" t="s">
        <v>443</v>
      </c>
    </row>
    <row r="279" customFormat="false" ht="15" hidden="false" customHeight="false" outlineLevel="0" collapsed="false">
      <c r="A279" s="1" t="s">
        <v>448</v>
      </c>
      <c r="B279" s="1" t="s">
        <v>443</v>
      </c>
      <c r="C279" s="1" t="s">
        <v>9</v>
      </c>
      <c r="D279" s="1" t="n">
        <v>0.1181</v>
      </c>
      <c r="E279" s="1" t="n">
        <v>0.233</v>
      </c>
      <c r="F279" s="1" t="n">
        <v>0.1611</v>
      </c>
      <c r="G279" s="1" t="n">
        <v>39.75</v>
      </c>
      <c r="H279" s="1" t="n">
        <v>3.43</v>
      </c>
      <c r="I279" s="1" t="n">
        <v>2.73</v>
      </c>
      <c r="J279" s="1" t="n">
        <v>7.19</v>
      </c>
      <c r="K279" s="1" t="n">
        <v>20.18</v>
      </c>
      <c r="L279" s="1" t="n">
        <v>1.38</v>
      </c>
      <c r="M279" s="1" t="n">
        <v>2.12</v>
      </c>
      <c r="N279" s="1" t="n">
        <v>7</v>
      </c>
      <c r="O279" s="1" t="n">
        <v>2.94</v>
      </c>
      <c r="P279" s="1" t="n">
        <v>0.19</v>
      </c>
      <c r="Q279" s="1" t="n">
        <v>9.75</v>
      </c>
      <c r="R279" s="1" t="n">
        <v>97.1722</v>
      </c>
      <c r="S279" s="1" t="n">
        <v>0.0156</v>
      </c>
      <c r="T279" s="1" t="n">
        <v>0.0605</v>
      </c>
      <c r="U279" s="1" t="n">
        <v>0.0166</v>
      </c>
      <c r="V279" s="1" t="n">
        <v>91</v>
      </c>
      <c r="W279" s="1" t="n">
        <v>481</v>
      </c>
      <c r="X279" s="1" t="n">
        <v>118</v>
      </c>
      <c r="Y279" s="1" t="n">
        <v>11135</v>
      </c>
      <c r="Z279" s="1" t="n">
        <v>-680</v>
      </c>
      <c r="AA279" s="1" t="n">
        <v>-467</v>
      </c>
      <c r="AB279" s="1" t="n">
        <v>38.83</v>
      </c>
      <c r="AC279" s="1" t="s">
        <v>443</v>
      </c>
    </row>
    <row r="280" customFormat="false" ht="15" hidden="false" customHeight="false" outlineLevel="0" collapsed="false">
      <c r="A280" s="1" t="s">
        <v>449</v>
      </c>
      <c r="B280" s="1" t="s">
        <v>443</v>
      </c>
      <c r="C280" s="1" t="s">
        <v>9</v>
      </c>
      <c r="D280" s="1" t="n">
        <v>0.121</v>
      </c>
      <c r="E280" s="1" t="n">
        <v>0.227</v>
      </c>
      <c r="F280" s="1" t="n">
        <v>0.1485</v>
      </c>
      <c r="G280" s="1" t="n">
        <v>39.75</v>
      </c>
      <c r="H280" s="1" t="n">
        <v>3.43</v>
      </c>
      <c r="I280" s="1" t="n">
        <v>2.73</v>
      </c>
      <c r="J280" s="1" t="n">
        <v>7.19</v>
      </c>
      <c r="K280" s="1" t="n">
        <v>20.18</v>
      </c>
      <c r="L280" s="1" t="n">
        <v>1.38</v>
      </c>
      <c r="M280" s="1" t="n">
        <v>2.12</v>
      </c>
      <c r="N280" s="1" t="n">
        <v>7</v>
      </c>
      <c r="O280" s="1" t="n">
        <v>2.94</v>
      </c>
      <c r="P280" s="1" t="n">
        <v>0.19</v>
      </c>
      <c r="Q280" s="1" t="n">
        <v>9.75</v>
      </c>
      <c r="R280" s="1" t="n">
        <v>97.1565</v>
      </c>
      <c r="S280" s="1" t="n">
        <v>0.016</v>
      </c>
      <c r="T280" s="1" t="n">
        <v>0.0614</v>
      </c>
      <c r="U280" s="1" t="n">
        <v>0.0159</v>
      </c>
      <c r="V280" s="1" t="n">
        <v>96</v>
      </c>
      <c r="W280" s="1" t="n">
        <v>505</v>
      </c>
      <c r="X280" s="1" t="n">
        <v>115</v>
      </c>
      <c r="Y280" s="1" t="n">
        <v>11167</v>
      </c>
      <c r="Z280" s="1" t="n">
        <v>-657</v>
      </c>
      <c r="AA280" s="1" t="n">
        <v>-467</v>
      </c>
      <c r="AB280" s="1" t="n">
        <v>78.24</v>
      </c>
      <c r="AC280" s="1" t="s">
        <v>443</v>
      </c>
    </row>
    <row r="281" customFormat="false" ht="15" hidden="false" customHeight="false" outlineLevel="0" collapsed="false">
      <c r="A281" s="1" t="s">
        <v>450</v>
      </c>
      <c r="B281" s="1" t="s">
        <v>443</v>
      </c>
      <c r="C281" s="1" t="s">
        <v>9</v>
      </c>
      <c r="D281" s="1" t="n">
        <v>0.1136</v>
      </c>
      <c r="E281" s="1" t="n">
        <v>0.1755</v>
      </c>
      <c r="F281" s="1" t="n">
        <v>0.1612</v>
      </c>
      <c r="G281" s="1" t="n">
        <v>39.75</v>
      </c>
      <c r="H281" s="1" t="n">
        <v>3.43</v>
      </c>
      <c r="I281" s="1" t="n">
        <v>2.73</v>
      </c>
      <c r="J281" s="1" t="n">
        <v>7.19</v>
      </c>
      <c r="K281" s="1" t="n">
        <v>20.18</v>
      </c>
      <c r="L281" s="1" t="n">
        <v>1.38</v>
      </c>
      <c r="M281" s="1" t="n">
        <v>2.12</v>
      </c>
      <c r="N281" s="1" t="n">
        <v>7</v>
      </c>
      <c r="O281" s="1" t="n">
        <v>2.94</v>
      </c>
      <c r="P281" s="1" t="n">
        <v>0.19</v>
      </c>
      <c r="Q281" s="1" t="n">
        <v>9.75</v>
      </c>
      <c r="R281" s="1" t="n">
        <v>97.1103</v>
      </c>
      <c r="S281" s="1" t="n">
        <v>0.0157</v>
      </c>
      <c r="T281" s="1" t="n">
        <v>0.0615</v>
      </c>
      <c r="U281" s="1" t="n">
        <v>0.0163</v>
      </c>
      <c r="V281" s="1" t="n">
        <v>101</v>
      </c>
      <c r="W281" s="1" t="n">
        <v>569</v>
      </c>
      <c r="X281" s="1" t="n">
        <v>113</v>
      </c>
      <c r="Y281" s="1" t="n">
        <v>11167</v>
      </c>
      <c r="Z281" s="1" t="n">
        <v>-657</v>
      </c>
      <c r="AA281" s="1" t="n">
        <v>-467</v>
      </c>
      <c r="AB281" s="1" t="n">
        <v>78.24</v>
      </c>
      <c r="AC281" s="1" t="s">
        <v>443</v>
      </c>
    </row>
    <row r="282" customFormat="false" ht="15" hidden="false" customHeight="false" outlineLevel="0" collapsed="false">
      <c r="A282" s="1" t="s">
        <v>451</v>
      </c>
      <c r="B282" s="1" t="s">
        <v>443</v>
      </c>
      <c r="C282" s="1" t="s">
        <v>9</v>
      </c>
      <c r="D282" s="1" t="n">
        <v>0.1312</v>
      </c>
      <c r="E282" s="1" t="n">
        <v>0.1557</v>
      </c>
      <c r="F282" s="1" t="n">
        <v>0.1581</v>
      </c>
      <c r="G282" s="1" t="n">
        <v>39.75</v>
      </c>
      <c r="H282" s="1" t="n">
        <v>3.43</v>
      </c>
      <c r="I282" s="1" t="n">
        <v>2.73</v>
      </c>
      <c r="J282" s="1" t="n">
        <v>7.19</v>
      </c>
      <c r="K282" s="1" t="n">
        <v>20.18</v>
      </c>
      <c r="L282" s="1" t="n">
        <v>1.38</v>
      </c>
      <c r="M282" s="1" t="n">
        <v>2.12</v>
      </c>
      <c r="N282" s="1" t="n">
        <v>7</v>
      </c>
      <c r="O282" s="1" t="n">
        <v>2.94</v>
      </c>
      <c r="P282" s="1" t="n">
        <v>0.19</v>
      </c>
      <c r="Q282" s="1" t="n">
        <v>9.75</v>
      </c>
      <c r="R282" s="1" t="n">
        <v>97.105</v>
      </c>
      <c r="S282" s="1" t="n">
        <v>0.0165</v>
      </c>
      <c r="T282" s="1" t="n">
        <v>0.0579</v>
      </c>
      <c r="U282" s="1" t="n">
        <v>0.0163</v>
      </c>
      <c r="V282" s="1" t="n">
        <v>94</v>
      </c>
      <c r="W282" s="1" t="n">
        <v>536</v>
      </c>
      <c r="X282" s="1" t="n">
        <v>114</v>
      </c>
      <c r="Y282" s="1" t="n">
        <v>11195</v>
      </c>
      <c r="Z282" s="1" t="n">
        <v>-583</v>
      </c>
      <c r="AA282" s="1" t="n">
        <v>-467</v>
      </c>
      <c r="AB282" s="1" t="n">
        <v>150.42</v>
      </c>
      <c r="AC282" s="1" t="s">
        <v>443</v>
      </c>
    </row>
    <row r="283" customFormat="false" ht="15" hidden="false" customHeight="false" outlineLevel="0" collapsed="false">
      <c r="A283" s="1" t="s">
        <v>187</v>
      </c>
      <c r="B283" s="1" t="s">
        <v>443</v>
      </c>
      <c r="C283" s="1" t="s">
        <v>9</v>
      </c>
      <c r="D283" s="1" t="n">
        <v>0.1177</v>
      </c>
      <c r="E283" s="1" t="n">
        <v>0.189</v>
      </c>
      <c r="F283" s="1" t="n">
        <v>0.152</v>
      </c>
      <c r="G283" s="1" t="n">
        <v>39.75</v>
      </c>
      <c r="H283" s="1" t="n">
        <v>3.43</v>
      </c>
      <c r="I283" s="1" t="n">
        <v>2.73</v>
      </c>
      <c r="J283" s="1" t="n">
        <v>7.19</v>
      </c>
      <c r="K283" s="1" t="n">
        <v>20.18</v>
      </c>
      <c r="L283" s="1" t="n">
        <v>1.38</v>
      </c>
      <c r="M283" s="1" t="n">
        <v>2.12</v>
      </c>
      <c r="N283" s="1" t="n">
        <v>7</v>
      </c>
      <c r="O283" s="1" t="n">
        <v>2.94</v>
      </c>
      <c r="P283" s="1" t="n">
        <v>0.19</v>
      </c>
      <c r="Q283" s="1" t="n">
        <v>9.75</v>
      </c>
      <c r="R283" s="1" t="n">
        <v>97.1187</v>
      </c>
      <c r="S283" s="1" t="n">
        <v>0.0158</v>
      </c>
      <c r="T283" s="1" t="n">
        <v>0.0617</v>
      </c>
      <c r="U283" s="1" t="n">
        <v>0.0163</v>
      </c>
      <c r="V283" s="1" t="n">
        <v>97</v>
      </c>
      <c r="W283" s="1" t="n">
        <v>557</v>
      </c>
      <c r="X283" s="1" t="n">
        <v>120</v>
      </c>
      <c r="Y283" s="1" t="n">
        <v>11222</v>
      </c>
      <c r="Z283" s="1" t="n">
        <v>-556</v>
      </c>
      <c r="AA283" s="1" t="n">
        <v>-467</v>
      </c>
      <c r="AB283" s="1" t="n">
        <v>0</v>
      </c>
      <c r="AC283" s="1" t="s">
        <v>443</v>
      </c>
    </row>
    <row r="284" customFormat="false" ht="15" hidden="false" customHeight="false" outlineLevel="0" collapsed="false">
      <c r="A284" s="1" t="s">
        <v>452</v>
      </c>
      <c r="B284" s="1" t="s">
        <v>443</v>
      </c>
      <c r="C284" s="1" t="s">
        <v>9</v>
      </c>
      <c r="D284" s="1" t="n">
        <v>0.1188</v>
      </c>
      <c r="E284" s="1" t="n">
        <v>0.2198</v>
      </c>
      <c r="F284" s="1" t="n">
        <v>0.1544</v>
      </c>
      <c r="G284" s="1" t="n">
        <v>39.75</v>
      </c>
      <c r="H284" s="1" t="n">
        <v>3.43</v>
      </c>
      <c r="I284" s="1" t="n">
        <v>2.73</v>
      </c>
      <c r="J284" s="1" t="n">
        <v>7.19</v>
      </c>
      <c r="K284" s="1" t="n">
        <v>20.18</v>
      </c>
      <c r="L284" s="1" t="n">
        <v>1.38</v>
      </c>
      <c r="M284" s="1" t="n">
        <v>2.12</v>
      </c>
      <c r="N284" s="1" t="n">
        <v>7</v>
      </c>
      <c r="O284" s="1" t="n">
        <v>2.94</v>
      </c>
      <c r="P284" s="1" t="n">
        <v>0.19</v>
      </c>
      <c r="Q284" s="1" t="n">
        <v>9.75</v>
      </c>
      <c r="R284" s="1" t="n">
        <v>97.1531</v>
      </c>
      <c r="S284" s="1" t="n">
        <v>0.0162</v>
      </c>
      <c r="T284" s="1" t="n">
        <v>0.0603</v>
      </c>
      <c r="U284" s="1" t="n">
        <v>0.0162</v>
      </c>
      <c r="V284" s="1" t="n">
        <v>104</v>
      </c>
      <c r="W284" s="1" t="n">
        <v>496</v>
      </c>
      <c r="X284" s="1" t="n">
        <v>115</v>
      </c>
      <c r="Y284" s="1" t="n">
        <v>11215</v>
      </c>
      <c r="Z284" s="1" t="n">
        <v>-529</v>
      </c>
      <c r="AA284" s="1" t="n">
        <v>-467</v>
      </c>
      <c r="AB284" s="1" t="n">
        <v>27.89</v>
      </c>
      <c r="AC284" s="1" t="s">
        <v>443</v>
      </c>
    </row>
    <row r="285" customFormat="false" ht="15" hidden="false" customHeight="false" outlineLevel="0" collapsed="false">
      <c r="A285" s="1" t="s">
        <v>453</v>
      </c>
      <c r="B285" s="1" t="s">
        <v>443</v>
      </c>
      <c r="C285" s="1" t="s">
        <v>9</v>
      </c>
      <c r="D285" s="1" t="n">
        <v>0.1194</v>
      </c>
      <c r="E285" s="1" t="n">
        <v>0.1822</v>
      </c>
      <c r="F285" s="1" t="n">
        <v>0.1546</v>
      </c>
      <c r="G285" s="1" t="n">
        <v>39.75</v>
      </c>
      <c r="H285" s="1" t="n">
        <v>3.43</v>
      </c>
      <c r="I285" s="1" t="n">
        <v>2.73</v>
      </c>
      <c r="J285" s="1" t="n">
        <v>7.19</v>
      </c>
      <c r="K285" s="1" t="n">
        <v>20.18</v>
      </c>
      <c r="L285" s="1" t="n">
        <v>1.38</v>
      </c>
      <c r="M285" s="1" t="n">
        <v>2.12</v>
      </c>
      <c r="N285" s="1" t="n">
        <v>7</v>
      </c>
      <c r="O285" s="1" t="n">
        <v>2.94</v>
      </c>
      <c r="P285" s="1" t="n">
        <v>0.19</v>
      </c>
      <c r="Q285" s="1" t="n">
        <v>9.75</v>
      </c>
      <c r="R285" s="1" t="n">
        <v>97.1161</v>
      </c>
      <c r="S285" s="1" t="n">
        <v>0.0159</v>
      </c>
      <c r="T285" s="1" t="n">
        <v>0.0605</v>
      </c>
      <c r="U285" s="1" t="n">
        <v>0.0163</v>
      </c>
      <c r="V285" s="1" t="n">
        <v>96</v>
      </c>
      <c r="W285" s="1" t="n">
        <v>545</v>
      </c>
      <c r="X285" s="1" t="n">
        <v>118</v>
      </c>
      <c r="Y285" s="1" t="n">
        <v>11208</v>
      </c>
      <c r="Z285" s="1" t="n">
        <v>-498</v>
      </c>
      <c r="AA285" s="1" t="n">
        <v>-467</v>
      </c>
      <c r="AB285" s="1" t="n">
        <v>59.67</v>
      </c>
      <c r="AC285" s="1" t="s">
        <v>443</v>
      </c>
    </row>
    <row r="286" customFormat="false" ht="15" hidden="false" customHeight="false" outlineLevel="0" collapsed="false">
      <c r="A286" s="1" t="s">
        <v>454</v>
      </c>
      <c r="B286" s="1" t="s">
        <v>443</v>
      </c>
      <c r="C286" s="1" t="s">
        <v>9</v>
      </c>
      <c r="D286" s="1" t="n">
        <v>0.1192</v>
      </c>
      <c r="E286" s="1" t="n">
        <v>0.1881</v>
      </c>
      <c r="F286" s="1" t="n">
        <v>0.16</v>
      </c>
      <c r="G286" s="1" t="n">
        <v>39.75</v>
      </c>
      <c r="H286" s="1" t="n">
        <v>3.43</v>
      </c>
      <c r="I286" s="1" t="n">
        <v>2.73</v>
      </c>
      <c r="J286" s="1" t="n">
        <v>7.19</v>
      </c>
      <c r="K286" s="1" t="n">
        <v>20.18</v>
      </c>
      <c r="L286" s="1" t="n">
        <v>1.38</v>
      </c>
      <c r="M286" s="1" t="n">
        <v>2.12</v>
      </c>
      <c r="N286" s="1" t="n">
        <v>7</v>
      </c>
      <c r="O286" s="1" t="n">
        <v>2.94</v>
      </c>
      <c r="P286" s="1" t="n">
        <v>0.19</v>
      </c>
      <c r="Q286" s="1" t="n">
        <v>9.75</v>
      </c>
      <c r="R286" s="1" t="n">
        <v>97.1273</v>
      </c>
      <c r="S286" s="1" t="n">
        <v>0.016</v>
      </c>
      <c r="T286" s="1" t="n">
        <v>0.0603</v>
      </c>
      <c r="U286" s="1" t="n">
        <v>0.0162</v>
      </c>
      <c r="V286" s="1" t="n">
        <v>99</v>
      </c>
      <c r="W286" s="1" t="n">
        <v>536</v>
      </c>
      <c r="X286" s="1" t="n">
        <v>113</v>
      </c>
      <c r="Y286" s="1" t="n">
        <v>11245</v>
      </c>
      <c r="Z286" s="1" t="n">
        <v>-466</v>
      </c>
      <c r="AA286" s="1" t="n">
        <v>-467</v>
      </c>
      <c r="AB286" s="1" t="n">
        <v>92.89</v>
      </c>
      <c r="AC286" s="1" t="s">
        <v>443</v>
      </c>
    </row>
    <row r="287" customFormat="false" ht="15" hidden="false" customHeight="false" outlineLevel="0" collapsed="false">
      <c r="A287" s="1" t="s">
        <v>455</v>
      </c>
      <c r="B287" s="1" t="s">
        <v>443</v>
      </c>
      <c r="C287" s="1" t="s">
        <v>9</v>
      </c>
      <c r="D287" s="1" t="n">
        <v>0.1252</v>
      </c>
      <c r="E287" s="1" t="n">
        <v>0.2227</v>
      </c>
      <c r="F287" s="1" t="n">
        <v>0.156</v>
      </c>
      <c r="G287" s="1" t="n">
        <v>39.75</v>
      </c>
      <c r="H287" s="1" t="n">
        <v>3.43</v>
      </c>
      <c r="I287" s="1" t="n">
        <v>2.73</v>
      </c>
      <c r="J287" s="1" t="n">
        <v>7.19</v>
      </c>
      <c r="K287" s="1" t="n">
        <v>20.18</v>
      </c>
      <c r="L287" s="1" t="n">
        <v>1.38</v>
      </c>
      <c r="M287" s="1" t="n">
        <v>2.12</v>
      </c>
      <c r="N287" s="1" t="n">
        <v>7</v>
      </c>
      <c r="O287" s="1" t="n">
        <v>2.94</v>
      </c>
      <c r="P287" s="1" t="n">
        <v>0.19</v>
      </c>
      <c r="Q287" s="1" t="n">
        <v>9.75</v>
      </c>
      <c r="R287" s="1" t="n">
        <v>97.1639</v>
      </c>
      <c r="S287" s="1" t="n">
        <v>0.0159</v>
      </c>
      <c r="T287" s="1" t="n">
        <v>0.065</v>
      </c>
      <c r="U287" s="1" t="n">
        <v>0.0161</v>
      </c>
      <c r="V287" s="1" t="n">
        <v>87</v>
      </c>
      <c r="W287" s="1" t="n">
        <v>572</v>
      </c>
      <c r="X287" s="1" t="n">
        <v>114</v>
      </c>
      <c r="Y287" s="1" t="n">
        <v>11191</v>
      </c>
      <c r="Z287" s="1" t="n">
        <v>-439</v>
      </c>
      <c r="AA287" s="1" t="n">
        <v>-467</v>
      </c>
      <c r="AB287" s="1" t="n">
        <v>121.04</v>
      </c>
      <c r="AC287" s="1" t="s">
        <v>443</v>
      </c>
    </row>
    <row r="288" customFormat="false" ht="15" hidden="false" customHeight="false" outlineLevel="0" collapsed="false">
      <c r="A288" s="1" t="s">
        <v>188</v>
      </c>
      <c r="B288" s="1" t="s">
        <v>443</v>
      </c>
      <c r="C288" s="1" t="s">
        <v>9</v>
      </c>
      <c r="D288" s="1" t="n">
        <v>0.1179</v>
      </c>
      <c r="E288" s="1" t="n">
        <v>0.1734</v>
      </c>
      <c r="F288" s="1" t="n">
        <v>0.1599</v>
      </c>
      <c r="G288" s="1" t="n">
        <v>39.75</v>
      </c>
      <c r="H288" s="1" t="n">
        <v>3.43</v>
      </c>
      <c r="I288" s="1" t="n">
        <v>2.73</v>
      </c>
      <c r="J288" s="1" t="n">
        <v>7.19</v>
      </c>
      <c r="K288" s="1" t="n">
        <v>20.18</v>
      </c>
      <c r="L288" s="1" t="n">
        <v>1.38</v>
      </c>
      <c r="M288" s="1" t="n">
        <v>2.12</v>
      </c>
      <c r="N288" s="1" t="n">
        <v>7</v>
      </c>
      <c r="O288" s="1" t="n">
        <v>2.94</v>
      </c>
      <c r="P288" s="1" t="n">
        <v>0.19</v>
      </c>
      <c r="Q288" s="1" t="n">
        <v>9.75</v>
      </c>
      <c r="R288" s="1" t="n">
        <v>97.1112</v>
      </c>
      <c r="S288" s="1" t="n">
        <v>0.0157</v>
      </c>
      <c r="T288" s="1" t="n">
        <v>0.0613</v>
      </c>
      <c r="U288" s="1" t="n">
        <v>0.016</v>
      </c>
      <c r="V288" s="1" t="n">
        <v>94</v>
      </c>
      <c r="W288" s="1" t="n">
        <v>569</v>
      </c>
      <c r="X288" s="1" t="n">
        <v>107</v>
      </c>
      <c r="Y288" s="1" t="n">
        <v>10803</v>
      </c>
      <c r="Z288" s="1" t="n">
        <v>-531</v>
      </c>
      <c r="AA288" s="1" t="n">
        <v>-467</v>
      </c>
      <c r="AB288" s="1" t="n">
        <v>0</v>
      </c>
      <c r="AC288" s="1" t="s">
        <v>443</v>
      </c>
    </row>
    <row r="289" customFormat="false" ht="15" hidden="false" customHeight="false" outlineLevel="0" collapsed="false">
      <c r="A289" s="1" t="s">
        <v>456</v>
      </c>
      <c r="B289" s="1" t="s">
        <v>443</v>
      </c>
      <c r="C289" s="1" t="s">
        <v>9</v>
      </c>
      <c r="D289" s="1" t="n">
        <v>0.1192</v>
      </c>
      <c r="E289" s="1" t="n">
        <v>0.1685</v>
      </c>
      <c r="F289" s="1" t="n">
        <v>0.1613</v>
      </c>
      <c r="G289" s="1" t="n">
        <v>39.75</v>
      </c>
      <c r="H289" s="1" t="n">
        <v>3.43</v>
      </c>
      <c r="I289" s="1" t="n">
        <v>2.73</v>
      </c>
      <c r="J289" s="1" t="n">
        <v>7.19</v>
      </c>
      <c r="K289" s="1" t="n">
        <v>20.18</v>
      </c>
      <c r="L289" s="1" t="n">
        <v>1.38</v>
      </c>
      <c r="M289" s="1" t="n">
        <v>2.12</v>
      </c>
      <c r="N289" s="1" t="n">
        <v>7</v>
      </c>
      <c r="O289" s="1" t="n">
        <v>2.94</v>
      </c>
      <c r="P289" s="1" t="n">
        <v>0.19</v>
      </c>
      <c r="Q289" s="1" t="n">
        <v>9.75</v>
      </c>
      <c r="R289" s="1" t="n">
        <v>97.109</v>
      </c>
      <c r="S289" s="1" t="n">
        <v>0.0157</v>
      </c>
      <c r="T289" s="1" t="n">
        <v>0.058</v>
      </c>
      <c r="U289" s="1" t="n">
        <v>0.0165</v>
      </c>
      <c r="V289" s="1" t="n">
        <v>92</v>
      </c>
      <c r="W289" s="1" t="n">
        <v>522</v>
      </c>
      <c r="X289" s="1" t="n">
        <v>117</v>
      </c>
      <c r="Y289" s="1" t="n">
        <v>10824</v>
      </c>
      <c r="Z289" s="1" t="n">
        <v>-502</v>
      </c>
      <c r="AA289" s="1" t="n">
        <v>-467</v>
      </c>
      <c r="AB289" s="1" t="n">
        <v>35.81</v>
      </c>
      <c r="AC289" s="1" t="s">
        <v>443</v>
      </c>
    </row>
    <row r="290" customFormat="false" ht="15" hidden="false" customHeight="false" outlineLevel="0" collapsed="false">
      <c r="A290" s="1" t="s">
        <v>457</v>
      </c>
      <c r="B290" s="1" t="s">
        <v>443</v>
      </c>
      <c r="C290" s="1" t="s">
        <v>9</v>
      </c>
      <c r="D290" s="1" t="n">
        <v>0.1248</v>
      </c>
      <c r="E290" s="1" t="n">
        <v>0.2388</v>
      </c>
      <c r="F290" s="1" t="n">
        <v>0.1755</v>
      </c>
      <c r="G290" s="1" t="n">
        <v>39.75</v>
      </c>
      <c r="H290" s="1" t="n">
        <v>3.43</v>
      </c>
      <c r="I290" s="1" t="n">
        <v>2.73</v>
      </c>
      <c r="J290" s="1" t="n">
        <v>7.19</v>
      </c>
      <c r="K290" s="1" t="n">
        <v>20.18</v>
      </c>
      <c r="L290" s="1" t="n">
        <v>1.38</v>
      </c>
      <c r="M290" s="1" t="n">
        <v>2.12</v>
      </c>
      <c r="N290" s="1" t="n">
        <v>7</v>
      </c>
      <c r="O290" s="1" t="n">
        <v>2.94</v>
      </c>
      <c r="P290" s="1" t="n">
        <v>0.19</v>
      </c>
      <c r="Q290" s="1" t="n">
        <v>9.75</v>
      </c>
      <c r="R290" s="1" t="n">
        <v>97.1992</v>
      </c>
      <c r="S290" s="1" t="n">
        <v>0.0161</v>
      </c>
      <c r="T290" s="1" t="n">
        <v>0.0623</v>
      </c>
      <c r="U290" s="1" t="n">
        <v>0.0165</v>
      </c>
      <c r="V290" s="1" t="n">
        <v>94</v>
      </c>
      <c r="W290" s="1" t="n">
        <v>507</v>
      </c>
      <c r="X290" s="1" t="n">
        <v>107</v>
      </c>
      <c r="Y290" s="1" t="n">
        <v>10822</v>
      </c>
      <c r="Z290" s="1" t="n">
        <v>-468</v>
      </c>
      <c r="AA290" s="1" t="n">
        <v>-467</v>
      </c>
      <c r="AB290" s="1" t="n">
        <v>65.8</v>
      </c>
      <c r="AC290" s="1" t="s">
        <v>443</v>
      </c>
    </row>
    <row r="291" customFormat="false" ht="15" hidden="false" customHeight="false" outlineLevel="0" collapsed="false">
      <c r="A291" s="1" t="s">
        <v>458</v>
      </c>
      <c r="B291" s="1" t="s">
        <v>443</v>
      </c>
      <c r="C291" s="1" t="s">
        <v>9</v>
      </c>
      <c r="D291" s="1" t="n">
        <v>0.1221</v>
      </c>
      <c r="E291" s="1" t="n">
        <v>0.1714</v>
      </c>
      <c r="F291" s="1" t="n">
        <v>0.1429</v>
      </c>
      <c r="G291" s="1" t="n">
        <v>39.75</v>
      </c>
      <c r="H291" s="1" t="n">
        <v>3.43</v>
      </c>
      <c r="I291" s="1" t="n">
        <v>2.73</v>
      </c>
      <c r="J291" s="1" t="n">
        <v>7.19</v>
      </c>
      <c r="K291" s="1" t="n">
        <v>20.18</v>
      </c>
      <c r="L291" s="1" t="n">
        <v>1.38</v>
      </c>
      <c r="M291" s="1" t="n">
        <v>2.12</v>
      </c>
      <c r="N291" s="1" t="n">
        <v>7</v>
      </c>
      <c r="O291" s="1" t="n">
        <v>2.94</v>
      </c>
      <c r="P291" s="1" t="n">
        <v>0.19</v>
      </c>
      <c r="Q291" s="1" t="n">
        <v>9.75</v>
      </c>
      <c r="R291" s="1" t="n">
        <v>97.0964</v>
      </c>
      <c r="S291" s="1" t="n">
        <v>0.0161</v>
      </c>
      <c r="T291" s="1" t="n">
        <v>0.0612</v>
      </c>
      <c r="U291" s="1" t="n">
        <v>0.0159</v>
      </c>
      <c r="V291" s="1" t="n">
        <v>96</v>
      </c>
      <c r="W291" s="1" t="n">
        <v>568</v>
      </c>
      <c r="X291" s="1" t="n">
        <v>118</v>
      </c>
      <c r="Y291" s="1" t="n">
        <v>10781</v>
      </c>
      <c r="Z291" s="1" t="n">
        <v>-458</v>
      </c>
      <c r="AA291" s="1" t="n">
        <v>-467</v>
      </c>
      <c r="AB291" s="1" t="n">
        <v>76.24</v>
      </c>
      <c r="AC291" s="1" t="s">
        <v>443</v>
      </c>
    </row>
    <row r="292" customFormat="false" ht="15" hidden="false" customHeight="false" outlineLevel="0" collapsed="false">
      <c r="A292" s="1" t="s">
        <v>459</v>
      </c>
      <c r="B292" s="1" t="s">
        <v>443</v>
      </c>
      <c r="C292" s="1" t="s">
        <v>9</v>
      </c>
      <c r="D292" s="1" t="n">
        <v>0.1203</v>
      </c>
      <c r="E292" s="1" t="n">
        <v>0.209</v>
      </c>
      <c r="F292" s="1" t="n">
        <v>0.1636</v>
      </c>
      <c r="G292" s="1" t="n">
        <v>39.75</v>
      </c>
      <c r="H292" s="1" t="n">
        <v>3.43</v>
      </c>
      <c r="I292" s="1" t="n">
        <v>2.73</v>
      </c>
      <c r="J292" s="1" t="n">
        <v>7.19</v>
      </c>
      <c r="K292" s="1" t="n">
        <v>20.18</v>
      </c>
      <c r="L292" s="1" t="n">
        <v>1.38</v>
      </c>
      <c r="M292" s="1" t="n">
        <v>2.12</v>
      </c>
      <c r="N292" s="1" t="n">
        <v>7</v>
      </c>
      <c r="O292" s="1" t="n">
        <v>2.94</v>
      </c>
      <c r="P292" s="1" t="n">
        <v>0.19</v>
      </c>
      <c r="Q292" s="1" t="n">
        <v>9.75</v>
      </c>
      <c r="R292" s="1" t="n">
        <v>97.153</v>
      </c>
      <c r="S292" s="1" t="n">
        <v>0.0161</v>
      </c>
      <c r="T292" s="1" t="n">
        <v>0.0613</v>
      </c>
      <c r="U292" s="1" t="n">
        <v>0.0163</v>
      </c>
      <c r="V292" s="1" t="n">
        <v>99</v>
      </c>
      <c r="W292" s="1" t="n">
        <v>526</v>
      </c>
      <c r="X292" s="1" t="n">
        <v>111</v>
      </c>
      <c r="Y292" s="1" t="n">
        <v>10719</v>
      </c>
      <c r="Z292" s="1" t="n">
        <v>-408</v>
      </c>
      <c r="AA292" s="1" t="n">
        <v>-467</v>
      </c>
      <c r="AB292" s="1" t="n">
        <v>148.95</v>
      </c>
      <c r="AC292" s="1" t="s">
        <v>443</v>
      </c>
    </row>
    <row r="293" customFormat="false" ht="15" hidden="false" customHeight="false" outlineLevel="0" collapsed="false">
      <c r="C293" s="1" t="s">
        <v>43</v>
      </c>
      <c r="D293" s="5" t="n">
        <f aca="false">AVERAGE(D273:D292)*10000</f>
        <v>1218.05</v>
      </c>
      <c r="E293" s="5" t="n">
        <f aca="false">AVERAGE(E273:E292)*10000</f>
        <v>1898.45</v>
      </c>
      <c r="F293" s="5" t="n">
        <f aca="false">AVERAGE(F273:F292)*10000</f>
        <v>1573.2</v>
      </c>
      <c r="S293" s="5" t="n">
        <f aca="false">AVERAGE(S273:S292)*10000</f>
        <v>160.15</v>
      </c>
      <c r="T293" s="5" t="n">
        <f aca="false">AVERAGE(T273:T292)*10000</f>
        <v>599.6</v>
      </c>
      <c r="U293" s="5" t="n">
        <f aca="false">AVERAGE(U273:U292)*10000</f>
        <v>162.15</v>
      </c>
      <c r="V293" s="5" t="n">
        <f aca="false">AVERAGE(V273:V292)</f>
        <v>95.45</v>
      </c>
      <c r="W293" s="5" t="n">
        <f aca="false">AVERAGE(W273:W292)</f>
        <v>527.55</v>
      </c>
      <c r="X293" s="5" t="n">
        <f aca="false">AVERAGE(X273:X292)</f>
        <v>114.1</v>
      </c>
    </row>
    <row r="294" customFormat="false" ht="15" hidden="false" customHeight="false" outlineLevel="0" collapsed="false">
      <c r="C294" s="1" t="s">
        <v>44</v>
      </c>
      <c r="D294" s="5" t="n">
        <f aca="false">_xlfn.STDEV.P(D273:D292)*2*10000</f>
        <v>99.2199072767154</v>
      </c>
      <c r="E294" s="5" t="n">
        <f aca="false">_xlfn.STDEV.P(E273:E292)*2*10000</f>
        <v>528.011164654691</v>
      </c>
      <c r="F294" s="5" t="n">
        <f aca="false">_xlfn.STDEV.P(F273:F292)*2*10000</f>
        <v>126.971807894509</v>
      </c>
    </row>
    <row r="295" customFormat="false" ht="15" hidden="false" customHeight="false" outlineLevel="0" collapsed="false">
      <c r="C295" s="1" t="s">
        <v>45</v>
      </c>
      <c r="D295" s="5" t="n">
        <f aca="false">S293/3*2</f>
        <v>106.766666666667</v>
      </c>
      <c r="E295" s="5" t="n">
        <f aca="false">T293/3*2</f>
        <v>399.733333333333</v>
      </c>
      <c r="F295" s="5" t="n">
        <f aca="false">U293/3*2</f>
        <v>108.1</v>
      </c>
    </row>
    <row r="296" customFormat="false" ht="15" hidden="false" customHeight="false" outlineLevel="0" collapsed="false">
      <c r="C296" s="1" t="s">
        <v>46</v>
      </c>
      <c r="D296" s="5" t="n">
        <f aca="false">V293</f>
        <v>95.45</v>
      </c>
      <c r="E296" s="5" t="n">
        <f aca="false">W293</f>
        <v>527.55</v>
      </c>
      <c r="F296" s="5" t="n">
        <f aca="false">X293</f>
        <v>114.1</v>
      </c>
    </row>
    <row r="298" customFormat="false" ht="15" hidden="false" customHeight="false" outlineLevel="0" collapsed="false">
      <c r="A298" s="1" t="s">
        <v>184</v>
      </c>
      <c r="B298" s="1" t="s">
        <v>460</v>
      </c>
      <c r="C298" s="1" t="s">
        <v>60</v>
      </c>
      <c r="D298" s="1" t="n">
        <v>0.0378</v>
      </c>
      <c r="E298" s="1" t="n">
        <v>0.0866</v>
      </c>
      <c r="F298" s="1" t="n">
        <v>0.127</v>
      </c>
      <c r="G298" s="1" t="n">
        <v>43.05</v>
      </c>
      <c r="H298" s="1" t="n">
        <v>4.89</v>
      </c>
      <c r="I298" s="1" t="n">
        <v>0.84</v>
      </c>
      <c r="J298" s="1" t="n">
        <v>9.1</v>
      </c>
      <c r="K298" s="1" t="n">
        <v>25.3</v>
      </c>
      <c r="L298" s="1" t="n">
        <v>0.32</v>
      </c>
      <c r="M298" s="1" t="n">
        <v>3.42</v>
      </c>
      <c r="N298" s="1" t="n">
        <v>2.67</v>
      </c>
      <c r="O298" s="1" t="n">
        <v>0.89</v>
      </c>
      <c r="P298" s="1" t="n">
        <v>0.15</v>
      </c>
      <c r="Q298" s="1" t="n">
        <v>5.94</v>
      </c>
      <c r="R298" s="1" t="n">
        <v>96.8214</v>
      </c>
      <c r="S298" s="1" t="n">
        <v>0.0104</v>
      </c>
      <c r="T298" s="1" t="n">
        <v>0.0532</v>
      </c>
      <c r="U298" s="1" t="n">
        <v>0.015</v>
      </c>
      <c r="V298" s="1" t="n">
        <v>94</v>
      </c>
      <c r="W298" s="1" t="n">
        <v>548</v>
      </c>
      <c r="X298" s="1" t="n">
        <v>110</v>
      </c>
      <c r="Y298" s="1" t="n">
        <v>18928</v>
      </c>
      <c r="Z298" s="1" t="n">
        <v>7731</v>
      </c>
      <c r="AA298" s="1" t="n">
        <v>-495</v>
      </c>
      <c r="AB298" s="1" t="n">
        <v>0</v>
      </c>
      <c r="AC298" s="1" t="s">
        <v>460</v>
      </c>
    </row>
    <row r="299" customFormat="false" ht="15" hidden="false" customHeight="false" outlineLevel="0" collapsed="false">
      <c r="A299" s="1" t="s">
        <v>461</v>
      </c>
      <c r="B299" s="1" t="s">
        <v>460</v>
      </c>
      <c r="C299" s="1" t="s">
        <v>60</v>
      </c>
      <c r="D299" s="1" t="n">
        <v>0.0327</v>
      </c>
      <c r="E299" s="1" t="n">
        <v>0.1185</v>
      </c>
      <c r="F299" s="1" t="n">
        <v>0.1245</v>
      </c>
      <c r="G299" s="1" t="n">
        <v>43.05</v>
      </c>
      <c r="H299" s="1" t="n">
        <v>4.89</v>
      </c>
      <c r="I299" s="1" t="n">
        <v>0.84</v>
      </c>
      <c r="J299" s="1" t="n">
        <v>9.1</v>
      </c>
      <c r="K299" s="1" t="n">
        <v>25.3</v>
      </c>
      <c r="L299" s="1" t="n">
        <v>0.32</v>
      </c>
      <c r="M299" s="1" t="n">
        <v>3.42</v>
      </c>
      <c r="N299" s="1" t="n">
        <v>2.67</v>
      </c>
      <c r="O299" s="1" t="n">
        <v>0.89</v>
      </c>
      <c r="P299" s="1" t="n">
        <v>0.15</v>
      </c>
      <c r="Q299" s="1" t="n">
        <v>5.94</v>
      </c>
      <c r="R299" s="1" t="n">
        <v>96.8457</v>
      </c>
      <c r="S299" s="1" t="n">
        <v>0.0102</v>
      </c>
      <c r="T299" s="1" t="n">
        <v>0.0523</v>
      </c>
      <c r="U299" s="1" t="n">
        <v>0.0152</v>
      </c>
      <c r="V299" s="1" t="n">
        <v>95</v>
      </c>
      <c r="W299" s="1" t="n">
        <v>496</v>
      </c>
      <c r="X299" s="1" t="n">
        <v>116</v>
      </c>
      <c r="Y299" s="1" t="n">
        <v>18925</v>
      </c>
      <c r="Z299" s="1" t="n">
        <v>7761</v>
      </c>
      <c r="AA299" s="1" t="n">
        <v>-495</v>
      </c>
      <c r="AB299" s="1" t="n">
        <v>30.15</v>
      </c>
      <c r="AC299" s="1" t="s">
        <v>460</v>
      </c>
    </row>
    <row r="300" customFormat="false" ht="15" hidden="false" customHeight="false" outlineLevel="0" collapsed="false">
      <c r="A300" s="1" t="s">
        <v>462</v>
      </c>
      <c r="B300" s="1" t="s">
        <v>460</v>
      </c>
      <c r="C300" s="1" t="s">
        <v>60</v>
      </c>
      <c r="D300" s="1" t="n">
        <v>0.0358</v>
      </c>
      <c r="E300" s="1" t="n">
        <v>0.1414</v>
      </c>
      <c r="F300" s="1" t="n">
        <v>0.1218</v>
      </c>
      <c r="G300" s="1" t="n">
        <v>43.05</v>
      </c>
      <c r="H300" s="1" t="n">
        <v>4.89</v>
      </c>
      <c r="I300" s="1" t="n">
        <v>0.84</v>
      </c>
      <c r="J300" s="1" t="n">
        <v>9.1</v>
      </c>
      <c r="K300" s="1" t="n">
        <v>25.3</v>
      </c>
      <c r="L300" s="1" t="n">
        <v>0.32</v>
      </c>
      <c r="M300" s="1" t="n">
        <v>3.42</v>
      </c>
      <c r="N300" s="1" t="n">
        <v>2.67</v>
      </c>
      <c r="O300" s="1" t="n">
        <v>0.89</v>
      </c>
      <c r="P300" s="1" t="n">
        <v>0.15</v>
      </c>
      <c r="Q300" s="1" t="n">
        <v>5.94</v>
      </c>
      <c r="R300" s="1" t="n">
        <v>96.869</v>
      </c>
      <c r="S300" s="1" t="n">
        <v>0.0107</v>
      </c>
      <c r="T300" s="1" t="n">
        <v>0.0548</v>
      </c>
      <c r="U300" s="1" t="n">
        <v>0.0149</v>
      </c>
      <c r="V300" s="1" t="n">
        <v>100</v>
      </c>
      <c r="W300" s="1" t="n">
        <v>504</v>
      </c>
      <c r="X300" s="1" t="n">
        <v>113</v>
      </c>
      <c r="Y300" s="1" t="n">
        <v>18912</v>
      </c>
      <c r="Z300" s="1" t="n">
        <v>7788</v>
      </c>
      <c r="AA300" s="1" t="n">
        <v>-495</v>
      </c>
      <c r="AB300" s="1" t="n">
        <v>59.2</v>
      </c>
      <c r="AC300" s="1" t="s">
        <v>460</v>
      </c>
    </row>
    <row r="301" customFormat="false" ht="15" hidden="false" customHeight="false" outlineLevel="0" collapsed="false">
      <c r="A301" s="1" t="s">
        <v>463</v>
      </c>
      <c r="B301" s="1" t="s">
        <v>460</v>
      </c>
      <c r="C301" s="1" t="s">
        <v>60</v>
      </c>
      <c r="D301" s="1" t="n">
        <v>0.0454</v>
      </c>
      <c r="E301" s="1" t="n">
        <v>0.1215</v>
      </c>
      <c r="F301" s="1" t="n">
        <v>0.1212</v>
      </c>
      <c r="G301" s="1" t="n">
        <v>43.05</v>
      </c>
      <c r="H301" s="1" t="n">
        <v>4.89</v>
      </c>
      <c r="I301" s="1" t="n">
        <v>0.84</v>
      </c>
      <c r="J301" s="1" t="n">
        <v>9.1</v>
      </c>
      <c r="K301" s="1" t="n">
        <v>25.3</v>
      </c>
      <c r="L301" s="1" t="n">
        <v>0.32</v>
      </c>
      <c r="M301" s="1" t="n">
        <v>3.42</v>
      </c>
      <c r="N301" s="1" t="n">
        <v>2.67</v>
      </c>
      <c r="O301" s="1" t="n">
        <v>0.89</v>
      </c>
      <c r="P301" s="1" t="n">
        <v>0.15</v>
      </c>
      <c r="Q301" s="1" t="n">
        <v>5.94</v>
      </c>
      <c r="R301" s="1" t="n">
        <v>96.8581</v>
      </c>
      <c r="S301" s="1" t="n">
        <v>0.0106</v>
      </c>
      <c r="T301" s="1" t="n">
        <v>0.0533</v>
      </c>
      <c r="U301" s="1" t="n">
        <v>0.0148</v>
      </c>
      <c r="V301" s="1" t="n">
        <v>87</v>
      </c>
      <c r="W301" s="1" t="n">
        <v>507</v>
      </c>
      <c r="X301" s="1" t="n">
        <v>111</v>
      </c>
      <c r="Y301" s="1" t="n">
        <v>18890</v>
      </c>
      <c r="Z301" s="1" t="n">
        <v>7818</v>
      </c>
      <c r="AA301" s="1" t="n">
        <v>-495</v>
      </c>
      <c r="AB301" s="1" t="n">
        <v>94.94</v>
      </c>
      <c r="AC301" s="1" t="s">
        <v>460</v>
      </c>
    </row>
    <row r="302" customFormat="false" ht="15" hidden="false" customHeight="false" outlineLevel="0" collapsed="false">
      <c r="A302" s="1" t="s">
        <v>464</v>
      </c>
      <c r="B302" s="1" t="s">
        <v>460</v>
      </c>
      <c r="C302" s="1" t="s">
        <v>60</v>
      </c>
      <c r="D302" s="1" t="n">
        <v>0.0438</v>
      </c>
      <c r="E302" s="1" t="n">
        <v>0.1533</v>
      </c>
      <c r="F302" s="1" t="n">
        <v>0.1302</v>
      </c>
      <c r="G302" s="1" t="n">
        <v>43.05</v>
      </c>
      <c r="H302" s="1" t="n">
        <v>4.89</v>
      </c>
      <c r="I302" s="1" t="n">
        <v>0.84</v>
      </c>
      <c r="J302" s="1" t="n">
        <v>9.1</v>
      </c>
      <c r="K302" s="1" t="n">
        <v>25.3</v>
      </c>
      <c r="L302" s="1" t="n">
        <v>0.32</v>
      </c>
      <c r="M302" s="1" t="n">
        <v>3.42</v>
      </c>
      <c r="N302" s="1" t="n">
        <v>2.67</v>
      </c>
      <c r="O302" s="1" t="n">
        <v>0.89</v>
      </c>
      <c r="P302" s="1" t="n">
        <v>0.15</v>
      </c>
      <c r="Q302" s="1" t="n">
        <v>5.94</v>
      </c>
      <c r="R302" s="1" t="n">
        <v>96.8974</v>
      </c>
      <c r="S302" s="1" t="n">
        <v>0.0107</v>
      </c>
      <c r="T302" s="1" t="n">
        <v>0.0546</v>
      </c>
      <c r="U302" s="1" t="n">
        <v>0.0151</v>
      </c>
      <c r="V302" s="1" t="n">
        <v>91</v>
      </c>
      <c r="W302" s="1" t="n">
        <v>486</v>
      </c>
      <c r="X302" s="1" t="n">
        <v>109</v>
      </c>
      <c r="Y302" s="1" t="n">
        <v>18877</v>
      </c>
      <c r="Z302" s="1" t="n">
        <v>7843</v>
      </c>
      <c r="AA302" s="1" t="n">
        <v>-495</v>
      </c>
      <c r="AB302" s="1" t="n">
        <v>123.07</v>
      </c>
      <c r="AC302" s="1" t="s">
        <v>460</v>
      </c>
    </row>
    <row r="303" customFormat="false" ht="15" hidden="false" customHeight="false" outlineLevel="0" collapsed="false">
      <c r="A303" s="1" t="s">
        <v>189</v>
      </c>
      <c r="B303" s="1" t="s">
        <v>460</v>
      </c>
      <c r="C303" s="1" t="s">
        <v>60</v>
      </c>
      <c r="D303" s="1" t="n">
        <v>0.0432</v>
      </c>
      <c r="E303" s="1" t="n">
        <v>0.0946</v>
      </c>
      <c r="F303" s="1" t="n">
        <v>0.1256</v>
      </c>
      <c r="G303" s="1" t="n">
        <v>43.05</v>
      </c>
      <c r="H303" s="1" t="n">
        <v>4.89</v>
      </c>
      <c r="I303" s="1" t="n">
        <v>0.84</v>
      </c>
      <c r="J303" s="1" t="n">
        <v>9.1</v>
      </c>
      <c r="K303" s="1" t="n">
        <v>25.3</v>
      </c>
      <c r="L303" s="1" t="n">
        <v>0.32</v>
      </c>
      <c r="M303" s="1" t="n">
        <v>3.42</v>
      </c>
      <c r="N303" s="1" t="n">
        <v>2.67</v>
      </c>
      <c r="O303" s="1" t="n">
        <v>0.89</v>
      </c>
      <c r="P303" s="1" t="n">
        <v>0.15</v>
      </c>
      <c r="Q303" s="1" t="n">
        <v>5.94</v>
      </c>
      <c r="R303" s="1" t="n">
        <v>96.8334</v>
      </c>
      <c r="S303" s="1" t="n">
        <v>0.0105</v>
      </c>
      <c r="T303" s="1" t="n">
        <v>0.0524</v>
      </c>
      <c r="U303" s="1" t="n">
        <v>0.015</v>
      </c>
      <c r="V303" s="1" t="n">
        <v>89</v>
      </c>
      <c r="W303" s="1" t="n">
        <v>527</v>
      </c>
      <c r="X303" s="1" t="n">
        <v>110</v>
      </c>
      <c r="Y303" s="1" t="n">
        <v>18843</v>
      </c>
      <c r="Z303" s="1" t="n">
        <v>7851</v>
      </c>
      <c r="AA303" s="1" t="n">
        <v>-495</v>
      </c>
      <c r="AB303" s="1" t="n">
        <v>0</v>
      </c>
      <c r="AC303" s="1" t="s">
        <v>460</v>
      </c>
    </row>
    <row r="304" customFormat="false" ht="15" hidden="false" customHeight="false" outlineLevel="0" collapsed="false">
      <c r="A304" s="1" t="s">
        <v>465</v>
      </c>
      <c r="B304" s="1" t="s">
        <v>460</v>
      </c>
      <c r="C304" s="1" t="s">
        <v>60</v>
      </c>
      <c r="D304" s="1" t="n">
        <v>0.0381</v>
      </c>
      <c r="E304" s="1" t="n">
        <v>0.1225</v>
      </c>
      <c r="F304" s="1" t="n">
        <v>0.1246</v>
      </c>
      <c r="G304" s="1" t="n">
        <v>43.05</v>
      </c>
      <c r="H304" s="1" t="n">
        <v>4.89</v>
      </c>
      <c r="I304" s="1" t="n">
        <v>0.84</v>
      </c>
      <c r="J304" s="1" t="n">
        <v>9.1</v>
      </c>
      <c r="K304" s="1" t="n">
        <v>25.3</v>
      </c>
      <c r="L304" s="1" t="n">
        <v>0.32</v>
      </c>
      <c r="M304" s="1" t="n">
        <v>3.42</v>
      </c>
      <c r="N304" s="1" t="n">
        <v>2.67</v>
      </c>
      <c r="O304" s="1" t="n">
        <v>0.89</v>
      </c>
      <c r="P304" s="1" t="n">
        <v>0.15</v>
      </c>
      <c r="Q304" s="1" t="n">
        <v>5.94</v>
      </c>
      <c r="R304" s="1" t="n">
        <v>96.8553</v>
      </c>
      <c r="S304" s="1" t="n">
        <v>0.0105</v>
      </c>
      <c r="T304" s="1" t="n">
        <v>0.0494</v>
      </c>
      <c r="U304" s="1" t="n">
        <v>0.015</v>
      </c>
      <c r="V304" s="1" t="n">
        <v>94</v>
      </c>
      <c r="W304" s="1" t="n">
        <v>445</v>
      </c>
      <c r="X304" s="1" t="n">
        <v>113</v>
      </c>
      <c r="Y304" s="1" t="n">
        <v>18816</v>
      </c>
      <c r="Z304" s="1" t="n">
        <v>7861</v>
      </c>
      <c r="AA304" s="1" t="n">
        <v>-495</v>
      </c>
      <c r="AB304" s="1" t="n">
        <v>28.79</v>
      </c>
      <c r="AC304" s="1" t="s">
        <v>460</v>
      </c>
    </row>
    <row r="305" customFormat="false" ht="15" hidden="false" customHeight="false" outlineLevel="0" collapsed="false">
      <c r="A305" s="1" t="s">
        <v>466</v>
      </c>
      <c r="B305" s="1" t="s">
        <v>460</v>
      </c>
      <c r="C305" s="1" t="s">
        <v>60</v>
      </c>
      <c r="D305" s="1" t="n">
        <v>0.0378</v>
      </c>
      <c r="E305" s="1" t="n">
        <v>0.1036</v>
      </c>
      <c r="F305" s="1" t="n">
        <v>0.1265</v>
      </c>
      <c r="G305" s="1" t="n">
        <v>43.05</v>
      </c>
      <c r="H305" s="1" t="n">
        <v>4.89</v>
      </c>
      <c r="I305" s="1" t="n">
        <v>0.84</v>
      </c>
      <c r="J305" s="1" t="n">
        <v>9.1</v>
      </c>
      <c r="K305" s="1" t="n">
        <v>25.3</v>
      </c>
      <c r="L305" s="1" t="n">
        <v>0.32</v>
      </c>
      <c r="M305" s="1" t="n">
        <v>3.42</v>
      </c>
      <c r="N305" s="1" t="n">
        <v>2.67</v>
      </c>
      <c r="O305" s="1" t="n">
        <v>0.89</v>
      </c>
      <c r="P305" s="1" t="n">
        <v>0.15</v>
      </c>
      <c r="Q305" s="1" t="n">
        <v>5.94</v>
      </c>
      <c r="R305" s="1" t="n">
        <v>96.838</v>
      </c>
      <c r="S305" s="1" t="n">
        <v>0.0102</v>
      </c>
      <c r="T305" s="1" t="n">
        <v>0.0561</v>
      </c>
      <c r="U305" s="1" t="n">
        <v>0.0151</v>
      </c>
      <c r="V305" s="1" t="n">
        <v>90</v>
      </c>
      <c r="W305" s="1" t="n">
        <v>569</v>
      </c>
      <c r="X305" s="1" t="n">
        <v>113</v>
      </c>
      <c r="Y305" s="1" t="n">
        <v>18789</v>
      </c>
      <c r="Z305" s="1" t="n">
        <v>7871</v>
      </c>
      <c r="AA305" s="1" t="n">
        <v>-495</v>
      </c>
      <c r="AB305" s="1" t="n">
        <v>57.58</v>
      </c>
      <c r="AC305" s="1" t="s">
        <v>460</v>
      </c>
    </row>
    <row r="306" customFormat="false" ht="15" hidden="false" customHeight="false" outlineLevel="0" collapsed="false">
      <c r="A306" s="1" t="s">
        <v>467</v>
      </c>
      <c r="B306" s="1" t="s">
        <v>460</v>
      </c>
      <c r="C306" s="1" t="s">
        <v>60</v>
      </c>
      <c r="D306" s="1" t="n">
        <v>0.0386</v>
      </c>
      <c r="E306" s="1" t="n">
        <v>0.1355</v>
      </c>
      <c r="F306" s="1" t="n">
        <v>0.1248</v>
      </c>
      <c r="G306" s="1" t="n">
        <v>43.05</v>
      </c>
      <c r="H306" s="1" t="n">
        <v>4.89</v>
      </c>
      <c r="I306" s="1" t="n">
        <v>0.84</v>
      </c>
      <c r="J306" s="1" t="n">
        <v>9.1</v>
      </c>
      <c r="K306" s="1" t="n">
        <v>25.3</v>
      </c>
      <c r="L306" s="1" t="n">
        <v>0.32</v>
      </c>
      <c r="M306" s="1" t="n">
        <v>3.42</v>
      </c>
      <c r="N306" s="1" t="n">
        <v>2.67</v>
      </c>
      <c r="O306" s="1" t="n">
        <v>0.89</v>
      </c>
      <c r="P306" s="1" t="n">
        <v>0.15</v>
      </c>
      <c r="Q306" s="1" t="n">
        <v>5.94</v>
      </c>
      <c r="R306" s="1" t="n">
        <v>96.8689</v>
      </c>
      <c r="S306" s="1" t="n">
        <v>0.0106</v>
      </c>
      <c r="T306" s="1" t="n">
        <v>0.0577</v>
      </c>
      <c r="U306" s="1" t="n">
        <v>0.015</v>
      </c>
      <c r="V306" s="1" t="n">
        <v>95</v>
      </c>
      <c r="W306" s="1" t="n">
        <v>556</v>
      </c>
      <c r="X306" s="1" t="n">
        <v>113</v>
      </c>
      <c r="Y306" s="1" t="n">
        <v>18755</v>
      </c>
      <c r="Z306" s="1" t="n">
        <v>7871</v>
      </c>
      <c r="AA306" s="1" t="n">
        <v>-495</v>
      </c>
      <c r="AB306" s="1" t="n">
        <v>90.24</v>
      </c>
      <c r="AC306" s="1" t="s">
        <v>460</v>
      </c>
    </row>
    <row r="307" customFormat="false" ht="15" hidden="false" customHeight="false" outlineLevel="0" collapsed="false">
      <c r="A307" s="1" t="s">
        <v>468</v>
      </c>
      <c r="B307" s="1" t="s">
        <v>460</v>
      </c>
      <c r="C307" s="1" t="s">
        <v>60</v>
      </c>
      <c r="D307" s="1" t="n">
        <v>0.0389</v>
      </c>
      <c r="E307" s="1" t="n">
        <v>0.1216</v>
      </c>
      <c r="F307" s="1" t="n">
        <v>0.1203</v>
      </c>
      <c r="G307" s="1" t="n">
        <v>43.05</v>
      </c>
      <c r="H307" s="1" t="n">
        <v>4.89</v>
      </c>
      <c r="I307" s="1" t="n">
        <v>0.84</v>
      </c>
      <c r="J307" s="1" t="n">
        <v>9.1</v>
      </c>
      <c r="K307" s="1" t="n">
        <v>25.3</v>
      </c>
      <c r="L307" s="1" t="n">
        <v>0.32</v>
      </c>
      <c r="M307" s="1" t="n">
        <v>3.42</v>
      </c>
      <c r="N307" s="1" t="n">
        <v>2.67</v>
      </c>
      <c r="O307" s="1" t="n">
        <v>0.89</v>
      </c>
      <c r="P307" s="1" t="n">
        <v>0.15</v>
      </c>
      <c r="Q307" s="1" t="n">
        <v>5.94</v>
      </c>
      <c r="R307" s="1" t="n">
        <v>96.8508</v>
      </c>
      <c r="S307" s="1" t="n">
        <v>0.0104</v>
      </c>
      <c r="T307" s="1" t="n">
        <v>0.0543</v>
      </c>
      <c r="U307" s="1" t="n">
        <v>0.0147</v>
      </c>
      <c r="V307" s="1" t="n">
        <v>91</v>
      </c>
      <c r="W307" s="1" t="n">
        <v>522</v>
      </c>
      <c r="X307" s="1" t="n">
        <v>109</v>
      </c>
      <c r="Y307" s="1" t="n">
        <v>18719</v>
      </c>
      <c r="Z307" s="1" t="n">
        <v>7871</v>
      </c>
      <c r="AA307" s="1" t="n">
        <v>-495</v>
      </c>
      <c r="AB307" s="1" t="n">
        <v>125.6</v>
      </c>
      <c r="AC307" s="1" t="s">
        <v>460</v>
      </c>
    </row>
    <row r="308" customFormat="false" ht="15" hidden="false" customHeight="false" outlineLevel="0" collapsed="false">
      <c r="A308" s="1" t="s">
        <v>179</v>
      </c>
      <c r="B308" s="1" t="s">
        <v>460</v>
      </c>
      <c r="C308" s="1" t="s">
        <v>60</v>
      </c>
      <c r="D308" s="1" t="n">
        <v>0.0344</v>
      </c>
      <c r="E308" s="1" t="n">
        <v>0.1167</v>
      </c>
      <c r="F308" s="1" t="n">
        <v>0.1177</v>
      </c>
      <c r="G308" s="1" t="n">
        <v>43.05</v>
      </c>
      <c r="H308" s="1" t="n">
        <v>4.89</v>
      </c>
      <c r="I308" s="1" t="n">
        <v>0.84</v>
      </c>
      <c r="J308" s="1" t="n">
        <v>9.1</v>
      </c>
      <c r="K308" s="1" t="n">
        <v>25.3</v>
      </c>
      <c r="L308" s="1" t="n">
        <v>0.32</v>
      </c>
      <c r="M308" s="1" t="n">
        <v>3.42</v>
      </c>
      <c r="N308" s="1" t="n">
        <v>2.67</v>
      </c>
      <c r="O308" s="1" t="n">
        <v>0.89</v>
      </c>
      <c r="P308" s="1" t="n">
        <v>0.15</v>
      </c>
      <c r="Q308" s="1" t="n">
        <v>5.94</v>
      </c>
      <c r="R308" s="1" t="n">
        <v>96.8388</v>
      </c>
      <c r="S308" s="1" t="n">
        <v>0.0103</v>
      </c>
      <c r="T308" s="1" t="n">
        <v>0.0503</v>
      </c>
      <c r="U308" s="1" t="n">
        <v>0.0149</v>
      </c>
      <c r="V308" s="1" t="n">
        <v>95</v>
      </c>
      <c r="W308" s="1" t="n">
        <v>468</v>
      </c>
      <c r="X308" s="1" t="n">
        <v>116</v>
      </c>
      <c r="Y308" s="1" t="n">
        <v>19956</v>
      </c>
      <c r="Z308" s="1" t="n">
        <v>7416</v>
      </c>
      <c r="AA308" s="1" t="n">
        <v>-500</v>
      </c>
      <c r="AB308" s="1" t="n">
        <v>0</v>
      </c>
      <c r="AC308" s="1" t="s">
        <v>460</v>
      </c>
    </row>
    <row r="309" customFormat="false" ht="15" hidden="false" customHeight="false" outlineLevel="0" collapsed="false">
      <c r="A309" s="1" t="s">
        <v>469</v>
      </c>
      <c r="B309" s="1" t="s">
        <v>460</v>
      </c>
      <c r="C309" s="1" t="s">
        <v>60</v>
      </c>
      <c r="D309" s="1" t="n">
        <v>0.0417</v>
      </c>
      <c r="E309" s="1" t="n">
        <v>0.1256</v>
      </c>
      <c r="F309" s="1" t="n">
        <v>0.1259</v>
      </c>
      <c r="G309" s="1" t="n">
        <v>43.05</v>
      </c>
      <c r="H309" s="1" t="n">
        <v>4.89</v>
      </c>
      <c r="I309" s="1" t="n">
        <v>0.84</v>
      </c>
      <c r="J309" s="1" t="n">
        <v>9.1</v>
      </c>
      <c r="K309" s="1" t="n">
        <v>25.3</v>
      </c>
      <c r="L309" s="1" t="n">
        <v>0.32</v>
      </c>
      <c r="M309" s="1" t="n">
        <v>3.42</v>
      </c>
      <c r="N309" s="1" t="n">
        <v>2.67</v>
      </c>
      <c r="O309" s="1" t="n">
        <v>0.89</v>
      </c>
      <c r="P309" s="1" t="n">
        <v>0.15</v>
      </c>
      <c r="Q309" s="1" t="n">
        <v>5.94</v>
      </c>
      <c r="R309" s="1" t="n">
        <v>96.8632</v>
      </c>
      <c r="S309" s="1" t="n">
        <v>0.0101</v>
      </c>
      <c r="T309" s="1" t="n">
        <v>0.0558</v>
      </c>
      <c r="U309" s="1" t="n">
        <v>0.015</v>
      </c>
      <c r="V309" s="1" t="n">
        <v>84</v>
      </c>
      <c r="W309" s="1" t="n">
        <v>539</v>
      </c>
      <c r="X309" s="1" t="n">
        <v>111</v>
      </c>
      <c r="Y309" s="1" t="n">
        <v>19977</v>
      </c>
      <c r="Z309" s="1" t="n">
        <v>7439</v>
      </c>
      <c r="AA309" s="1" t="n">
        <v>-500</v>
      </c>
      <c r="AB309" s="1" t="n">
        <v>31.14</v>
      </c>
      <c r="AC309" s="1" t="s">
        <v>460</v>
      </c>
    </row>
    <row r="310" customFormat="false" ht="15" hidden="false" customHeight="false" outlineLevel="0" collapsed="false">
      <c r="A310" s="1" t="s">
        <v>470</v>
      </c>
      <c r="B310" s="1" t="s">
        <v>460</v>
      </c>
      <c r="C310" s="1" t="s">
        <v>60</v>
      </c>
      <c r="D310" s="1" t="n">
        <v>0.0362</v>
      </c>
      <c r="E310" s="1" t="n">
        <v>0.1406</v>
      </c>
      <c r="F310" s="1" t="n">
        <v>0.1194</v>
      </c>
      <c r="G310" s="1" t="n">
        <v>43.05</v>
      </c>
      <c r="H310" s="1" t="n">
        <v>4.89</v>
      </c>
      <c r="I310" s="1" t="n">
        <v>0.84</v>
      </c>
      <c r="J310" s="1" t="n">
        <v>9.1</v>
      </c>
      <c r="K310" s="1" t="n">
        <v>25.3</v>
      </c>
      <c r="L310" s="1" t="n">
        <v>0.32</v>
      </c>
      <c r="M310" s="1" t="n">
        <v>3.42</v>
      </c>
      <c r="N310" s="1" t="n">
        <v>2.67</v>
      </c>
      <c r="O310" s="1" t="n">
        <v>0.89</v>
      </c>
      <c r="P310" s="1" t="n">
        <v>0.15</v>
      </c>
      <c r="Q310" s="1" t="n">
        <v>5.94</v>
      </c>
      <c r="R310" s="1" t="n">
        <v>96.8662</v>
      </c>
      <c r="S310" s="1" t="n">
        <v>0.0106</v>
      </c>
      <c r="T310" s="1" t="n">
        <v>0.0536</v>
      </c>
      <c r="U310" s="1" t="n">
        <v>0.015</v>
      </c>
      <c r="V310" s="1" t="n">
        <v>97</v>
      </c>
      <c r="W310" s="1" t="n">
        <v>487</v>
      </c>
      <c r="X310" s="1" t="n">
        <v>115</v>
      </c>
      <c r="Y310" s="1" t="n">
        <v>19985</v>
      </c>
      <c r="Z310" s="1" t="n">
        <v>7464</v>
      </c>
      <c r="AA310" s="1" t="n">
        <v>-500</v>
      </c>
      <c r="AB310" s="1" t="n">
        <v>56.08</v>
      </c>
      <c r="AC310" s="1" t="s">
        <v>460</v>
      </c>
    </row>
    <row r="311" customFormat="false" ht="15" hidden="false" customHeight="false" outlineLevel="0" collapsed="false">
      <c r="A311" s="1" t="s">
        <v>471</v>
      </c>
      <c r="B311" s="1" t="s">
        <v>460</v>
      </c>
      <c r="C311" s="1" t="s">
        <v>60</v>
      </c>
      <c r="D311" s="1" t="n">
        <v>0.0353</v>
      </c>
      <c r="E311" s="1" t="n">
        <v>0.1475</v>
      </c>
      <c r="F311" s="1" t="n">
        <v>0.137</v>
      </c>
      <c r="G311" s="1" t="n">
        <v>43.05</v>
      </c>
      <c r="H311" s="1" t="n">
        <v>4.89</v>
      </c>
      <c r="I311" s="1" t="n">
        <v>0.84</v>
      </c>
      <c r="J311" s="1" t="n">
        <v>9.1</v>
      </c>
      <c r="K311" s="1" t="n">
        <v>25.3</v>
      </c>
      <c r="L311" s="1" t="n">
        <v>0.32</v>
      </c>
      <c r="M311" s="1" t="n">
        <v>3.42</v>
      </c>
      <c r="N311" s="1" t="n">
        <v>2.67</v>
      </c>
      <c r="O311" s="1" t="n">
        <v>0.89</v>
      </c>
      <c r="P311" s="1" t="n">
        <v>0.15</v>
      </c>
      <c r="Q311" s="1" t="n">
        <v>5.94</v>
      </c>
      <c r="R311" s="1" t="n">
        <v>96.8899</v>
      </c>
      <c r="S311" s="1" t="n">
        <v>0.0103</v>
      </c>
      <c r="T311" s="1" t="n">
        <v>0.0566</v>
      </c>
      <c r="U311" s="1" t="n">
        <v>0.0154</v>
      </c>
      <c r="V311" s="1" t="n">
        <v>94</v>
      </c>
      <c r="W311" s="1" t="n">
        <v>525</v>
      </c>
      <c r="X311" s="1" t="n">
        <v>111</v>
      </c>
      <c r="Y311" s="1" t="n">
        <v>19999</v>
      </c>
      <c r="Z311" s="1" t="n">
        <v>7498</v>
      </c>
      <c r="AA311" s="1" t="n">
        <v>-500</v>
      </c>
      <c r="AB311" s="1" t="n">
        <v>92.59</v>
      </c>
      <c r="AC311" s="1" t="s">
        <v>460</v>
      </c>
    </row>
    <row r="312" customFormat="false" ht="15" hidden="false" customHeight="false" outlineLevel="0" collapsed="false">
      <c r="A312" s="1" t="s">
        <v>472</v>
      </c>
      <c r="B312" s="1" t="s">
        <v>460</v>
      </c>
      <c r="C312" s="1" t="s">
        <v>60</v>
      </c>
      <c r="D312" s="1" t="n">
        <v>0.0426</v>
      </c>
      <c r="E312" s="1" t="n">
        <v>0.1187</v>
      </c>
      <c r="F312" s="1" t="n">
        <v>0.1208</v>
      </c>
      <c r="G312" s="1" t="n">
        <v>43.05</v>
      </c>
      <c r="H312" s="1" t="n">
        <v>4.89</v>
      </c>
      <c r="I312" s="1" t="n">
        <v>0.84</v>
      </c>
      <c r="J312" s="1" t="n">
        <v>9.1</v>
      </c>
      <c r="K312" s="1" t="n">
        <v>25.3</v>
      </c>
      <c r="L312" s="1" t="n">
        <v>0.32</v>
      </c>
      <c r="M312" s="1" t="n">
        <v>3.42</v>
      </c>
      <c r="N312" s="1" t="n">
        <v>2.67</v>
      </c>
      <c r="O312" s="1" t="n">
        <v>0.89</v>
      </c>
      <c r="P312" s="1" t="n">
        <v>0.15</v>
      </c>
      <c r="Q312" s="1" t="n">
        <v>5.94</v>
      </c>
      <c r="R312" s="1" t="n">
        <v>96.852</v>
      </c>
      <c r="S312" s="1" t="n">
        <v>0.0105</v>
      </c>
      <c r="T312" s="1" t="n">
        <v>0.0531</v>
      </c>
      <c r="U312" s="1" t="n">
        <v>0.0152</v>
      </c>
      <c r="V312" s="1" t="n">
        <v>90</v>
      </c>
      <c r="W312" s="1" t="n">
        <v>507</v>
      </c>
      <c r="X312" s="1" t="n">
        <v>119</v>
      </c>
      <c r="Y312" s="1" t="n">
        <v>19954</v>
      </c>
      <c r="Z312" s="1" t="n">
        <v>7483</v>
      </c>
      <c r="AA312" s="1" t="n">
        <v>-500</v>
      </c>
      <c r="AB312" s="1" t="n">
        <v>67.03</v>
      </c>
      <c r="AC312" s="1" t="s">
        <v>460</v>
      </c>
    </row>
    <row r="313" customFormat="false" ht="15" hidden="false" customHeight="false" outlineLevel="0" collapsed="false">
      <c r="A313" s="1" t="s">
        <v>183</v>
      </c>
      <c r="B313" s="1" t="s">
        <v>460</v>
      </c>
      <c r="C313" s="1" t="s">
        <v>60</v>
      </c>
      <c r="D313" s="1" t="n">
        <v>0.0385</v>
      </c>
      <c r="E313" s="1" t="n">
        <v>0.1174</v>
      </c>
      <c r="F313" s="1" t="n">
        <v>0.1233</v>
      </c>
      <c r="G313" s="1" t="n">
        <v>43.05</v>
      </c>
      <c r="H313" s="1" t="n">
        <v>4.89</v>
      </c>
      <c r="I313" s="1" t="n">
        <v>0.84</v>
      </c>
      <c r="J313" s="1" t="n">
        <v>9.1</v>
      </c>
      <c r="K313" s="1" t="n">
        <v>25.3</v>
      </c>
      <c r="L313" s="1" t="n">
        <v>0.32</v>
      </c>
      <c r="M313" s="1" t="n">
        <v>3.42</v>
      </c>
      <c r="N313" s="1" t="n">
        <v>2.67</v>
      </c>
      <c r="O313" s="1" t="n">
        <v>0.89</v>
      </c>
      <c r="P313" s="1" t="n">
        <v>0.15</v>
      </c>
      <c r="Q313" s="1" t="n">
        <v>5.94</v>
      </c>
      <c r="R313" s="1" t="n">
        <v>96.8493</v>
      </c>
      <c r="S313" s="1" t="n">
        <v>0.0102</v>
      </c>
      <c r="T313" s="1" t="n">
        <v>0.0529</v>
      </c>
      <c r="U313" s="1" t="n">
        <v>0.015</v>
      </c>
      <c r="V313" s="1" t="n">
        <v>89</v>
      </c>
      <c r="W313" s="1" t="n">
        <v>506</v>
      </c>
      <c r="X313" s="1" t="n">
        <v>113</v>
      </c>
      <c r="Y313" s="1" t="n">
        <v>19923</v>
      </c>
      <c r="Z313" s="1" t="n">
        <v>7478</v>
      </c>
      <c r="AA313" s="1" t="n">
        <v>-500</v>
      </c>
      <c r="AB313" s="1" t="n">
        <v>0</v>
      </c>
      <c r="AC313" s="1" t="s">
        <v>460</v>
      </c>
    </row>
    <row r="314" customFormat="false" ht="15" hidden="false" customHeight="false" outlineLevel="0" collapsed="false">
      <c r="A314" s="1" t="s">
        <v>473</v>
      </c>
      <c r="B314" s="1" t="s">
        <v>460</v>
      </c>
      <c r="C314" s="1" t="s">
        <v>60</v>
      </c>
      <c r="D314" s="1" t="n">
        <v>0.0459</v>
      </c>
      <c r="E314" s="1" t="n">
        <v>0.0896</v>
      </c>
      <c r="F314" s="1" t="n">
        <v>0.1223</v>
      </c>
      <c r="G314" s="1" t="n">
        <v>43.05</v>
      </c>
      <c r="H314" s="1" t="n">
        <v>4.89</v>
      </c>
      <c r="I314" s="1" t="n">
        <v>0.84</v>
      </c>
      <c r="J314" s="1" t="n">
        <v>9.1</v>
      </c>
      <c r="K314" s="1" t="n">
        <v>25.3</v>
      </c>
      <c r="L314" s="1" t="n">
        <v>0.32</v>
      </c>
      <c r="M314" s="1" t="n">
        <v>3.42</v>
      </c>
      <c r="N314" s="1" t="n">
        <v>2.67</v>
      </c>
      <c r="O314" s="1" t="n">
        <v>0.89</v>
      </c>
      <c r="P314" s="1" t="n">
        <v>0.15</v>
      </c>
      <c r="Q314" s="1" t="n">
        <v>5.94</v>
      </c>
      <c r="R314" s="1" t="n">
        <v>96.8278</v>
      </c>
      <c r="S314" s="1" t="n">
        <v>0.0106</v>
      </c>
      <c r="T314" s="1" t="n">
        <v>0.0536</v>
      </c>
      <c r="U314" s="1" t="n">
        <v>0.0151</v>
      </c>
      <c r="V314" s="1" t="n">
        <v>86</v>
      </c>
      <c r="W314" s="1" t="n">
        <v>550</v>
      </c>
      <c r="X314" s="1" t="n">
        <v>116</v>
      </c>
      <c r="Y314" s="1" t="n">
        <v>19892</v>
      </c>
      <c r="Z314" s="1" t="n">
        <v>7477</v>
      </c>
      <c r="AA314" s="1" t="n">
        <v>-500</v>
      </c>
      <c r="AB314" s="1" t="n">
        <v>31.02</v>
      </c>
      <c r="AC314" s="1" t="s">
        <v>460</v>
      </c>
    </row>
    <row r="315" customFormat="false" ht="15" hidden="false" customHeight="false" outlineLevel="0" collapsed="false">
      <c r="A315" s="1" t="s">
        <v>474</v>
      </c>
      <c r="B315" s="1" t="s">
        <v>460</v>
      </c>
      <c r="C315" s="1" t="s">
        <v>60</v>
      </c>
      <c r="D315" s="1" t="n">
        <v>0.0389</v>
      </c>
      <c r="E315" s="1" t="n">
        <v>0.1105</v>
      </c>
      <c r="F315" s="1" t="n">
        <v>0.1193</v>
      </c>
      <c r="G315" s="1" t="n">
        <v>43.05</v>
      </c>
      <c r="H315" s="1" t="n">
        <v>4.89</v>
      </c>
      <c r="I315" s="1" t="n">
        <v>0.84</v>
      </c>
      <c r="J315" s="1" t="n">
        <v>9.1</v>
      </c>
      <c r="K315" s="1" t="n">
        <v>25.3</v>
      </c>
      <c r="L315" s="1" t="n">
        <v>0.32</v>
      </c>
      <c r="M315" s="1" t="n">
        <v>3.42</v>
      </c>
      <c r="N315" s="1" t="n">
        <v>2.67</v>
      </c>
      <c r="O315" s="1" t="n">
        <v>0.89</v>
      </c>
      <c r="P315" s="1" t="n">
        <v>0.15</v>
      </c>
      <c r="Q315" s="1" t="n">
        <v>5.94</v>
      </c>
      <c r="R315" s="1" t="n">
        <v>96.8387</v>
      </c>
      <c r="S315" s="1" t="n">
        <v>0.0106</v>
      </c>
      <c r="T315" s="1" t="n">
        <v>0.0535</v>
      </c>
      <c r="U315" s="1" t="n">
        <v>0.0151</v>
      </c>
      <c r="V315" s="1" t="n">
        <v>94</v>
      </c>
      <c r="W315" s="1" t="n">
        <v>524</v>
      </c>
      <c r="X315" s="1" t="n">
        <v>117</v>
      </c>
      <c r="Y315" s="1" t="n">
        <v>19855</v>
      </c>
      <c r="Z315" s="1" t="n">
        <v>7483</v>
      </c>
      <c r="AA315" s="1" t="n">
        <v>-500</v>
      </c>
      <c r="AB315" s="1" t="n">
        <v>68.18</v>
      </c>
      <c r="AC315" s="1" t="s">
        <v>460</v>
      </c>
    </row>
    <row r="316" customFormat="false" ht="15" hidden="false" customHeight="false" outlineLevel="0" collapsed="false">
      <c r="A316" s="1" t="s">
        <v>475</v>
      </c>
      <c r="B316" s="1" t="s">
        <v>460</v>
      </c>
      <c r="C316" s="1" t="s">
        <v>60</v>
      </c>
      <c r="D316" s="1" t="n">
        <v>0.0415</v>
      </c>
      <c r="E316" s="1" t="n">
        <v>0.1503</v>
      </c>
      <c r="F316" s="1" t="n">
        <v>0.124</v>
      </c>
      <c r="G316" s="1" t="n">
        <v>43.05</v>
      </c>
      <c r="H316" s="1" t="n">
        <v>4.89</v>
      </c>
      <c r="I316" s="1" t="n">
        <v>0.84</v>
      </c>
      <c r="J316" s="1" t="n">
        <v>9.1</v>
      </c>
      <c r="K316" s="1" t="n">
        <v>25.3</v>
      </c>
      <c r="L316" s="1" t="n">
        <v>0.32</v>
      </c>
      <c r="M316" s="1" t="n">
        <v>3.42</v>
      </c>
      <c r="N316" s="1" t="n">
        <v>2.67</v>
      </c>
      <c r="O316" s="1" t="n">
        <v>0.89</v>
      </c>
      <c r="P316" s="1" t="n">
        <v>0.15</v>
      </c>
      <c r="Q316" s="1" t="n">
        <v>5.94</v>
      </c>
      <c r="R316" s="1" t="n">
        <v>96.8857</v>
      </c>
      <c r="S316" s="1" t="n">
        <v>0.0104</v>
      </c>
      <c r="T316" s="1" t="n">
        <v>0.0564</v>
      </c>
      <c r="U316" s="1" t="n">
        <v>0.0151</v>
      </c>
      <c r="V316" s="1" t="n">
        <v>90</v>
      </c>
      <c r="W316" s="1" t="n">
        <v>519</v>
      </c>
      <c r="X316" s="1" t="n">
        <v>114</v>
      </c>
      <c r="Y316" s="1" t="n">
        <v>19821</v>
      </c>
      <c r="Z316" s="1" t="n">
        <v>7483</v>
      </c>
      <c r="AA316" s="1" t="n">
        <v>-500</v>
      </c>
      <c r="AB316" s="1" t="n">
        <v>102.12</v>
      </c>
      <c r="AC316" s="1" t="s">
        <v>460</v>
      </c>
    </row>
    <row r="317" customFormat="false" ht="15" hidden="false" customHeight="false" outlineLevel="0" collapsed="false">
      <c r="A317" s="1" t="s">
        <v>476</v>
      </c>
      <c r="B317" s="1" t="s">
        <v>460</v>
      </c>
      <c r="C317" s="1" t="s">
        <v>60</v>
      </c>
      <c r="D317" s="1" t="n">
        <v>0.0396</v>
      </c>
      <c r="E317" s="1" t="n">
        <v>0.1453</v>
      </c>
      <c r="F317" s="1" t="n">
        <v>0.1244</v>
      </c>
      <c r="G317" s="1" t="n">
        <v>43.05</v>
      </c>
      <c r="H317" s="1" t="n">
        <v>4.89</v>
      </c>
      <c r="I317" s="1" t="n">
        <v>0.84</v>
      </c>
      <c r="J317" s="1" t="n">
        <v>9.1</v>
      </c>
      <c r="K317" s="1" t="n">
        <v>25.3</v>
      </c>
      <c r="L317" s="1" t="n">
        <v>0.32</v>
      </c>
      <c r="M317" s="1" t="n">
        <v>3.42</v>
      </c>
      <c r="N317" s="1" t="n">
        <v>2.67</v>
      </c>
      <c r="O317" s="1" t="n">
        <v>0.89</v>
      </c>
      <c r="P317" s="1" t="n">
        <v>0.15</v>
      </c>
      <c r="Q317" s="1" t="n">
        <v>5.94</v>
      </c>
      <c r="R317" s="1" t="n">
        <v>96.8793</v>
      </c>
      <c r="S317" s="1" t="n">
        <v>0.0106</v>
      </c>
      <c r="T317" s="1" t="n">
        <v>0.0541</v>
      </c>
      <c r="U317" s="1" t="n">
        <v>0.015</v>
      </c>
      <c r="V317" s="1" t="n">
        <v>94</v>
      </c>
      <c r="W317" s="1" t="n">
        <v>488</v>
      </c>
      <c r="X317" s="1" t="n">
        <v>113</v>
      </c>
      <c r="Y317" s="1" t="n">
        <v>19717</v>
      </c>
      <c r="Z317" s="1" t="n">
        <v>7569</v>
      </c>
      <c r="AA317" s="1" t="n">
        <v>-500</v>
      </c>
      <c r="AB317" s="1" t="n">
        <v>225.2</v>
      </c>
      <c r="AC317" s="1" t="s">
        <v>460</v>
      </c>
    </row>
    <row r="318" customFormat="false" ht="15" hidden="false" customHeight="false" outlineLevel="0" collapsed="false">
      <c r="C318" s="1" t="s">
        <v>43</v>
      </c>
      <c r="D318" s="5" t="n">
        <f aca="false">AVERAGE(D298:D317)*10000</f>
        <v>393.35</v>
      </c>
      <c r="E318" s="5" t="n">
        <f aca="false">AVERAGE(E298:E317)*10000</f>
        <v>1230.65</v>
      </c>
      <c r="F318" s="5" t="n">
        <f aca="false">AVERAGE(F298:F317)*10000</f>
        <v>1240.3</v>
      </c>
      <c r="S318" s="5" t="n">
        <f aca="false">AVERAGE(S298:S317)*10000</f>
        <v>104.5</v>
      </c>
      <c r="T318" s="5" t="n">
        <f aca="false">AVERAGE(T298:T317)*10000</f>
        <v>539</v>
      </c>
      <c r="U318" s="5" t="n">
        <f aca="false">AVERAGE(U298:U317)*10000</f>
        <v>150.3</v>
      </c>
      <c r="V318" s="5" t="n">
        <f aca="false">AVERAGE(V298:V317)</f>
        <v>91.95</v>
      </c>
      <c r="W318" s="5" t="n">
        <f aca="false">AVERAGE(W298:W317)</f>
        <v>513.65</v>
      </c>
      <c r="X318" s="5" t="n">
        <f aca="false">AVERAGE(X298:X317)</f>
        <v>113.1</v>
      </c>
    </row>
    <row r="319" customFormat="false" ht="15" hidden="false" customHeight="false" outlineLevel="0" collapsed="false">
      <c r="C319" s="1" t="s">
        <v>44</v>
      </c>
      <c r="D319" s="5" t="n">
        <f aca="false">_xlfn.STDEV.P(D298:D317)*2*10000</f>
        <v>70.7962569632039</v>
      </c>
      <c r="E319" s="5" t="n">
        <f aca="false">_xlfn.STDEV.P(E298:E317)*2*10000</f>
        <v>386.422191391744</v>
      </c>
      <c r="F319" s="5" t="n">
        <f aca="false">_xlfn.STDEV.P(F298:F317)*2*10000</f>
        <v>84.0454638871129</v>
      </c>
    </row>
    <row r="320" customFormat="false" ht="15" hidden="false" customHeight="false" outlineLevel="0" collapsed="false">
      <c r="C320" s="1" t="s">
        <v>45</v>
      </c>
      <c r="D320" s="5" t="n">
        <f aca="false">S318/3*2</f>
        <v>69.6666666666667</v>
      </c>
      <c r="E320" s="5" t="n">
        <f aca="false">T318/3*2</f>
        <v>359.333333333333</v>
      </c>
      <c r="F320" s="5" t="n">
        <f aca="false">U318/3*2</f>
        <v>100.2</v>
      </c>
    </row>
    <row r="321" customFormat="false" ht="15" hidden="false" customHeight="false" outlineLevel="0" collapsed="false">
      <c r="C321" s="1" t="s">
        <v>46</v>
      </c>
      <c r="D321" s="5" t="n">
        <f aca="false">V318</f>
        <v>91.95</v>
      </c>
      <c r="E321" s="5" t="n">
        <f aca="false">W318</f>
        <v>513.65</v>
      </c>
      <c r="F321" s="5" t="n">
        <f aca="false">X318</f>
        <v>113.1</v>
      </c>
    </row>
    <row r="323" customFormat="false" ht="15" hidden="false" customHeight="false" outlineLevel="0" collapsed="false">
      <c r="A323" s="1" t="s">
        <v>185</v>
      </c>
      <c r="B323" s="1" t="s">
        <v>289</v>
      </c>
      <c r="C323" s="1" t="s">
        <v>477</v>
      </c>
      <c r="D323" s="1" t="n">
        <v>0.1048</v>
      </c>
      <c r="E323" s="1" t="n">
        <v>0.1631</v>
      </c>
      <c r="F323" s="1" t="n">
        <v>0.1256</v>
      </c>
      <c r="G323" s="1" t="n">
        <v>41.63</v>
      </c>
      <c r="H323" s="1" t="n">
        <v>3.61</v>
      </c>
      <c r="I323" s="1" t="n">
        <v>1.94</v>
      </c>
      <c r="J323" s="1" t="n">
        <v>8.4</v>
      </c>
      <c r="K323" s="1" t="n">
        <v>22.8</v>
      </c>
      <c r="L323" s="1" t="n">
        <v>1.04</v>
      </c>
      <c r="M323" s="1" t="n">
        <v>2.36</v>
      </c>
      <c r="N323" s="1" t="n">
        <v>4.74</v>
      </c>
      <c r="O323" s="1" t="n">
        <v>2.1</v>
      </c>
      <c r="P323" s="1" t="n">
        <v>0.17</v>
      </c>
      <c r="Q323" s="1" t="n">
        <v>7.83</v>
      </c>
      <c r="R323" s="1" t="n">
        <v>97.0136</v>
      </c>
      <c r="S323" s="1" t="n">
        <v>0.015</v>
      </c>
      <c r="T323" s="1" t="n">
        <v>0.0566</v>
      </c>
      <c r="U323" s="1" t="n">
        <v>0.0153</v>
      </c>
      <c r="V323" s="1" t="n">
        <v>97</v>
      </c>
      <c r="W323" s="1" t="n">
        <v>506</v>
      </c>
      <c r="X323" s="1" t="n">
        <v>118</v>
      </c>
      <c r="Y323" s="1" t="n">
        <v>9254</v>
      </c>
      <c r="Z323" s="1" t="n">
        <v>-17523</v>
      </c>
      <c r="AA323" s="1" t="n">
        <v>-468</v>
      </c>
      <c r="AB323" s="1" t="n">
        <v>0</v>
      </c>
      <c r="AC323" s="1" t="s">
        <v>289</v>
      </c>
    </row>
    <row r="324" customFormat="false" ht="15" hidden="false" customHeight="false" outlineLevel="0" collapsed="false">
      <c r="A324" s="1" t="s">
        <v>478</v>
      </c>
      <c r="B324" s="1" t="s">
        <v>289</v>
      </c>
      <c r="C324" s="1" t="s">
        <v>477</v>
      </c>
      <c r="D324" s="1" t="n">
        <v>0.1011</v>
      </c>
      <c r="E324" s="1" t="n">
        <v>0.181</v>
      </c>
      <c r="F324" s="1" t="n">
        <v>0.1261</v>
      </c>
      <c r="G324" s="1" t="n">
        <v>41.63</v>
      </c>
      <c r="H324" s="1" t="n">
        <v>3.61</v>
      </c>
      <c r="I324" s="1" t="n">
        <v>1.94</v>
      </c>
      <c r="J324" s="1" t="n">
        <v>8.4</v>
      </c>
      <c r="K324" s="1" t="n">
        <v>22.8</v>
      </c>
      <c r="L324" s="1" t="n">
        <v>1.04</v>
      </c>
      <c r="M324" s="1" t="n">
        <v>2.36</v>
      </c>
      <c r="N324" s="1" t="n">
        <v>4.74</v>
      </c>
      <c r="O324" s="1" t="n">
        <v>2.1</v>
      </c>
      <c r="P324" s="1" t="n">
        <v>0.17</v>
      </c>
      <c r="Q324" s="1" t="n">
        <v>7.83</v>
      </c>
      <c r="R324" s="1" t="n">
        <v>97.0282</v>
      </c>
      <c r="S324" s="1" t="n">
        <v>0.0147</v>
      </c>
      <c r="T324" s="1" t="n">
        <v>0.0591</v>
      </c>
      <c r="U324" s="1" t="n">
        <v>0.0153</v>
      </c>
      <c r="V324" s="1" t="n">
        <v>96</v>
      </c>
      <c r="W324" s="1" t="n">
        <v>524</v>
      </c>
      <c r="X324" s="1" t="n">
        <v>117</v>
      </c>
      <c r="Y324" s="1" t="n">
        <v>9272</v>
      </c>
      <c r="Z324" s="1" t="n">
        <v>-17497</v>
      </c>
      <c r="AA324" s="1" t="n">
        <v>-468</v>
      </c>
      <c r="AB324" s="1" t="n">
        <v>31.62</v>
      </c>
      <c r="AC324" s="1" t="s">
        <v>289</v>
      </c>
    </row>
    <row r="325" customFormat="false" ht="15" hidden="false" customHeight="false" outlineLevel="0" collapsed="false">
      <c r="A325" s="1" t="s">
        <v>479</v>
      </c>
      <c r="B325" s="1" t="s">
        <v>289</v>
      </c>
      <c r="C325" s="1" t="s">
        <v>477</v>
      </c>
      <c r="D325" s="1" t="n">
        <v>0.11</v>
      </c>
      <c r="E325" s="1" t="n">
        <v>0.1899</v>
      </c>
      <c r="F325" s="1" t="n">
        <v>0.129</v>
      </c>
      <c r="G325" s="1" t="n">
        <v>41.63</v>
      </c>
      <c r="H325" s="1" t="n">
        <v>3.61</v>
      </c>
      <c r="I325" s="1" t="n">
        <v>1.94</v>
      </c>
      <c r="J325" s="1" t="n">
        <v>8.4</v>
      </c>
      <c r="K325" s="1" t="n">
        <v>22.8</v>
      </c>
      <c r="L325" s="1" t="n">
        <v>1.04</v>
      </c>
      <c r="M325" s="1" t="n">
        <v>2.36</v>
      </c>
      <c r="N325" s="1" t="n">
        <v>4.74</v>
      </c>
      <c r="O325" s="1" t="n">
        <v>2.1</v>
      </c>
      <c r="P325" s="1" t="n">
        <v>0.17</v>
      </c>
      <c r="Q325" s="1" t="n">
        <v>7.83</v>
      </c>
      <c r="R325" s="1" t="n">
        <v>97.0489</v>
      </c>
      <c r="S325" s="1" t="n">
        <v>0.0151</v>
      </c>
      <c r="T325" s="1" t="n">
        <v>0.0584</v>
      </c>
      <c r="U325" s="1" t="n">
        <v>0.0151</v>
      </c>
      <c r="V325" s="1" t="n">
        <v>91</v>
      </c>
      <c r="W325" s="1" t="n">
        <v>501</v>
      </c>
      <c r="X325" s="1" t="n">
        <v>112</v>
      </c>
      <c r="Y325" s="1" t="n">
        <v>9301</v>
      </c>
      <c r="Z325" s="1" t="n">
        <v>-17497</v>
      </c>
      <c r="AA325" s="1" t="n">
        <v>-468</v>
      </c>
      <c r="AB325" s="1" t="n">
        <v>53.71</v>
      </c>
      <c r="AC325" s="1" t="s">
        <v>289</v>
      </c>
    </row>
    <row r="326" customFormat="false" ht="15" hidden="false" customHeight="false" outlineLevel="0" collapsed="false">
      <c r="A326" s="1" t="s">
        <v>480</v>
      </c>
      <c r="B326" s="1" t="s">
        <v>289</v>
      </c>
      <c r="C326" s="1" t="s">
        <v>477</v>
      </c>
      <c r="D326" s="1" t="n">
        <v>0.1042</v>
      </c>
      <c r="E326" s="1" t="n">
        <v>0.183</v>
      </c>
      <c r="F326" s="1" t="n">
        <v>0.1357</v>
      </c>
      <c r="G326" s="1" t="n">
        <v>41.63</v>
      </c>
      <c r="H326" s="1" t="n">
        <v>3.61</v>
      </c>
      <c r="I326" s="1" t="n">
        <v>1.94</v>
      </c>
      <c r="J326" s="1" t="n">
        <v>8.4</v>
      </c>
      <c r="K326" s="1" t="n">
        <v>22.8</v>
      </c>
      <c r="L326" s="1" t="n">
        <v>1.04</v>
      </c>
      <c r="M326" s="1" t="n">
        <v>2.36</v>
      </c>
      <c r="N326" s="1" t="n">
        <v>4.74</v>
      </c>
      <c r="O326" s="1" t="n">
        <v>2.1</v>
      </c>
      <c r="P326" s="1" t="n">
        <v>0.17</v>
      </c>
      <c r="Q326" s="1" t="n">
        <v>7.83</v>
      </c>
      <c r="R326" s="1" t="n">
        <v>97.0429</v>
      </c>
      <c r="S326" s="1" t="n">
        <v>0.0148</v>
      </c>
      <c r="T326" s="1" t="n">
        <v>0.0627</v>
      </c>
      <c r="U326" s="1" t="n">
        <v>0.0154</v>
      </c>
      <c r="V326" s="1" t="n">
        <v>94</v>
      </c>
      <c r="W326" s="1" t="n">
        <v>580</v>
      </c>
      <c r="X326" s="1" t="n">
        <v>112</v>
      </c>
      <c r="Y326" s="1" t="n">
        <v>9341</v>
      </c>
      <c r="Z326" s="1" t="n">
        <v>-17501</v>
      </c>
      <c r="AA326" s="1" t="n">
        <v>-468</v>
      </c>
      <c r="AB326" s="1" t="n">
        <v>89.74</v>
      </c>
      <c r="AC326" s="1" t="s">
        <v>289</v>
      </c>
    </row>
    <row r="327" customFormat="false" ht="15" hidden="false" customHeight="false" outlineLevel="0" collapsed="false">
      <c r="A327" s="1" t="s">
        <v>481</v>
      </c>
      <c r="B327" s="1" t="s">
        <v>289</v>
      </c>
      <c r="C327" s="1" t="s">
        <v>477</v>
      </c>
      <c r="D327" s="1" t="n">
        <v>0.1022</v>
      </c>
      <c r="E327" s="1" t="n">
        <v>0.1751</v>
      </c>
      <c r="F327" s="1" t="n">
        <v>0.1346</v>
      </c>
      <c r="G327" s="1" t="n">
        <v>41.63</v>
      </c>
      <c r="H327" s="1" t="n">
        <v>3.61</v>
      </c>
      <c r="I327" s="1" t="n">
        <v>1.94</v>
      </c>
      <c r="J327" s="1" t="n">
        <v>8.4</v>
      </c>
      <c r="K327" s="1" t="n">
        <v>22.8</v>
      </c>
      <c r="L327" s="1" t="n">
        <v>1.04</v>
      </c>
      <c r="M327" s="1" t="n">
        <v>2.36</v>
      </c>
      <c r="N327" s="1" t="n">
        <v>4.74</v>
      </c>
      <c r="O327" s="1" t="n">
        <v>2.1</v>
      </c>
      <c r="P327" s="1" t="n">
        <v>0.17</v>
      </c>
      <c r="Q327" s="1" t="n">
        <v>7.83</v>
      </c>
      <c r="R327" s="1" t="n">
        <v>97.0319</v>
      </c>
      <c r="S327" s="1" t="n">
        <v>0.0148</v>
      </c>
      <c r="T327" s="1" t="n">
        <v>0.0601</v>
      </c>
      <c r="U327" s="1" t="n">
        <v>0.0151</v>
      </c>
      <c r="V327" s="1" t="n">
        <v>96</v>
      </c>
      <c r="W327" s="1" t="n">
        <v>548</v>
      </c>
      <c r="X327" s="1" t="n">
        <v>108</v>
      </c>
      <c r="Y327" s="1" t="n">
        <v>9378</v>
      </c>
      <c r="Z327" s="1" t="n">
        <v>-17493</v>
      </c>
      <c r="AA327" s="1" t="n">
        <v>-468</v>
      </c>
      <c r="AB327" s="1" t="n">
        <v>127.58</v>
      </c>
      <c r="AC327" s="1" t="s">
        <v>289</v>
      </c>
    </row>
    <row r="328" customFormat="false" ht="15" hidden="false" customHeight="false" outlineLevel="0" collapsed="false">
      <c r="A328" s="1" t="s">
        <v>101</v>
      </c>
      <c r="B328" s="1" t="s">
        <v>289</v>
      </c>
      <c r="C328" s="1" t="s">
        <v>477</v>
      </c>
      <c r="D328" s="1" t="n">
        <v>0.1059</v>
      </c>
      <c r="E328" s="1" t="n">
        <v>0.1711</v>
      </c>
      <c r="F328" s="1" t="n">
        <v>0.124</v>
      </c>
      <c r="G328" s="1" t="n">
        <v>41.63</v>
      </c>
      <c r="H328" s="1" t="n">
        <v>3.61</v>
      </c>
      <c r="I328" s="1" t="n">
        <v>1.94</v>
      </c>
      <c r="J328" s="1" t="n">
        <v>8.4</v>
      </c>
      <c r="K328" s="1" t="n">
        <v>22.8</v>
      </c>
      <c r="L328" s="1" t="n">
        <v>1.04</v>
      </c>
      <c r="M328" s="1" t="n">
        <v>2.36</v>
      </c>
      <c r="N328" s="1" t="n">
        <v>4.74</v>
      </c>
      <c r="O328" s="1" t="n">
        <v>2.1</v>
      </c>
      <c r="P328" s="1" t="n">
        <v>0.17</v>
      </c>
      <c r="Q328" s="1" t="n">
        <v>7.83</v>
      </c>
      <c r="R328" s="1" t="n">
        <v>97.0209</v>
      </c>
      <c r="S328" s="1" t="n">
        <v>0.015</v>
      </c>
      <c r="T328" s="1" t="n">
        <v>0.0602</v>
      </c>
      <c r="U328" s="1" t="n">
        <v>0.0151</v>
      </c>
      <c r="V328" s="1" t="n">
        <v>94</v>
      </c>
      <c r="W328" s="1" t="n">
        <v>552</v>
      </c>
      <c r="X328" s="1" t="n">
        <v>116</v>
      </c>
      <c r="Y328" s="1" t="n">
        <v>9409</v>
      </c>
      <c r="Z328" s="1" t="n">
        <v>-17480</v>
      </c>
      <c r="AA328" s="1" t="n">
        <v>-468</v>
      </c>
      <c r="AB328" s="1" t="n">
        <v>0</v>
      </c>
      <c r="AC328" s="1" t="s">
        <v>289</v>
      </c>
    </row>
    <row r="329" customFormat="false" ht="15" hidden="false" customHeight="false" outlineLevel="0" collapsed="false">
      <c r="A329" s="1" t="s">
        <v>482</v>
      </c>
      <c r="B329" s="1" t="s">
        <v>289</v>
      </c>
      <c r="C329" s="1" t="s">
        <v>477</v>
      </c>
      <c r="D329" s="1" t="n">
        <v>0.1061</v>
      </c>
      <c r="E329" s="1" t="n">
        <v>0.172</v>
      </c>
      <c r="F329" s="1" t="n">
        <v>0.1319</v>
      </c>
      <c r="G329" s="1" t="n">
        <v>41.63</v>
      </c>
      <c r="H329" s="1" t="n">
        <v>3.61</v>
      </c>
      <c r="I329" s="1" t="n">
        <v>1.94</v>
      </c>
      <c r="J329" s="1" t="n">
        <v>8.4</v>
      </c>
      <c r="K329" s="1" t="n">
        <v>22.8</v>
      </c>
      <c r="L329" s="1" t="n">
        <v>1.04</v>
      </c>
      <c r="M329" s="1" t="n">
        <v>2.36</v>
      </c>
      <c r="N329" s="1" t="n">
        <v>4.74</v>
      </c>
      <c r="O329" s="1" t="n">
        <v>2.1</v>
      </c>
      <c r="P329" s="1" t="n">
        <v>0.17</v>
      </c>
      <c r="Q329" s="1" t="n">
        <v>7.83</v>
      </c>
      <c r="R329" s="1" t="n">
        <v>97.03</v>
      </c>
      <c r="S329" s="1" t="n">
        <v>0.0148</v>
      </c>
      <c r="T329" s="1" t="n">
        <v>0.0564</v>
      </c>
      <c r="U329" s="1" t="n">
        <v>0.0155</v>
      </c>
      <c r="V329" s="1" t="n">
        <v>89</v>
      </c>
      <c r="W329" s="1" t="n">
        <v>491</v>
      </c>
      <c r="X329" s="1" t="n">
        <v>116</v>
      </c>
      <c r="Y329" s="1" t="n">
        <v>9419</v>
      </c>
      <c r="Z329" s="1" t="n">
        <v>-17456</v>
      </c>
      <c r="AA329" s="1" t="n">
        <v>-468</v>
      </c>
      <c r="AB329" s="1" t="n">
        <v>26</v>
      </c>
      <c r="AC329" s="1" t="s">
        <v>289</v>
      </c>
    </row>
    <row r="330" customFormat="false" ht="15" hidden="false" customHeight="false" outlineLevel="0" collapsed="false">
      <c r="A330" s="1" t="s">
        <v>483</v>
      </c>
      <c r="B330" s="1" t="s">
        <v>289</v>
      </c>
      <c r="C330" s="1" t="s">
        <v>477</v>
      </c>
      <c r="D330" s="1" t="n">
        <v>0.1099</v>
      </c>
      <c r="E330" s="1" t="n">
        <v>0.1423</v>
      </c>
      <c r="F330" s="1" t="n">
        <v>0.1377</v>
      </c>
      <c r="G330" s="1" t="n">
        <v>41.63</v>
      </c>
      <c r="H330" s="1" t="n">
        <v>3.61</v>
      </c>
      <c r="I330" s="1" t="n">
        <v>1.94</v>
      </c>
      <c r="J330" s="1" t="n">
        <v>8.4</v>
      </c>
      <c r="K330" s="1" t="n">
        <v>22.8</v>
      </c>
      <c r="L330" s="1" t="n">
        <v>1.04</v>
      </c>
      <c r="M330" s="1" t="n">
        <v>2.36</v>
      </c>
      <c r="N330" s="1" t="n">
        <v>4.74</v>
      </c>
      <c r="O330" s="1" t="n">
        <v>2.1</v>
      </c>
      <c r="P330" s="1" t="n">
        <v>0.17</v>
      </c>
      <c r="Q330" s="1" t="n">
        <v>7.83</v>
      </c>
      <c r="R330" s="1" t="n">
        <v>97.0098</v>
      </c>
      <c r="S330" s="1" t="n">
        <v>0.0153</v>
      </c>
      <c r="T330" s="1" t="n">
        <v>0.0592</v>
      </c>
      <c r="U330" s="1" t="n">
        <v>0.0154</v>
      </c>
      <c r="V330" s="1" t="n">
        <v>96</v>
      </c>
      <c r="W330" s="1" t="n">
        <v>571</v>
      </c>
      <c r="X330" s="1" t="n">
        <v>110</v>
      </c>
      <c r="Y330" s="1" t="n">
        <v>9410</v>
      </c>
      <c r="Z330" s="1" t="n">
        <v>-17424</v>
      </c>
      <c r="AA330" s="1" t="n">
        <v>-468</v>
      </c>
      <c r="AB330" s="1" t="n">
        <v>56.01</v>
      </c>
      <c r="AC330" s="1" t="s">
        <v>289</v>
      </c>
    </row>
    <row r="331" customFormat="false" ht="15" hidden="false" customHeight="false" outlineLevel="0" collapsed="false">
      <c r="A331" s="1" t="s">
        <v>484</v>
      </c>
      <c r="B331" s="1" t="s">
        <v>289</v>
      </c>
      <c r="C331" s="1" t="s">
        <v>477</v>
      </c>
      <c r="D331" s="1" t="n">
        <v>0.1044</v>
      </c>
      <c r="E331" s="1" t="n">
        <v>0.183</v>
      </c>
      <c r="F331" s="1" t="n">
        <v>0.1274</v>
      </c>
      <c r="G331" s="1" t="n">
        <v>41.63</v>
      </c>
      <c r="H331" s="1" t="n">
        <v>3.61</v>
      </c>
      <c r="I331" s="1" t="n">
        <v>1.94</v>
      </c>
      <c r="J331" s="1" t="n">
        <v>8.4</v>
      </c>
      <c r="K331" s="1" t="n">
        <v>22.8</v>
      </c>
      <c r="L331" s="1" t="n">
        <v>1.04</v>
      </c>
      <c r="M331" s="1" t="n">
        <v>2.36</v>
      </c>
      <c r="N331" s="1" t="n">
        <v>4.74</v>
      </c>
      <c r="O331" s="1" t="n">
        <v>2.1</v>
      </c>
      <c r="P331" s="1" t="n">
        <v>0.17</v>
      </c>
      <c r="Q331" s="1" t="n">
        <v>7.83</v>
      </c>
      <c r="R331" s="1" t="n">
        <v>97.0347</v>
      </c>
      <c r="S331" s="1" t="n">
        <v>0.0151</v>
      </c>
      <c r="T331" s="1" t="n">
        <v>0.0613</v>
      </c>
      <c r="U331" s="1" t="n">
        <v>0.0152</v>
      </c>
      <c r="V331" s="1" t="n">
        <v>100</v>
      </c>
      <c r="W331" s="1" t="n">
        <v>557</v>
      </c>
      <c r="X331" s="1" t="n">
        <v>115</v>
      </c>
      <c r="Y331" s="1" t="n">
        <v>9431</v>
      </c>
      <c r="Z331" s="1" t="n">
        <v>-17398</v>
      </c>
      <c r="AA331" s="1" t="n">
        <v>-468</v>
      </c>
      <c r="AB331" s="1" t="n">
        <v>84.9</v>
      </c>
      <c r="AC331" s="1" t="s">
        <v>289</v>
      </c>
    </row>
    <row r="332" customFormat="false" ht="15" hidden="false" customHeight="false" outlineLevel="0" collapsed="false">
      <c r="A332" s="1" t="s">
        <v>485</v>
      </c>
      <c r="B332" s="1" t="s">
        <v>289</v>
      </c>
      <c r="C332" s="1" t="s">
        <v>477</v>
      </c>
      <c r="D332" s="1" t="n">
        <v>0.1075</v>
      </c>
      <c r="E332" s="1" t="n">
        <v>0.19</v>
      </c>
      <c r="F332" s="1" t="n">
        <v>0.1344</v>
      </c>
      <c r="G332" s="1" t="n">
        <v>41.63</v>
      </c>
      <c r="H332" s="1" t="n">
        <v>3.61</v>
      </c>
      <c r="I332" s="1" t="n">
        <v>1.94</v>
      </c>
      <c r="J332" s="1" t="n">
        <v>8.4</v>
      </c>
      <c r="K332" s="1" t="n">
        <v>22.8</v>
      </c>
      <c r="L332" s="1" t="n">
        <v>1.04</v>
      </c>
      <c r="M332" s="1" t="n">
        <v>2.36</v>
      </c>
      <c r="N332" s="1" t="n">
        <v>4.74</v>
      </c>
      <c r="O332" s="1" t="n">
        <v>2.1</v>
      </c>
      <c r="P332" s="1" t="n">
        <v>0.17</v>
      </c>
      <c r="Q332" s="1" t="n">
        <v>7.83</v>
      </c>
      <c r="R332" s="1" t="n">
        <v>97.0519</v>
      </c>
      <c r="S332" s="1" t="n">
        <v>0.0151</v>
      </c>
      <c r="T332" s="1" t="n">
        <v>0.0584</v>
      </c>
      <c r="U332" s="1" t="n">
        <v>0.0154</v>
      </c>
      <c r="V332" s="1" t="n">
        <v>95</v>
      </c>
      <c r="W332" s="1" t="n">
        <v>501</v>
      </c>
      <c r="X332" s="1" t="n">
        <v>113</v>
      </c>
      <c r="Y332" s="1" t="n">
        <v>9427</v>
      </c>
      <c r="Z332" s="1" t="n">
        <v>-17369</v>
      </c>
      <c r="AA332" s="1" t="n">
        <v>-468</v>
      </c>
      <c r="AB332" s="1" t="n">
        <v>112.45</v>
      </c>
      <c r="AC332" s="1" t="s">
        <v>289</v>
      </c>
    </row>
    <row r="333" customFormat="false" ht="15" hidden="false" customHeight="false" outlineLevel="0" collapsed="false">
      <c r="A333" s="1" t="s">
        <v>103</v>
      </c>
      <c r="B333" s="1" t="s">
        <v>289</v>
      </c>
      <c r="C333" s="1" t="s">
        <v>477</v>
      </c>
      <c r="D333" s="1" t="n">
        <v>0.1067</v>
      </c>
      <c r="E333" s="1" t="n">
        <v>0.1732</v>
      </c>
      <c r="F333" s="1" t="n">
        <v>0.1288</v>
      </c>
      <c r="G333" s="1" t="n">
        <v>41.63</v>
      </c>
      <c r="H333" s="1" t="n">
        <v>3.61</v>
      </c>
      <c r="I333" s="1" t="n">
        <v>1.94</v>
      </c>
      <c r="J333" s="1" t="n">
        <v>8.4</v>
      </c>
      <c r="K333" s="1" t="n">
        <v>22.8</v>
      </c>
      <c r="L333" s="1" t="n">
        <v>1.04</v>
      </c>
      <c r="M333" s="1" t="n">
        <v>2.36</v>
      </c>
      <c r="N333" s="1" t="n">
        <v>4.74</v>
      </c>
      <c r="O333" s="1" t="n">
        <v>2.1</v>
      </c>
      <c r="P333" s="1" t="n">
        <v>0.17</v>
      </c>
      <c r="Q333" s="1" t="n">
        <v>7.83</v>
      </c>
      <c r="R333" s="1" t="n">
        <v>97.0286</v>
      </c>
      <c r="S333" s="1" t="n">
        <v>0.015</v>
      </c>
      <c r="T333" s="1" t="n">
        <v>0.0594</v>
      </c>
      <c r="U333" s="1" t="n">
        <v>0.015</v>
      </c>
      <c r="V333" s="1" t="n">
        <v>95</v>
      </c>
      <c r="W333" s="1" t="n">
        <v>539</v>
      </c>
      <c r="X333" s="1" t="n">
        <v>110</v>
      </c>
      <c r="Y333" s="1" t="n">
        <v>9499</v>
      </c>
      <c r="Z333" s="1" t="n">
        <v>-17425</v>
      </c>
      <c r="AA333" s="1" t="n">
        <v>-468</v>
      </c>
      <c r="AB333" s="1" t="n">
        <v>0</v>
      </c>
      <c r="AC333" s="1" t="s">
        <v>289</v>
      </c>
    </row>
    <row r="334" customFormat="false" ht="15" hidden="false" customHeight="false" outlineLevel="0" collapsed="false">
      <c r="A334" s="1" t="s">
        <v>486</v>
      </c>
      <c r="B334" s="1" t="s">
        <v>289</v>
      </c>
      <c r="C334" s="1" t="s">
        <v>477</v>
      </c>
      <c r="D334" s="1" t="n">
        <v>0.1024</v>
      </c>
      <c r="E334" s="1" t="n">
        <v>0.1572</v>
      </c>
      <c r="F334" s="1" t="n">
        <v>0.1357</v>
      </c>
      <c r="G334" s="1" t="n">
        <v>41.63</v>
      </c>
      <c r="H334" s="1" t="n">
        <v>3.61</v>
      </c>
      <c r="I334" s="1" t="n">
        <v>1.94</v>
      </c>
      <c r="J334" s="1" t="n">
        <v>8.4</v>
      </c>
      <c r="K334" s="1" t="n">
        <v>22.8</v>
      </c>
      <c r="L334" s="1" t="n">
        <v>1.04</v>
      </c>
      <c r="M334" s="1" t="n">
        <v>2.36</v>
      </c>
      <c r="N334" s="1" t="n">
        <v>4.74</v>
      </c>
      <c r="O334" s="1" t="n">
        <v>2.1</v>
      </c>
      <c r="P334" s="1" t="n">
        <v>0.17</v>
      </c>
      <c r="Q334" s="1" t="n">
        <v>7.83</v>
      </c>
      <c r="R334" s="1" t="n">
        <v>97.0153</v>
      </c>
      <c r="S334" s="1" t="n">
        <v>0.0146</v>
      </c>
      <c r="T334" s="1" t="n">
        <v>0.0588</v>
      </c>
      <c r="U334" s="1" t="n">
        <v>0.0155</v>
      </c>
      <c r="V334" s="1" t="n">
        <v>90</v>
      </c>
      <c r="W334" s="1" t="n">
        <v>548</v>
      </c>
      <c r="X334" s="1" t="n">
        <v>114</v>
      </c>
      <c r="Y334" s="1" t="n">
        <v>9513</v>
      </c>
      <c r="Z334" s="1" t="n">
        <v>-17460</v>
      </c>
      <c r="AA334" s="1" t="n">
        <v>-468</v>
      </c>
      <c r="AB334" s="1" t="n">
        <v>37.7</v>
      </c>
      <c r="AC334" s="1" t="s">
        <v>289</v>
      </c>
    </row>
    <row r="335" customFormat="false" ht="15" hidden="false" customHeight="false" outlineLevel="0" collapsed="false">
      <c r="A335" s="1" t="s">
        <v>487</v>
      </c>
      <c r="B335" s="1" t="s">
        <v>289</v>
      </c>
      <c r="C335" s="1" t="s">
        <v>477</v>
      </c>
      <c r="D335" s="1" t="n">
        <v>0.1078</v>
      </c>
      <c r="E335" s="1" t="n">
        <v>0.1742</v>
      </c>
      <c r="F335" s="1" t="n">
        <v>0.1215</v>
      </c>
      <c r="G335" s="1" t="n">
        <v>41.63</v>
      </c>
      <c r="H335" s="1" t="n">
        <v>3.61</v>
      </c>
      <c r="I335" s="1" t="n">
        <v>1.94</v>
      </c>
      <c r="J335" s="1" t="n">
        <v>8.4</v>
      </c>
      <c r="K335" s="1" t="n">
        <v>22.8</v>
      </c>
      <c r="L335" s="1" t="n">
        <v>1.04</v>
      </c>
      <c r="M335" s="1" t="n">
        <v>2.36</v>
      </c>
      <c r="N335" s="1" t="n">
        <v>4.74</v>
      </c>
      <c r="O335" s="1" t="n">
        <v>2.1</v>
      </c>
      <c r="P335" s="1" t="n">
        <v>0.17</v>
      </c>
      <c r="Q335" s="1" t="n">
        <v>7.83</v>
      </c>
      <c r="R335" s="1" t="n">
        <v>97.0235</v>
      </c>
      <c r="S335" s="1" t="n">
        <v>0.0152</v>
      </c>
      <c r="T335" s="1" t="n">
        <v>0.0589</v>
      </c>
      <c r="U335" s="1" t="n">
        <v>0.0151</v>
      </c>
      <c r="V335" s="1" t="n">
        <v>97</v>
      </c>
      <c r="W335" s="1" t="n">
        <v>529</v>
      </c>
      <c r="X335" s="1" t="n">
        <v>117</v>
      </c>
      <c r="Y335" s="1" t="n">
        <v>9553</v>
      </c>
      <c r="Z335" s="1" t="n">
        <v>-17482</v>
      </c>
      <c r="AA335" s="1" t="n">
        <v>-468</v>
      </c>
      <c r="AB335" s="1" t="n">
        <v>78.52</v>
      </c>
      <c r="AC335" s="1" t="s">
        <v>289</v>
      </c>
    </row>
    <row r="336" customFormat="false" ht="15" hidden="false" customHeight="false" outlineLevel="0" collapsed="false">
      <c r="A336" s="1" t="s">
        <v>488</v>
      </c>
      <c r="B336" s="1" t="s">
        <v>289</v>
      </c>
      <c r="C336" s="1" t="s">
        <v>477</v>
      </c>
      <c r="D336" s="1" t="n">
        <v>0.1075</v>
      </c>
      <c r="E336" s="1" t="n">
        <v>0.1741</v>
      </c>
      <c r="F336" s="1" t="n">
        <v>0.1249</v>
      </c>
      <c r="G336" s="1" t="n">
        <v>41.63</v>
      </c>
      <c r="H336" s="1" t="n">
        <v>3.61</v>
      </c>
      <c r="I336" s="1" t="n">
        <v>1.94</v>
      </c>
      <c r="J336" s="1" t="n">
        <v>8.4</v>
      </c>
      <c r="K336" s="1" t="n">
        <v>22.8</v>
      </c>
      <c r="L336" s="1" t="n">
        <v>1.04</v>
      </c>
      <c r="M336" s="1" t="n">
        <v>2.36</v>
      </c>
      <c r="N336" s="1" t="n">
        <v>4.74</v>
      </c>
      <c r="O336" s="1" t="n">
        <v>2.1</v>
      </c>
      <c r="P336" s="1" t="n">
        <v>0.17</v>
      </c>
      <c r="Q336" s="1" t="n">
        <v>7.83</v>
      </c>
      <c r="R336" s="1" t="n">
        <v>97.0266</v>
      </c>
      <c r="S336" s="1" t="n">
        <v>0.015</v>
      </c>
      <c r="T336" s="1" t="n">
        <v>0.0583</v>
      </c>
      <c r="U336" s="1" t="n">
        <v>0.015</v>
      </c>
      <c r="V336" s="1" t="n">
        <v>91</v>
      </c>
      <c r="W336" s="1" t="n">
        <v>519</v>
      </c>
      <c r="X336" s="1" t="n">
        <v>113</v>
      </c>
      <c r="Y336" s="1" t="n">
        <v>9590</v>
      </c>
      <c r="Z336" s="1" t="n">
        <v>-17504</v>
      </c>
      <c r="AA336" s="1" t="n">
        <v>-468</v>
      </c>
      <c r="AB336" s="1" t="n">
        <v>120.51</v>
      </c>
      <c r="AC336" s="1" t="s">
        <v>289</v>
      </c>
    </row>
    <row r="337" customFormat="false" ht="15" hidden="false" customHeight="false" outlineLevel="0" collapsed="false">
      <c r="A337" s="1" t="s">
        <v>489</v>
      </c>
      <c r="B337" s="1" t="s">
        <v>289</v>
      </c>
      <c r="C337" s="1" t="s">
        <v>477</v>
      </c>
      <c r="D337" s="1" t="n">
        <v>0.0987</v>
      </c>
      <c r="E337" s="1" t="n">
        <v>0.1851</v>
      </c>
      <c r="F337" s="1" t="n">
        <v>0.1313</v>
      </c>
      <c r="G337" s="1" t="n">
        <v>41.63</v>
      </c>
      <c r="H337" s="1" t="n">
        <v>3.61</v>
      </c>
      <c r="I337" s="1" t="n">
        <v>1.94</v>
      </c>
      <c r="J337" s="1" t="n">
        <v>8.4</v>
      </c>
      <c r="K337" s="1" t="n">
        <v>22.8</v>
      </c>
      <c r="L337" s="1" t="n">
        <v>1.04</v>
      </c>
      <c r="M337" s="1" t="n">
        <v>2.36</v>
      </c>
      <c r="N337" s="1" t="n">
        <v>4.74</v>
      </c>
      <c r="O337" s="1" t="n">
        <v>2.1</v>
      </c>
      <c r="P337" s="1" t="n">
        <v>0.17</v>
      </c>
      <c r="Q337" s="1" t="n">
        <v>7.83</v>
      </c>
      <c r="R337" s="1" t="n">
        <v>97.0351</v>
      </c>
      <c r="S337" s="1" t="n">
        <v>0.0146</v>
      </c>
      <c r="T337" s="1" t="n">
        <v>0.0581</v>
      </c>
      <c r="U337" s="1" t="n">
        <v>0.0151</v>
      </c>
      <c r="V337" s="1" t="n">
        <v>96</v>
      </c>
      <c r="W337" s="1" t="n">
        <v>501</v>
      </c>
      <c r="X337" s="1" t="n">
        <v>110</v>
      </c>
      <c r="Y337" s="1" t="n">
        <v>9638</v>
      </c>
      <c r="Z337" s="1" t="n">
        <v>-17504</v>
      </c>
      <c r="AA337" s="1" t="n">
        <v>-468</v>
      </c>
      <c r="AB337" s="1" t="n">
        <v>159.88</v>
      </c>
      <c r="AC337" s="1" t="s">
        <v>289</v>
      </c>
    </row>
    <row r="338" customFormat="false" ht="15" hidden="false" customHeight="false" outlineLevel="0" collapsed="false">
      <c r="A338" s="1" t="s">
        <v>104</v>
      </c>
      <c r="B338" s="1" t="s">
        <v>289</v>
      </c>
      <c r="C338" s="1" t="s">
        <v>477</v>
      </c>
      <c r="D338" s="1" t="n">
        <v>0.1103</v>
      </c>
      <c r="E338" s="1" t="n">
        <v>0.193</v>
      </c>
      <c r="F338" s="1" t="n">
        <v>0.1276</v>
      </c>
      <c r="G338" s="1" t="n">
        <v>41.63</v>
      </c>
      <c r="H338" s="1" t="n">
        <v>3.61</v>
      </c>
      <c r="I338" s="1" t="n">
        <v>1.94</v>
      </c>
      <c r="J338" s="1" t="n">
        <v>8.4</v>
      </c>
      <c r="K338" s="1" t="n">
        <v>22.8</v>
      </c>
      <c r="L338" s="1" t="n">
        <v>1.04</v>
      </c>
      <c r="M338" s="1" t="n">
        <v>2.36</v>
      </c>
      <c r="N338" s="1" t="n">
        <v>4.74</v>
      </c>
      <c r="O338" s="1" t="n">
        <v>2.1</v>
      </c>
      <c r="P338" s="1" t="n">
        <v>0.17</v>
      </c>
      <c r="Q338" s="1" t="n">
        <v>7.83</v>
      </c>
      <c r="R338" s="1" t="n">
        <v>97.0509</v>
      </c>
      <c r="S338" s="1" t="n">
        <v>0.0152</v>
      </c>
      <c r="T338" s="1" t="n">
        <v>0.0606</v>
      </c>
      <c r="U338" s="1" t="n">
        <v>0.0154</v>
      </c>
      <c r="V338" s="1" t="n">
        <v>92</v>
      </c>
      <c r="W338" s="1" t="n">
        <v>533</v>
      </c>
      <c r="X338" s="1" t="n">
        <v>118</v>
      </c>
      <c r="Y338" s="1" t="n">
        <v>9703</v>
      </c>
      <c r="Z338" s="1" t="n">
        <v>-17482</v>
      </c>
      <c r="AA338" s="1" t="n">
        <v>-468</v>
      </c>
      <c r="AB338" s="1" t="n">
        <v>0</v>
      </c>
      <c r="AC338" s="1" t="s">
        <v>289</v>
      </c>
    </row>
    <row r="339" customFormat="false" ht="15" hidden="false" customHeight="false" outlineLevel="0" collapsed="false">
      <c r="A339" s="1" t="s">
        <v>490</v>
      </c>
      <c r="B339" s="1" t="s">
        <v>289</v>
      </c>
      <c r="C339" s="1" t="s">
        <v>477</v>
      </c>
      <c r="D339" s="1" t="n">
        <v>0.1177</v>
      </c>
      <c r="E339" s="1" t="n">
        <v>0.1572</v>
      </c>
      <c r="F339" s="1" t="n">
        <v>0.1267</v>
      </c>
      <c r="G339" s="1" t="n">
        <v>41.63</v>
      </c>
      <c r="H339" s="1" t="n">
        <v>3.61</v>
      </c>
      <c r="I339" s="1" t="n">
        <v>1.94</v>
      </c>
      <c r="J339" s="1" t="n">
        <v>8.4</v>
      </c>
      <c r="K339" s="1" t="n">
        <v>22.8</v>
      </c>
      <c r="L339" s="1" t="n">
        <v>1.04</v>
      </c>
      <c r="M339" s="1" t="n">
        <v>2.36</v>
      </c>
      <c r="N339" s="1" t="n">
        <v>4.74</v>
      </c>
      <c r="O339" s="1" t="n">
        <v>2.1</v>
      </c>
      <c r="P339" s="1" t="n">
        <v>0.17</v>
      </c>
      <c r="Q339" s="1" t="n">
        <v>7.83</v>
      </c>
      <c r="R339" s="1" t="n">
        <v>97.0216</v>
      </c>
      <c r="S339" s="1" t="n">
        <v>0.0156</v>
      </c>
      <c r="T339" s="1" t="n">
        <v>0.0568</v>
      </c>
      <c r="U339" s="1" t="n">
        <v>0.0153</v>
      </c>
      <c r="V339" s="1" t="n">
        <v>91</v>
      </c>
      <c r="W339" s="1" t="n">
        <v>516</v>
      </c>
      <c r="X339" s="1" t="n">
        <v>117</v>
      </c>
      <c r="Y339" s="1" t="n">
        <v>9740</v>
      </c>
      <c r="Z339" s="1" t="n">
        <v>-17468</v>
      </c>
      <c r="AA339" s="1" t="n">
        <v>-468</v>
      </c>
      <c r="AB339" s="1" t="n">
        <v>39.56</v>
      </c>
      <c r="AC339" s="1" t="s">
        <v>289</v>
      </c>
    </row>
    <row r="340" customFormat="false" ht="15" hidden="false" customHeight="false" outlineLevel="0" collapsed="false">
      <c r="A340" s="1" t="s">
        <v>491</v>
      </c>
      <c r="B340" s="1" t="s">
        <v>289</v>
      </c>
      <c r="C340" s="1" t="s">
        <v>477</v>
      </c>
      <c r="D340" s="1" t="n">
        <v>0.1035</v>
      </c>
      <c r="E340" s="1" t="n">
        <v>0.1691</v>
      </c>
      <c r="F340" s="1" t="n">
        <v>0.1226</v>
      </c>
      <c r="G340" s="1" t="n">
        <v>41.63</v>
      </c>
      <c r="H340" s="1" t="n">
        <v>3.61</v>
      </c>
      <c r="I340" s="1" t="n">
        <v>1.94</v>
      </c>
      <c r="J340" s="1" t="n">
        <v>8.4</v>
      </c>
      <c r="K340" s="1" t="n">
        <v>22.8</v>
      </c>
      <c r="L340" s="1" t="n">
        <v>1.04</v>
      </c>
      <c r="M340" s="1" t="n">
        <v>2.36</v>
      </c>
      <c r="N340" s="1" t="n">
        <v>4.74</v>
      </c>
      <c r="O340" s="1" t="n">
        <v>2.1</v>
      </c>
      <c r="P340" s="1" t="n">
        <v>0.17</v>
      </c>
      <c r="Q340" s="1" t="n">
        <v>7.83</v>
      </c>
      <c r="R340" s="1" t="n">
        <v>97.0152</v>
      </c>
      <c r="S340" s="1" t="n">
        <v>0.0147</v>
      </c>
      <c r="T340" s="1" t="n">
        <v>0.0589</v>
      </c>
      <c r="U340" s="1" t="n">
        <v>0.0151</v>
      </c>
      <c r="V340" s="1" t="n">
        <v>91</v>
      </c>
      <c r="W340" s="1" t="n">
        <v>536</v>
      </c>
      <c r="X340" s="1" t="n">
        <v>116</v>
      </c>
      <c r="Y340" s="1" t="n">
        <v>9783</v>
      </c>
      <c r="Z340" s="1" t="n">
        <v>-17452</v>
      </c>
      <c r="AA340" s="1" t="n">
        <v>-468</v>
      </c>
      <c r="AB340" s="1" t="n">
        <v>85.44</v>
      </c>
      <c r="AC340" s="1" t="s">
        <v>289</v>
      </c>
    </row>
    <row r="341" customFormat="false" ht="15" hidden="false" customHeight="false" outlineLevel="0" collapsed="false">
      <c r="A341" s="1" t="s">
        <v>492</v>
      </c>
      <c r="B341" s="1" t="s">
        <v>289</v>
      </c>
      <c r="C341" s="1" t="s">
        <v>477</v>
      </c>
      <c r="D341" s="1" t="n">
        <v>0.103</v>
      </c>
      <c r="E341" s="1" t="n">
        <v>0.1482</v>
      </c>
      <c r="F341" s="1" t="n">
        <v>0.1288</v>
      </c>
      <c r="G341" s="1" t="n">
        <v>41.63</v>
      </c>
      <c r="H341" s="1" t="n">
        <v>3.61</v>
      </c>
      <c r="I341" s="1" t="n">
        <v>1.94</v>
      </c>
      <c r="J341" s="1" t="n">
        <v>8.4</v>
      </c>
      <c r="K341" s="1" t="n">
        <v>22.8</v>
      </c>
      <c r="L341" s="1" t="n">
        <v>1.04</v>
      </c>
      <c r="M341" s="1" t="n">
        <v>2.36</v>
      </c>
      <c r="N341" s="1" t="n">
        <v>4.74</v>
      </c>
      <c r="O341" s="1" t="n">
        <v>2.1</v>
      </c>
      <c r="P341" s="1" t="n">
        <v>0.17</v>
      </c>
      <c r="Q341" s="1" t="n">
        <v>7.83</v>
      </c>
      <c r="R341" s="1" t="n">
        <v>97</v>
      </c>
      <c r="S341" s="1" t="n">
        <v>0.0148</v>
      </c>
      <c r="T341" s="1" t="n">
        <v>0.0559</v>
      </c>
      <c r="U341" s="1" t="n">
        <v>0.0153</v>
      </c>
      <c r="V341" s="1" t="n">
        <v>94</v>
      </c>
      <c r="W341" s="1" t="n">
        <v>514</v>
      </c>
      <c r="X341" s="1" t="n">
        <v>115</v>
      </c>
      <c r="Y341" s="1" t="n">
        <v>9808</v>
      </c>
      <c r="Z341" s="1" t="n">
        <v>-17422</v>
      </c>
      <c r="AA341" s="1" t="n">
        <v>-468</v>
      </c>
      <c r="AB341" s="1" t="n">
        <v>120.93</v>
      </c>
      <c r="AC341" s="1" t="s">
        <v>289</v>
      </c>
    </row>
    <row r="342" customFormat="false" ht="15" hidden="false" customHeight="false" outlineLevel="0" collapsed="false">
      <c r="A342" s="1" t="s">
        <v>493</v>
      </c>
      <c r="B342" s="1" t="s">
        <v>289</v>
      </c>
      <c r="C342" s="1" t="s">
        <v>477</v>
      </c>
      <c r="D342" s="1" t="n">
        <v>0.1084</v>
      </c>
      <c r="E342" s="1" t="n">
        <v>0.1711</v>
      </c>
      <c r="F342" s="1" t="n">
        <v>0.1239</v>
      </c>
      <c r="G342" s="1" t="n">
        <v>41.63</v>
      </c>
      <c r="H342" s="1" t="n">
        <v>3.61</v>
      </c>
      <c r="I342" s="1" t="n">
        <v>1.94</v>
      </c>
      <c r="J342" s="1" t="n">
        <v>8.4</v>
      </c>
      <c r="K342" s="1" t="n">
        <v>22.8</v>
      </c>
      <c r="L342" s="1" t="n">
        <v>1.04</v>
      </c>
      <c r="M342" s="1" t="n">
        <v>2.36</v>
      </c>
      <c r="N342" s="1" t="n">
        <v>4.74</v>
      </c>
      <c r="O342" s="1" t="n">
        <v>2.1</v>
      </c>
      <c r="P342" s="1" t="n">
        <v>0.17</v>
      </c>
      <c r="Q342" s="1" t="n">
        <v>7.83</v>
      </c>
      <c r="R342" s="1" t="n">
        <v>97.0234</v>
      </c>
      <c r="S342" s="1" t="n">
        <v>0.0151</v>
      </c>
      <c r="T342" s="1" t="n">
        <v>0.0591</v>
      </c>
      <c r="U342" s="1" t="n">
        <v>0.0149</v>
      </c>
      <c r="V342" s="1" t="n">
        <v>93</v>
      </c>
      <c r="W342" s="1" t="n">
        <v>536</v>
      </c>
      <c r="X342" s="1" t="n">
        <v>112</v>
      </c>
      <c r="Y342" s="1" t="n">
        <v>9798</v>
      </c>
      <c r="Z342" s="1" t="n">
        <v>-17391</v>
      </c>
      <c r="AA342" s="1" t="n">
        <v>-468</v>
      </c>
      <c r="AB342" s="1" t="n">
        <v>131.55</v>
      </c>
      <c r="AC342" s="1" t="s">
        <v>289</v>
      </c>
    </row>
    <row r="343" customFormat="false" ht="15" hidden="false" customHeight="false" outlineLevel="0" collapsed="false">
      <c r="C343" s="1" t="s">
        <v>43</v>
      </c>
      <c r="D343" s="5" t="n">
        <f aca="false">AVERAGE(D323:D342)*10000</f>
        <v>1061.05</v>
      </c>
      <c r="E343" s="5" t="n">
        <f aca="false">AVERAGE(E323:E342)*10000</f>
        <v>1726.45</v>
      </c>
      <c r="F343" s="5" t="n">
        <f aca="false">AVERAGE(F323:F342)*10000</f>
        <v>1289.1</v>
      </c>
      <c r="S343" s="5" t="n">
        <f aca="false">AVERAGE(S323:S342)*10000</f>
        <v>149.75</v>
      </c>
      <c r="T343" s="5" t="n">
        <f aca="false">AVERAGE(T323:T342)*10000</f>
        <v>588.6</v>
      </c>
      <c r="U343" s="5" t="n">
        <f aca="false">AVERAGE(U323:U342)*10000</f>
        <v>152.25</v>
      </c>
      <c r="V343" s="5" t="n">
        <f aca="false">AVERAGE(V323:V342)</f>
        <v>93.9</v>
      </c>
      <c r="W343" s="5" t="n">
        <f aca="false">AVERAGE(W323:W342)</f>
        <v>530.1</v>
      </c>
      <c r="X343" s="5" t="n">
        <f aca="false">AVERAGE(X323:X342)</f>
        <v>113.95</v>
      </c>
    </row>
    <row r="344" customFormat="false" ht="15" hidden="false" customHeight="false" outlineLevel="0" collapsed="false">
      <c r="C344" s="1" t="s">
        <v>44</v>
      </c>
      <c r="D344" s="5" t="n">
        <f aca="false">_xlfn.STDEV.P(D323:D342)*2*10000</f>
        <v>80.9406572743266</v>
      </c>
      <c r="E344" s="5" t="n">
        <f aca="false">_xlfn.STDEV.P(E323:E342)*2*10000</f>
        <v>267.127291754324</v>
      </c>
      <c r="F344" s="5" t="n">
        <f aca="false">_xlfn.STDEV.P(F323:F342)*2*10000</f>
        <v>93.2113726966833</v>
      </c>
    </row>
    <row r="345" customFormat="false" ht="15" hidden="false" customHeight="false" outlineLevel="0" collapsed="false">
      <c r="C345" s="1" t="s">
        <v>45</v>
      </c>
      <c r="D345" s="5" t="n">
        <f aca="false">S343/3*2</f>
        <v>99.8333333333333</v>
      </c>
      <c r="E345" s="5" t="n">
        <f aca="false">T343/3*2</f>
        <v>392.4</v>
      </c>
      <c r="F345" s="5" t="n">
        <f aca="false">U343/3*2</f>
        <v>101.5</v>
      </c>
    </row>
    <row r="346" customFormat="false" ht="15" hidden="false" customHeight="false" outlineLevel="0" collapsed="false">
      <c r="C346" s="1" t="s">
        <v>46</v>
      </c>
      <c r="D346" s="5" t="n">
        <f aca="false">V343</f>
        <v>93.9</v>
      </c>
      <c r="E346" s="5" t="n">
        <f aca="false">W343</f>
        <v>530.1</v>
      </c>
      <c r="F346" s="5" t="n">
        <f aca="false">X343</f>
        <v>113.95</v>
      </c>
    </row>
    <row r="348" customFormat="false" ht="15" hidden="false" customHeight="false" outlineLevel="0" collapsed="false">
      <c r="A348" s="1" t="s">
        <v>105</v>
      </c>
      <c r="B348" s="1" t="s">
        <v>289</v>
      </c>
      <c r="C348" s="1" t="s">
        <v>8</v>
      </c>
      <c r="D348" s="1" t="n">
        <v>0.0936</v>
      </c>
      <c r="E348" s="1" t="n">
        <v>0.1462</v>
      </c>
      <c r="F348" s="1" t="n">
        <v>0.1255</v>
      </c>
      <c r="G348" s="1" t="n">
        <v>41.63</v>
      </c>
      <c r="H348" s="1" t="n">
        <v>3.61</v>
      </c>
      <c r="I348" s="1" t="n">
        <v>1.94</v>
      </c>
      <c r="J348" s="1" t="n">
        <v>8.4</v>
      </c>
      <c r="K348" s="1" t="n">
        <v>22.8</v>
      </c>
      <c r="L348" s="1" t="n">
        <v>1.04</v>
      </c>
      <c r="M348" s="1" t="n">
        <v>2.36</v>
      </c>
      <c r="N348" s="1" t="n">
        <v>4.74</v>
      </c>
      <c r="O348" s="1" t="n">
        <v>2.1</v>
      </c>
      <c r="P348" s="1" t="n">
        <v>0.17</v>
      </c>
      <c r="Q348" s="1" t="n">
        <v>7.83</v>
      </c>
      <c r="R348" s="1" t="n">
        <v>96.9853</v>
      </c>
      <c r="S348" s="1" t="n">
        <v>0.0142</v>
      </c>
      <c r="T348" s="1" t="n">
        <v>0.0562</v>
      </c>
      <c r="U348" s="1" t="n">
        <v>0.0152</v>
      </c>
      <c r="V348" s="1" t="n">
        <v>94</v>
      </c>
      <c r="W348" s="1" t="n">
        <v>521</v>
      </c>
      <c r="X348" s="1" t="n">
        <v>116</v>
      </c>
      <c r="Y348" s="1" t="n">
        <v>-17172</v>
      </c>
      <c r="Z348" s="1" t="n">
        <v>-25665</v>
      </c>
      <c r="AA348" s="1" t="n">
        <v>-431</v>
      </c>
      <c r="AB348" s="1" t="n">
        <v>0</v>
      </c>
      <c r="AC348" s="1" t="s">
        <v>289</v>
      </c>
    </row>
    <row r="349" customFormat="false" ht="15" hidden="false" customHeight="false" outlineLevel="0" collapsed="false">
      <c r="A349" s="1" t="s">
        <v>494</v>
      </c>
      <c r="B349" s="1" t="s">
        <v>289</v>
      </c>
      <c r="C349" s="1" t="s">
        <v>8</v>
      </c>
      <c r="D349" s="1" t="n">
        <v>0.0955</v>
      </c>
      <c r="E349" s="1" t="n">
        <v>0.1362</v>
      </c>
      <c r="F349" s="1" t="n">
        <v>0.1283</v>
      </c>
      <c r="G349" s="1" t="n">
        <v>41.63</v>
      </c>
      <c r="H349" s="1" t="n">
        <v>3.61</v>
      </c>
      <c r="I349" s="1" t="n">
        <v>1.94</v>
      </c>
      <c r="J349" s="1" t="n">
        <v>8.4</v>
      </c>
      <c r="K349" s="1" t="n">
        <v>22.8</v>
      </c>
      <c r="L349" s="1" t="n">
        <v>1.04</v>
      </c>
      <c r="M349" s="1" t="n">
        <v>2.36</v>
      </c>
      <c r="N349" s="1" t="n">
        <v>4.74</v>
      </c>
      <c r="O349" s="1" t="n">
        <v>2.1</v>
      </c>
      <c r="P349" s="1" t="n">
        <v>0.17</v>
      </c>
      <c r="Q349" s="1" t="n">
        <v>7.83</v>
      </c>
      <c r="R349" s="1" t="n">
        <v>96.98</v>
      </c>
      <c r="S349" s="1" t="n">
        <v>0.0144</v>
      </c>
      <c r="T349" s="1" t="n">
        <v>0.0559</v>
      </c>
      <c r="U349" s="1" t="n">
        <v>0.0153</v>
      </c>
      <c r="V349" s="1" t="n">
        <v>98</v>
      </c>
      <c r="W349" s="1" t="n">
        <v>528</v>
      </c>
      <c r="X349" s="1" t="n">
        <v>116</v>
      </c>
      <c r="Y349" s="1" t="n">
        <v>-17147</v>
      </c>
      <c r="Z349" s="1" t="n">
        <v>-25645</v>
      </c>
      <c r="AA349" s="1" t="n">
        <v>-431</v>
      </c>
      <c r="AB349" s="1" t="n">
        <v>32.02</v>
      </c>
      <c r="AC349" s="1" t="s">
        <v>289</v>
      </c>
    </row>
    <row r="350" customFormat="false" ht="15" hidden="false" customHeight="false" outlineLevel="0" collapsed="false">
      <c r="A350" s="1" t="s">
        <v>495</v>
      </c>
      <c r="B350" s="1" t="s">
        <v>289</v>
      </c>
      <c r="C350" s="1" t="s">
        <v>8</v>
      </c>
      <c r="D350" s="1" t="n">
        <v>0.0872</v>
      </c>
      <c r="E350" s="1" t="n">
        <v>0.1332</v>
      </c>
      <c r="F350" s="1" t="n">
        <v>0.1376</v>
      </c>
      <c r="G350" s="1" t="n">
        <v>41.63</v>
      </c>
      <c r="H350" s="1" t="n">
        <v>3.61</v>
      </c>
      <c r="I350" s="1" t="n">
        <v>1.94</v>
      </c>
      <c r="J350" s="1" t="n">
        <v>8.4</v>
      </c>
      <c r="K350" s="1" t="n">
        <v>22.8</v>
      </c>
      <c r="L350" s="1" t="n">
        <v>1.04</v>
      </c>
      <c r="M350" s="1" t="n">
        <v>2.36</v>
      </c>
      <c r="N350" s="1" t="n">
        <v>4.74</v>
      </c>
      <c r="O350" s="1" t="n">
        <v>2.1</v>
      </c>
      <c r="P350" s="1" t="n">
        <v>0.17</v>
      </c>
      <c r="Q350" s="1" t="n">
        <v>7.83</v>
      </c>
      <c r="R350" s="1" t="n">
        <v>96.978</v>
      </c>
      <c r="S350" s="1" t="n">
        <v>0.0139</v>
      </c>
      <c r="T350" s="1" t="n">
        <v>0.056</v>
      </c>
      <c r="U350" s="1" t="n">
        <v>0.0156</v>
      </c>
      <c r="V350" s="1" t="n">
        <v>98</v>
      </c>
      <c r="W350" s="1" t="n">
        <v>533</v>
      </c>
      <c r="X350" s="1" t="n">
        <v>114</v>
      </c>
      <c r="Y350" s="1" t="n">
        <v>-17139</v>
      </c>
      <c r="Z350" s="1" t="n">
        <v>-25626</v>
      </c>
      <c r="AA350" s="1" t="n">
        <v>-431</v>
      </c>
      <c r="AB350" s="1" t="n">
        <v>51.09</v>
      </c>
      <c r="AC350" s="1" t="s">
        <v>289</v>
      </c>
    </row>
    <row r="351" customFormat="false" ht="15" hidden="false" customHeight="false" outlineLevel="0" collapsed="false">
      <c r="A351" s="1" t="s">
        <v>496</v>
      </c>
      <c r="B351" s="1" t="s">
        <v>289</v>
      </c>
      <c r="C351" s="1" t="s">
        <v>8</v>
      </c>
      <c r="D351" s="1" t="n">
        <v>0.0925</v>
      </c>
      <c r="E351" s="1" t="n">
        <v>0.159</v>
      </c>
      <c r="F351" s="1" t="n">
        <v>0.1284</v>
      </c>
      <c r="G351" s="1" t="n">
        <v>41.63</v>
      </c>
      <c r="H351" s="1" t="n">
        <v>3.61</v>
      </c>
      <c r="I351" s="1" t="n">
        <v>1.94</v>
      </c>
      <c r="J351" s="1" t="n">
        <v>8.4</v>
      </c>
      <c r="K351" s="1" t="n">
        <v>22.8</v>
      </c>
      <c r="L351" s="1" t="n">
        <v>1.04</v>
      </c>
      <c r="M351" s="1" t="n">
        <v>2.36</v>
      </c>
      <c r="N351" s="1" t="n">
        <v>4.74</v>
      </c>
      <c r="O351" s="1" t="n">
        <v>2.1</v>
      </c>
      <c r="P351" s="1" t="n">
        <v>0.17</v>
      </c>
      <c r="Q351" s="1" t="n">
        <v>7.83</v>
      </c>
      <c r="R351" s="1" t="n">
        <v>96.9999</v>
      </c>
      <c r="S351" s="1" t="n">
        <v>0.0141</v>
      </c>
      <c r="T351" s="1" t="n">
        <v>0.0553</v>
      </c>
      <c r="U351" s="1" t="n">
        <v>0.0152</v>
      </c>
      <c r="V351" s="1" t="n">
        <v>95</v>
      </c>
      <c r="W351" s="1" t="n">
        <v>490</v>
      </c>
      <c r="X351" s="1" t="n">
        <v>115</v>
      </c>
      <c r="Y351" s="1" t="n">
        <v>-17219</v>
      </c>
      <c r="Z351" s="1" t="n">
        <v>-25629</v>
      </c>
      <c r="AA351" s="1" t="n">
        <v>-431</v>
      </c>
      <c r="AB351" s="1" t="n">
        <v>59.2</v>
      </c>
      <c r="AC351" s="1" t="s">
        <v>289</v>
      </c>
    </row>
    <row r="352" customFormat="false" ht="15" hidden="false" customHeight="false" outlineLevel="0" collapsed="false">
      <c r="A352" s="1" t="s">
        <v>497</v>
      </c>
      <c r="B352" s="1" t="s">
        <v>289</v>
      </c>
      <c r="C352" s="1" t="s">
        <v>8</v>
      </c>
      <c r="D352" s="1" t="n">
        <v>0.0946</v>
      </c>
      <c r="E352" s="1" t="n">
        <v>0.1173</v>
      </c>
      <c r="F352" s="1" t="n">
        <v>0.1198</v>
      </c>
      <c r="G352" s="1" t="n">
        <v>41.63</v>
      </c>
      <c r="H352" s="1" t="n">
        <v>3.61</v>
      </c>
      <c r="I352" s="1" t="n">
        <v>1.94</v>
      </c>
      <c r="J352" s="1" t="n">
        <v>8.4</v>
      </c>
      <c r="K352" s="1" t="n">
        <v>22.8</v>
      </c>
      <c r="L352" s="1" t="n">
        <v>1.04</v>
      </c>
      <c r="M352" s="1" t="n">
        <v>2.36</v>
      </c>
      <c r="N352" s="1" t="n">
        <v>4.74</v>
      </c>
      <c r="O352" s="1" t="n">
        <v>2.1</v>
      </c>
      <c r="P352" s="1" t="n">
        <v>0.17</v>
      </c>
      <c r="Q352" s="1" t="n">
        <v>7.83</v>
      </c>
      <c r="R352" s="1" t="n">
        <v>96.9517</v>
      </c>
      <c r="S352" s="1" t="n">
        <v>0.0143</v>
      </c>
      <c r="T352" s="1" t="n">
        <v>0.0555</v>
      </c>
      <c r="U352" s="1" t="n">
        <v>0.0148</v>
      </c>
      <c r="V352" s="1" t="n">
        <v>95</v>
      </c>
      <c r="W352" s="1" t="n">
        <v>545</v>
      </c>
      <c r="X352" s="1" t="n">
        <v>113</v>
      </c>
      <c r="Y352" s="1" t="n">
        <v>-17248</v>
      </c>
      <c r="Z352" s="1" t="n">
        <v>-25628</v>
      </c>
      <c r="AA352" s="1" t="n">
        <v>-431</v>
      </c>
      <c r="AB352" s="1" t="n">
        <v>84.53</v>
      </c>
      <c r="AC352" s="1" t="s">
        <v>289</v>
      </c>
    </row>
    <row r="353" customFormat="false" ht="15" hidden="false" customHeight="false" outlineLevel="0" collapsed="false">
      <c r="A353" s="1" t="s">
        <v>106</v>
      </c>
      <c r="B353" s="1" t="s">
        <v>289</v>
      </c>
      <c r="C353" s="1" t="s">
        <v>8</v>
      </c>
      <c r="D353" s="1" t="n">
        <v>0.0876</v>
      </c>
      <c r="E353" s="1" t="n">
        <v>0.1333</v>
      </c>
      <c r="F353" s="1" t="n">
        <v>0.1207</v>
      </c>
      <c r="G353" s="1" t="n">
        <v>41.63</v>
      </c>
      <c r="H353" s="1" t="n">
        <v>3.61</v>
      </c>
      <c r="I353" s="1" t="n">
        <v>1.94</v>
      </c>
      <c r="J353" s="1" t="n">
        <v>8.4</v>
      </c>
      <c r="K353" s="1" t="n">
        <v>22.8</v>
      </c>
      <c r="L353" s="1" t="n">
        <v>1.04</v>
      </c>
      <c r="M353" s="1" t="n">
        <v>2.36</v>
      </c>
      <c r="N353" s="1" t="n">
        <v>4.74</v>
      </c>
      <c r="O353" s="1" t="n">
        <v>2.1</v>
      </c>
      <c r="P353" s="1" t="n">
        <v>0.17</v>
      </c>
      <c r="Q353" s="1" t="n">
        <v>7.83</v>
      </c>
      <c r="R353" s="1" t="n">
        <v>96.9617</v>
      </c>
      <c r="S353" s="1" t="n">
        <v>0.0139</v>
      </c>
      <c r="T353" s="1" t="n">
        <v>0.0568</v>
      </c>
      <c r="U353" s="1" t="n">
        <v>0.0151</v>
      </c>
      <c r="V353" s="1" t="n">
        <v>96</v>
      </c>
      <c r="W353" s="1" t="n">
        <v>546</v>
      </c>
      <c r="X353" s="1" t="n">
        <v>117</v>
      </c>
      <c r="Y353" s="1" t="n">
        <v>-17307</v>
      </c>
      <c r="Z353" s="1" t="n">
        <v>-25633</v>
      </c>
      <c r="AA353" s="1" t="n">
        <v>-431</v>
      </c>
      <c r="AB353" s="1" t="n">
        <v>0</v>
      </c>
      <c r="AC353" s="1" t="s">
        <v>289</v>
      </c>
    </row>
    <row r="354" customFormat="false" ht="15" hidden="false" customHeight="false" outlineLevel="0" collapsed="false">
      <c r="A354" s="1" t="s">
        <v>498</v>
      </c>
      <c r="B354" s="1" t="s">
        <v>289</v>
      </c>
      <c r="C354" s="1" t="s">
        <v>8</v>
      </c>
      <c r="D354" s="1" t="n">
        <v>0.0939</v>
      </c>
      <c r="E354" s="1" t="n">
        <v>0.1512</v>
      </c>
      <c r="F354" s="1" t="n">
        <v>0.1371</v>
      </c>
      <c r="G354" s="1" t="n">
        <v>41.63</v>
      </c>
      <c r="H354" s="1" t="n">
        <v>3.61</v>
      </c>
      <c r="I354" s="1" t="n">
        <v>1.94</v>
      </c>
      <c r="J354" s="1" t="n">
        <v>8.4</v>
      </c>
      <c r="K354" s="1" t="n">
        <v>22.8</v>
      </c>
      <c r="L354" s="1" t="n">
        <v>1.04</v>
      </c>
      <c r="M354" s="1" t="n">
        <v>2.36</v>
      </c>
      <c r="N354" s="1" t="n">
        <v>4.74</v>
      </c>
      <c r="O354" s="1" t="n">
        <v>2.1</v>
      </c>
      <c r="P354" s="1" t="n">
        <v>0.17</v>
      </c>
      <c r="Q354" s="1" t="n">
        <v>7.83</v>
      </c>
      <c r="R354" s="1" t="n">
        <v>97.0022</v>
      </c>
      <c r="S354" s="1" t="n">
        <v>0.0141</v>
      </c>
      <c r="T354" s="1" t="n">
        <v>0.0573</v>
      </c>
      <c r="U354" s="1" t="n">
        <v>0.0153</v>
      </c>
      <c r="V354" s="1" t="n">
        <v>92</v>
      </c>
      <c r="W354" s="1" t="n">
        <v>531</v>
      </c>
      <c r="X354" s="1" t="n">
        <v>110</v>
      </c>
      <c r="Y354" s="1" t="n">
        <v>-17267</v>
      </c>
      <c r="Z354" s="1" t="n">
        <v>-25616</v>
      </c>
      <c r="AA354" s="1" t="n">
        <v>-431</v>
      </c>
      <c r="AB354" s="1" t="n">
        <v>43.46</v>
      </c>
      <c r="AC354" s="1" t="s">
        <v>289</v>
      </c>
    </row>
    <row r="355" customFormat="false" ht="15" hidden="false" customHeight="false" outlineLevel="0" collapsed="false">
      <c r="A355" s="1" t="s">
        <v>499</v>
      </c>
      <c r="B355" s="1" t="s">
        <v>289</v>
      </c>
      <c r="C355" s="1" t="s">
        <v>8</v>
      </c>
      <c r="D355" s="1" t="n">
        <v>0.0896</v>
      </c>
      <c r="E355" s="1" t="n">
        <v>0.1701</v>
      </c>
      <c r="F355" s="1" t="n">
        <v>0.1234</v>
      </c>
      <c r="G355" s="1" t="n">
        <v>41.63</v>
      </c>
      <c r="H355" s="1" t="n">
        <v>3.61</v>
      </c>
      <c r="I355" s="1" t="n">
        <v>1.94</v>
      </c>
      <c r="J355" s="1" t="n">
        <v>8.4</v>
      </c>
      <c r="K355" s="1" t="n">
        <v>22.8</v>
      </c>
      <c r="L355" s="1" t="n">
        <v>1.04</v>
      </c>
      <c r="M355" s="1" t="n">
        <v>2.36</v>
      </c>
      <c r="N355" s="1" t="n">
        <v>4.74</v>
      </c>
      <c r="O355" s="1" t="n">
        <v>2.1</v>
      </c>
      <c r="P355" s="1" t="n">
        <v>0.17</v>
      </c>
      <c r="Q355" s="1" t="n">
        <v>7.83</v>
      </c>
      <c r="R355" s="1" t="n">
        <v>97.0031</v>
      </c>
      <c r="S355" s="1" t="n">
        <v>0.0141</v>
      </c>
      <c r="T355" s="1" t="n">
        <v>0.0556</v>
      </c>
      <c r="U355" s="1" t="n">
        <v>0.0151</v>
      </c>
      <c r="V355" s="1" t="n">
        <v>98</v>
      </c>
      <c r="W355" s="1" t="n">
        <v>480</v>
      </c>
      <c r="X355" s="1" t="n">
        <v>116</v>
      </c>
      <c r="Y355" s="1" t="n">
        <v>-17337</v>
      </c>
      <c r="Z355" s="1" t="n">
        <v>-25616</v>
      </c>
      <c r="AA355" s="1" t="n">
        <v>-431</v>
      </c>
      <c r="AB355" s="1" t="n">
        <v>34.48</v>
      </c>
      <c r="AC355" s="1" t="s">
        <v>289</v>
      </c>
    </row>
    <row r="356" customFormat="false" ht="15" hidden="false" customHeight="false" outlineLevel="0" collapsed="false">
      <c r="A356" s="1" t="s">
        <v>500</v>
      </c>
      <c r="B356" s="1" t="s">
        <v>289</v>
      </c>
      <c r="C356" s="1" t="s">
        <v>8</v>
      </c>
      <c r="D356" s="1" t="n">
        <v>0.093</v>
      </c>
      <c r="E356" s="1" t="n">
        <v>0.185</v>
      </c>
      <c r="F356" s="1" t="n">
        <v>0.1297</v>
      </c>
      <c r="G356" s="1" t="n">
        <v>41.63</v>
      </c>
      <c r="H356" s="1" t="n">
        <v>3.61</v>
      </c>
      <c r="I356" s="1" t="n">
        <v>1.94</v>
      </c>
      <c r="J356" s="1" t="n">
        <v>8.4</v>
      </c>
      <c r="K356" s="1" t="n">
        <v>22.8</v>
      </c>
      <c r="L356" s="1" t="n">
        <v>1.04</v>
      </c>
      <c r="M356" s="1" t="n">
        <v>2.36</v>
      </c>
      <c r="N356" s="1" t="n">
        <v>4.74</v>
      </c>
      <c r="O356" s="1" t="n">
        <v>2.1</v>
      </c>
      <c r="P356" s="1" t="n">
        <v>0.17</v>
      </c>
      <c r="Q356" s="1" t="n">
        <v>7.83</v>
      </c>
      <c r="R356" s="1" t="n">
        <v>97.0277</v>
      </c>
      <c r="S356" s="1" t="n">
        <v>0.0142</v>
      </c>
      <c r="T356" s="1" t="n">
        <v>0.0577</v>
      </c>
      <c r="U356" s="1" t="n">
        <v>0.0151</v>
      </c>
      <c r="V356" s="1" t="n">
        <v>95</v>
      </c>
      <c r="W356" s="1" t="n">
        <v>496</v>
      </c>
      <c r="X356" s="1" t="n">
        <v>111</v>
      </c>
      <c r="Y356" s="1" t="n">
        <v>-17360</v>
      </c>
      <c r="Z356" s="1" t="n">
        <v>-25603</v>
      </c>
      <c r="AA356" s="1" t="n">
        <v>-431</v>
      </c>
      <c r="AB356" s="1" t="n">
        <v>60.9</v>
      </c>
      <c r="AC356" s="1" t="s">
        <v>289</v>
      </c>
    </row>
    <row r="357" customFormat="false" ht="15" hidden="false" customHeight="false" outlineLevel="0" collapsed="false">
      <c r="A357" s="1" t="s">
        <v>501</v>
      </c>
      <c r="B357" s="1" t="s">
        <v>289</v>
      </c>
      <c r="C357" s="1" t="s">
        <v>8</v>
      </c>
      <c r="D357" s="1" t="n">
        <v>0.097</v>
      </c>
      <c r="E357" s="1" t="n">
        <v>0.1243</v>
      </c>
      <c r="F357" s="1" t="n">
        <v>0.1241</v>
      </c>
      <c r="G357" s="1" t="n">
        <v>41.63</v>
      </c>
      <c r="H357" s="1" t="n">
        <v>3.61</v>
      </c>
      <c r="I357" s="1" t="n">
        <v>1.94</v>
      </c>
      <c r="J357" s="1" t="n">
        <v>8.4</v>
      </c>
      <c r="K357" s="1" t="n">
        <v>22.8</v>
      </c>
      <c r="L357" s="1" t="n">
        <v>1.04</v>
      </c>
      <c r="M357" s="1" t="n">
        <v>2.36</v>
      </c>
      <c r="N357" s="1" t="n">
        <v>4.74</v>
      </c>
      <c r="O357" s="1" t="n">
        <v>2.1</v>
      </c>
      <c r="P357" s="1" t="n">
        <v>0.17</v>
      </c>
      <c r="Q357" s="1" t="n">
        <v>7.83</v>
      </c>
      <c r="R357" s="1" t="n">
        <v>96.9655</v>
      </c>
      <c r="S357" s="1" t="n">
        <v>0.0144</v>
      </c>
      <c r="T357" s="1" t="n">
        <v>0.0541</v>
      </c>
      <c r="U357" s="1" t="n">
        <v>0.0148</v>
      </c>
      <c r="V357" s="1" t="n">
        <v>93</v>
      </c>
      <c r="W357" s="1" t="n">
        <v>516</v>
      </c>
      <c r="X357" s="1" t="n">
        <v>110</v>
      </c>
      <c r="Y357" s="1" t="n">
        <v>-17342</v>
      </c>
      <c r="Z357" s="1" t="n">
        <v>-25659</v>
      </c>
      <c r="AA357" s="1" t="n">
        <v>-431</v>
      </c>
      <c r="AB357" s="1" t="n">
        <v>43.6</v>
      </c>
      <c r="AC357" s="1" t="s">
        <v>289</v>
      </c>
    </row>
    <row r="358" customFormat="false" ht="15" hidden="false" customHeight="false" outlineLevel="0" collapsed="false">
      <c r="A358" s="1" t="s">
        <v>107</v>
      </c>
      <c r="B358" s="1" t="s">
        <v>289</v>
      </c>
      <c r="C358" s="1" t="s">
        <v>8</v>
      </c>
      <c r="D358" s="1" t="n">
        <v>0.0903</v>
      </c>
      <c r="E358" s="1" t="n">
        <v>0.1441</v>
      </c>
      <c r="F358" s="1" t="n">
        <v>0.1324</v>
      </c>
      <c r="G358" s="1" t="n">
        <v>41.63</v>
      </c>
      <c r="H358" s="1" t="n">
        <v>3.61</v>
      </c>
      <c r="I358" s="1" t="n">
        <v>1.94</v>
      </c>
      <c r="J358" s="1" t="n">
        <v>8.4</v>
      </c>
      <c r="K358" s="1" t="n">
        <v>22.8</v>
      </c>
      <c r="L358" s="1" t="n">
        <v>1.04</v>
      </c>
      <c r="M358" s="1" t="n">
        <v>2.36</v>
      </c>
      <c r="N358" s="1" t="n">
        <v>4.74</v>
      </c>
      <c r="O358" s="1" t="n">
        <v>2.1</v>
      </c>
      <c r="P358" s="1" t="n">
        <v>0.17</v>
      </c>
      <c r="Q358" s="1" t="n">
        <v>7.83</v>
      </c>
      <c r="R358" s="1" t="n">
        <v>96.9869</v>
      </c>
      <c r="S358" s="1" t="n">
        <v>0.014</v>
      </c>
      <c r="T358" s="1" t="n">
        <v>0.0564</v>
      </c>
      <c r="U358" s="1" t="n">
        <v>0.0151</v>
      </c>
      <c r="V358" s="1" t="n">
        <v>95</v>
      </c>
      <c r="W358" s="1" t="n">
        <v>526</v>
      </c>
      <c r="X358" s="1" t="n">
        <v>109</v>
      </c>
      <c r="Y358" s="1" t="n">
        <v>-17814</v>
      </c>
      <c r="Z358" s="1" t="n">
        <v>-27026</v>
      </c>
      <c r="AA358" s="1" t="n">
        <v>-429</v>
      </c>
      <c r="AB358" s="1" t="n">
        <v>0</v>
      </c>
      <c r="AC358" s="1" t="s">
        <v>289</v>
      </c>
    </row>
    <row r="359" customFormat="false" ht="15" hidden="false" customHeight="false" outlineLevel="0" collapsed="false">
      <c r="A359" s="1" t="s">
        <v>502</v>
      </c>
      <c r="B359" s="1" t="s">
        <v>289</v>
      </c>
      <c r="C359" s="1" t="s">
        <v>8</v>
      </c>
      <c r="D359" s="1" t="n">
        <v>0.086</v>
      </c>
      <c r="E359" s="1" t="n">
        <v>0.1531</v>
      </c>
      <c r="F359" s="1" t="n">
        <v>0.1399</v>
      </c>
      <c r="G359" s="1" t="n">
        <v>41.63</v>
      </c>
      <c r="H359" s="1" t="n">
        <v>3.61</v>
      </c>
      <c r="I359" s="1" t="n">
        <v>1.94</v>
      </c>
      <c r="J359" s="1" t="n">
        <v>8.4</v>
      </c>
      <c r="K359" s="1" t="n">
        <v>22.8</v>
      </c>
      <c r="L359" s="1" t="n">
        <v>1.04</v>
      </c>
      <c r="M359" s="1" t="n">
        <v>2.36</v>
      </c>
      <c r="N359" s="1" t="n">
        <v>4.74</v>
      </c>
      <c r="O359" s="1" t="n">
        <v>2.1</v>
      </c>
      <c r="P359" s="1" t="n">
        <v>0.17</v>
      </c>
      <c r="Q359" s="1" t="n">
        <v>7.83</v>
      </c>
      <c r="R359" s="1" t="n">
        <v>96.999</v>
      </c>
      <c r="S359" s="1" t="n">
        <v>0.0138</v>
      </c>
      <c r="T359" s="1" t="n">
        <v>0.0563</v>
      </c>
      <c r="U359" s="1" t="n">
        <v>0.0152</v>
      </c>
      <c r="V359" s="1" t="n">
        <v>98</v>
      </c>
      <c r="W359" s="1" t="n">
        <v>513</v>
      </c>
      <c r="X359" s="1" t="n">
        <v>106</v>
      </c>
      <c r="Y359" s="1" t="n">
        <v>-17860</v>
      </c>
      <c r="Z359" s="1" t="n">
        <v>-27047</v>
      </c>
      <c r="AA359" s="1" t="n">
        <v>-429</v>
      </c>
      <c r="AB359" s="1" t="n">
        <v>50.57</v>
      </c>
      <c r="AC359" s="1" t="s">
        <v>289</v>
      </c>
    </row>
    <row r="360" customFormat="false" ht="15" hidden="false" customHeight="false" outlineLevel="0" collapsed="false">
      <c r="A360" s="1" t="s">
        <v>503</v>
      </c>
      <c r="B360" s="1" t="s">
        <v>289</v>
      </c>
      <c r="C360" s="1" t="s">
        <v>8</v>
      </c>
      <c r="D360" s="1" t="n">
        <v>0.0907</v>
      </c>
      <c r="E360" s="1" t="n">
        <v>0.1332</v>
      </c>
      <c r="F360" s="1" t="n">
        <v>0.1218</v>
      </c>
      <c r="G360" s="1" t="n">
        <v>41.63</v>
      </c>
      <c r="H360" s="1" t="n">
        <v>3.61</v>
      </c>
      <c r="I360" s="1" t="n">
        <v>1.94</v>
      </c>
      <c r="J360" s="1" t="n">
        <v>8.4</v>
      </c>
      <c r="K360" s="1" t="n">
        <v>22.8</v>
      </c>
      <c r="L360" s="1" t="n">
        <v>1.04</v>
      </c>
      <c r="M360" s="1" t="n">
        <v>2.36</v>
      </c>
      <c r="N360" s="1" t="n">
        <v>4.74</v>
      </c>
      <c r="O360" s="1" t="n">
        <v>2.1</v>
      </c>
      <c r="P360" s="1" t="n">
        <v>0.17</v>
      </c>
      <c r="Q360" s="1" t="n">
        <v>7.83</v>
      </c>
      <c r="R360" s="1" t="n">
        <v>96.9656</v>
      </c>
      <c r="S360" s="1" t="n">
        <v>0.0143</v>
      </c>
      <c r="T360" s="1" t="n">
        <v>0.058</v>
      </c>
      <c r="U360" s="1" t="n">
        <v>0.0152</v>
      </c>
      <c r="V360" s="1" t="n">
        <v>100</v>
      </c>
      <c r="W360" s="1" t="n">
        <v>564</v>
      </c>
      <c r="X360" s="1" t="n">
        <v>119</v>
      </c>
      <c r="Y360" s="1" t="n">
        <v>-17912</v>
      </c>
      <c r="Z360" s="1" t="n">
        <v>-27007</v>
      </c>
      <c r="AA360" s="1" t="n">
        <v>-429</v>
      </c>
      <c r="AB360" s="1" t="n">
        <v>99.82</v>
      </c>
      <c r="AC360" s="1" t="s">
        <v>289</v>
      </c>
    </row>
    <row r="361" customFormat="false" ht="15" hidden="false" customHeight="false" outlineLevel="0" collapsed="false">
      <c r="A361" s="1" t="s">
        <v>504</v>
      </c>
      <c r="B361" s="1" t="s">
        <v>289</v>
      </c>
      <c r="C361" s="1" t="s">
        <v>8</v>
      </c>
      <c r="D361" s="1" t="n">
        <v>0.0899</v>
      </c>
      <c r="E361" s="1" t="n">
        <v>0.1531</v>
      </c>
      <c r="F361" s="1" t="n">
        <v>0.1289</v>
      </c>
      <c r="G361" s="1" t="n">
        <v>41.63</v>
      </c>
      <c r="H361" s="1" t="n">
        <v>3.61</v>
      </c>
      <c r="I361" s="1" t="n">
        <v>1.94</v>
      </c>
      <c r="J361" s="1" t="n">
        <v>8.4</v>
      </c>
      <c r="K361" s="1" t="n">
        <v>22.8</v>
      </c>
      <c r="L361" s="1" t="n">
        <v>1.04</v>
      </c>
      <c r="M361" s="1" t="n">
        <v>2.36</v>
      </c>
      <c r="N361" s="1" t="n">
        <v>4.74</v>
      </c>
      <c r="O361" s="1" t="n">
        <v>2.1</v>
      </c>
      <c r="P361" s="1" t="n">
        <v>0.17</v>
      </c>
      <c r="Q361" s="1" t="n">
        <v>7.83</v>
      </c>
      <c r="R361" s="1" t="n">
        <v>96.9919</v>
      </c>
      <c r="S361" s="1" t="n">
        <v>0.014</v>
      </c>
      <c r="T361" s="1" t="n">
        <v>0.0556</v>
      </c>
      <c r="U361" s="1" t="n">
        <v>0.0152</v>
      </c>
      <c r="V361" s="1" t="n">
        <v>95</v>
      </c>
      <c r="W361" s="1" t="n">
        <v>503</v>
      </c>
      <c r="X361" s="1" t="n">
        <v>115</v>
      </c>
      <c r="Y361" s="1" t="n">
        <v>-17938</v>
      </c>
      <c r="Z361" s="1" t="n">
        <v>-26998</v>
      </c>
      <c r="AA361" s="1" t="n">
        <v>-429</v>
      </c>
      <c r="AB361" s="1" t="n">
        <v>127.12</v>
      </c>
      <c r="AC361" s="1" t="s">
        <v>289</v>
      </c>
    </row>
    <row r="362" customFormat="false" ht="15" hidden="false" customHeight="false" outlineLevel="0" collapsed="false">
      <c r="A362" s="1" t="s">
        <v>505</v>
      </c>
      <c r="B362" s="1" t="s">
        <v>289</v>
      </c>
      <c r="C362" s="1" t="s">
        <v>8</v>
      </c>
      <c r="D362" s="1" t="n">
        <v>0.0905</v>
      </c>
      <c r="E362" s="1" t="n">
        <v>0.1541</v>
      </c>
      <c r="F362" s="1" t="n">
        <v>0.1275</v>
      </c>
      <c r="G362" s="1" t="n">
        <v>41.63</v>
      </c>
      <c r="H362" s="1" t="n">
        <v>3.61</v>
      </c>
      <c r="I362" s="1" t="n">
        <v>1.94</v>
      </c>
      <c r="J362" s="1" t="n">
        <v>8.4</v>
      </c>
      <c r="K362" s="1" t="n">
        <v>22.8</v>
      </c>
      <c r="L362" s="1" t="n">
        <v>1.04</v>
      </c>
      <c r="M362" s="1" t="n">
        <v>2.36</v>
      </c>
      <c r="N362" s="1" t="n">
        <v>4.74</v>
      </c>
      <c r="O362" s="1" t="n">
        <v>2.1</v>
      </c>
      <c r="P362" s="1" t="n">
        <v>0.17</v>
      </c>
      <c r="Q362" s="1" t="n">
        <v>7.83</v>
      </c>
      <c r="R362" s="1" t="n">
        <v>96.992</v>
      </c>
      <c r="S362" s="1" t="n">
        <v>0.0141</v>
      </c>
      <c r="T362" s="1" t="n">
        <v>0.0591</v>
      </c>
      <c r="U362" s="1" t="n">
        <v>0.0153</v>
      </c>
      <c r="V362" s="1" t="n">
        <v>98</v>
      </c>
      <c r="W362" s="1" t="n">
        <v>557</v>
      </c>
      <c r="X362" s="1" t="n">
        <v>116</v>
      </c>
      <c r="Y362" s="1" t="n">
        <v>-18108</v>
      </c>
      <c r="Z362" s="1" t="n">
        <v>-27023</v>
      </c>
      <c r="AA362" s="1" t="n">
        <v>-429</v>
      </c>
      <c r="AB362" s="1" t="n">
        <v>294.02</v>
      </c>
      <c r="AC362" s="1" t="s">
        <v>289</v>
      </c>
    </row>
    <row r="363" customFormat="false" ht="15" hidden="false" customHeight="false" outlineLevel="0" collapsed="false">
      <c r="A363" s="1" t="s">
        <v>108</v>
      </c>
      <c r="B363" s="1" t="s">
        <v>289</v>
      </c>
      <c r="C363" s="1" t="s">
        <v>8</v>
      </c>
      <c r="D363" s="1" t="n">
        <v>0.0967</v>
      </c>
      <c r="E363" s="1" t="n">
        <v>0.1294</v>
      </c>
      <c r="F363" s="1" t="n">
        <v>0.1349</v>
      </c>
      <c r="G363" s="1" t="n">
        <v>41.63</v>
      </c>
      <c r="H363" s="1" t="n">
        <v>3.61</v>
      </c>
      <c r="I363" s="1" t="n">
        <v>1.94</v>
      </c>
      <c r="J363" s="1" t="n">
        <v>8.4</v>
      </c>
      <c r="K363" s="1" t="n">
        <v>22.8</v>
      </c>
      <c r="L363" s="1" t="n">
        <v>1.04</v>
      </c>
      <c r="M363" s="1" t="n">
        <v>2.36</v>
      </c>
      <c r="N363" s="1" t="n">
        <v>4.74</v>
      </c>
      <c r="O363" s="1" t="n">
        <v>2.1</v>
      </c>
      <c r="P363" s="1" t="n">
        <v>0.17</v>
      </c>
      <c r="Q363" s="1" t="n">
        <v>7.83</v>
      </c>
      <c r="R363" s="1" t="n">
        <v>96.9811</v>
      </c>
      <c r="S363" s="1" t="n">
        <v>0.0144</v>
      </c>
      <c r="T363" s="1" t="n">
        <v>0.057</v>
      </c>
      <c r="U363" s="1" t="n">
        <v>0.0154</v>
      </c>
      <c r="V363" s="1" t="n">
        <v>94</v>
      </c>
      <c r="W363" s="1" t="n">
        <v>553</v>
      </c>
      <c r="X363" s="1" t="n">
        <v>112</v>
      </c>
      <c r="Y363" s="1" t="n">
        <v>-17579</v>
      </c>
      <c r="Z363" s="1" t="n">
        <v>-22004</v>
      </c>
      <c r="AA363" s="1" t="n">
        <v>-432</v>
      </c>
      <c r="AB363" s="1" t="n">
        <v>0</v>
      </c>
      <c r="AC363" s="1" t="s">
        <v>289</v>
      </c>
    </row>
    <row r="364" customFormat="false" ht="15" hidden="false" customHeight="false" outlineLevel="0" collapsed="false">
      <c r="A364" s="1" t="s">
        <v>506</v>
      </c>
      <c r="B364" s="1" t="s">
        <v>289</v>
      </c>
      <c r="C364" s="1" t="s">
        <v>8</v>
      </c>
      <c r="D364" s="1" t="n">
        <v>0.0882</v>
      </c>
      <c r="E364" s="1" t="n">
        <v>0.1404</v>
      </c>
      <c r="F364" s="21" t="n">
        <v>0.139</v>
      </c>
      <c r="G364" s="1" t="n">
        <v>41.63</v>
      </c>
      <c r="H364" s="1" t="n">
        <v>3.61</v>
      </c>
      <c r="I364" s="1" t="n">
        <v>1.94</v>
      </c>
      <c r="J364" s="1" t="n">
        <v>8.4</v>
      </c>
      <c r="K364" s="1" t="n">
        <v>22.8</v>
      </c>
      <c r="L364" s="1" t="n">
        <v>1.04</v>
      </c>
      <c r="M364" s="1" t="n">
        <v>2.36</v>
      </c>
      <c r="N364" s="1" t="n">
        <v>4.74</v>
      </c>
      <c r="O364" s="1" t="n">
        <v>2.1</v>
      </c>
      <c r="P364" s="1" t="n">
        <v>0.17</v>
      </c>
      <c r="Q364" s="1" t="n">
        <v>7.83</v>
      </c>
      <c r="R364" s="1" t="n">
        <v>96.9876</v>
      </c>
      <c r="S364" s="1" t="n">
        <v>0.0138</v>
      </c>
      <c r="T364" s="1" t="n">
        <v>0.053</v>
      </c>
      <c r="U364" s="1" t="n">
        <v>0.0156</v>
      </c>
      <c r="V364" s="1" t="n">
        <v>93</v>
      </c>
      <c r="W364" s="1" t="n">
        <v>478</v>
      </c>
      <c r="X364" s="1" t="n">
        <v>115</v>
      </c>
      <c r="Y364" s="1" t="n">
        <v>-17515</v>
      </c>
      <c r="Z364" s="1" t="n">
        <v>-21982</v>
      </c>
      <c r="AA364" s="1" t="n">
        <v>-432</v>
      </c>
      <c r="AB364" s="1" t="n">
        <v>67.68</v>
      </c>
      <c r="AC364" s="1" t="s">
        <v>289</v>
      </c>
    </row>
    <row r="365" customFormat="false" ht="15" hidden="false" customHeight="false" outlineLevel="0" collapsed="false">
      <c r="A365" s="1" t="s">
        <v>507</v>
      </c>
      <c r="B365" s="1" t="s">
        <v>289</v>
      </c>
      <c r="C365" s="1" t="s">
        <v>8</v>
      </c>
      <c r="D365" s="1" t="n">
        <v>0.0925</v>
      </c>
      <c r="E365" s="1" t="n">
        <v>0.1354</v>
      </c>
      <c r="F365" s="1" t="n">
        <v>0.1347</v>
      </c>
      <c r="G365" s="1" t="n">
        <v>41.63</v>
      </c>
      <c r="H365" s="1" t="n">
        <v>3.61</v>
      </c>
      <c r="I365" s="1" t="n">
        <v>1.94</v>
      </c>
      <c r="J365" s="1" t="n">
        <v>8.4</v>
      </c>
      <c r="K365" s="1" t="n">
        <v>22.8</v>
      </c>
      <c r="L365" s="1" t="n">
        <v>1.04</v>
      </c>
      <c r="M365" s="1" t="n">
        <v>2.36</v>
      </c>
      <c r="N365" s="1" t="n">
        <v>4.74</v>
      </c>
      <c r="O365" s="1" t="n">
        <v>2.1</v>
      </c>
      <c r="P365" s="1" t="n">
        <v>0.17</v>
      </c>
      <c r="Q365" s="1" t="n">
        <v>7.83</v>
      </c>
      <c r="R365" s="1" t="n">
        <v>96.9826</v>
      </c>
      <c r="S365" s="1" t="n">
        <v>0.0141</v>
      </c>
      <c r="T365" s="1" t="n">
        <v>0.0557</v>
      </c>
      <c r="U365" s="1" t="n">
        <v>0.0156</v>
      </c>
      <c r="V365" s="1" t="n">
        <v>95</v>
      </c>
      <c r="W365" s="1" t="n">
        <v>527</v>
      </c>
      <c r="X365" s="1" t="n">
        <v>117</v>
      </c>
      <c r="Y365" s="1" t="n">
        <v>-17465</v>
      </c>
      <c r="Z365" s="1" t="n">
        <v>-21943</v>
      </c>
      <c r="AA365" s="1" t="n">
        <v>-432</v>
      </c>
      <c r="AB365" s="1" t="n">
        <v>129.29</v>
      </c>
      <c r="AC365" s="1" t="s">
        <v>289</v>
      </c>
    </row>
    <row r="366" customFormat="false" ht="15" hidden="false" customHeight="false" outlineLevel="0" collapsed="false">
      <c r="A366" s="1" t="s">
        <v>508</v>
      </c>
      <c r="B366" s="1" t="s">
        <v>289</v>
      </c>
      <c r="C366" s="1" t="s">
        <v>8</v>
      </c>
      <c r="D366" s="1" t="n">
        <v>0.0892</v>
      </c>
      <c r="E366" s="1" t="n">
        <v>0.1275</v>
      </c>
      <c r="F366" s="1" t="n">
        <v>0.1224</v>
      </c>
      <c r="G366" s="1" t="n">
        <v>41.63</v>
      </c>
      <c r="H366" s="1" t="n">
        <v>3.61</v>
      </c>
      <c r="I366" s="1" t="n">
        <v>1.94</v>
      </c>
      <c r="J366" s="1" t="n">
        <v>8.4</v>
      </c>
      <c r="K366" s="1" t="n">
        <v>22.8</v>
      </c>
      <c r="L366" s="1" t="n">
        <v>1.04</v>
      </c>
      <c r="M366" s="1" t="n">
        <v>2.36</v>
      </c>
      <c r="N366" s="1" t="n">
        <v>4.74</v>
      </c>
      <c r="O366" s="1" t="n">
        <v>2.1</v>
      </c>
      <c r="P366" s="1" t="n">
        <v>0.17</v>
      </c>
      <c r="Q366" s="1" t="n">
        <v>7.83</v>
      </c>
      <c r="R366" s="1" t="n">
        <v>96.9591</v>
      </c>
      <c r="S366" s="1" t="n">
        <v>0.0141</v>
      </c>
      <c r="T366" s="1" t="n">
        <v>0.0557</v>
      </c>
      <c r="U366" s="1" t="n">
        <v>0.0151</v>
      </c>
      <c r="V366" s="1" t="n">
        <v>98</v>
      </c>
      <c r="W366" s="1" t="n">
        <v>536</v>
      </c>
      <c r="X366" s="1" t="n">
        <v>116</v>
      </c>
      <c r="Y366" s="1" t="n">
        <v>-17585</v>
      </c>
      <c r="Z366" s="1" t="n">
        <v>-21925</v>
      </c>
      <c r="AA366" s="1" t="n">
        <v>-432</v>
      </c>
      <c r="AB366" s="1" t="n">
        <v>79.23</v>
      </c>
      <c r="AC366" s="1" t="s">
        <v>289</v>
      </c>
    </row>
    <row r="367" customFormat="false" ht="15" hidden="false" customHeight="false" outlineLevel="0" collapsed="false">
      <c r="A367" s="1" t="s">
        <v>509</v>
      </c>
      <c r="B367" s="1" t="s">
        <v>289</v>
      </c>
      <c r="C367" s="1" t="s">
        <v>8</v>
      </c>
      <c r="D367" s="1" t="n">
        <v>0.0976</v>
      </c>
      <c r="E367" s="1" t="n">
        <v>0.1483</v>
      </c>
      <c r="F367" s="1" t="n">
        <v>0.1315</v>
      </c>
      <c r="G367" s="1" t="n">
        <v>41.63</v>
      </c>
      <c r="H367" s="1" t="n">
        <v>3.61</v>
      </c>
      <c r="I367" s="1" t="n">
        <v>1.94</v>
      </c>
      <c r="J367" s="1" t="n">
        <v>8.4</v>
      </c>
      <c r="K367" s="1" t="n">
        <v>22.8</v>
      </c>
      <c r="L367" s="1" t="n">
        <v>1.04</v>
      </c>
      <c r="M367" s="1" t="n">
        <v>2.36</v>
      </c>
      <c r="N367" s="1" t="n">
        <v>4.74</v>
      </c>
      <c r="O367" s="1" t="n">
        <v>2.1</v>
      </c>
      <c r="P367" s="1" t="n">
        <v>0.17</v>
      </c>
      <c r="Q367" s="1" t="n">
        <v>7.83</v>
      </c>
      <c r="R367" s="1" t="n">
        <v>96.9974</v>
      </c>
      <c r="S367" s="1" t="n">
        <v>0.0145</v>
      </c>
      <c r="T367" s="1" t="n">
        <v>0.0568</v>
      </c>
      <c r="U367" s="1" t="n">
        <v>0.0156</v>
      </c>
      <c r="V367" s="1" t="n">
        <v>95</v>
      </c>
      <c r="W367" s="1" t="n">
        <v>527</v>
      </c>
      <c r="X367" s="1" t="n">
        <v>119</v>
      </c>
      <c r="Y367" s="1" t="n">
        <v>-17601</v>
      </c>
      <c r="Z367" s="1" t="n">
        <v>-21876</v>
      </c>
      <c r="AA367" s="1" t="n">
        <v>-432</v>
      </c>
      <c r="AB367" s="1" t="n">
        <v>129.88</v>
      </c>
      <c r="AC367" s="1" t="s">
        <v>289</v>
      </c>
    </row>
    <row r="368" customFormat="false" ht="15" hidden="false" customHeight="false" outlineLevel="0" collapsed="false">
      <c r="C368" s="1" t="s">
        <v>43</v>
      </c>
      <c r="D368" s="5" t="n">
        <f aca="false">AVERAGE(D348:D367)*10000</f>
        <v>918.05</v>
      </c>
      <c r="E368" s="5" t="n">
        <f aca="false">AVERAGE(E348:E367)*10000</f>
        <v>1437.2</v>
      </c>
      <c r="F368" s="5" t="n">
        <f aca="false">AVERAGE(F348:F367)*10000</f>
        <v>1293.8</v>
      </c>
      <c r="S368" s="5" t="n">
        <f aca="false">AVERAGE(S348:S367)*10000</f>
        <v>141.35</v>
      </c>
      <c r="T368" s="5" t="n">
        <f aca="false">AVERAGE(T348:T367)*10000</f>
        <v>562</v>
      </c>
      <c r="U368" s="5" t="n">
        <f aca="false">AVERAGE(U348:U367)*10000</f>
        <v>152.4</v>
      </c>
      <c r="V368" s="5" t="n">
        <f aca="false">AVERAGE(V348:V367)</f>
        <v>95.75</v>
      </c>
      <c r="W368" s="5" t="n">
        <f aca="false">AVERAGE(W348:W367)</f>
        <v>523.5</v>
      </c>
      <c r="X368" s="5" t="n">
        <f aca="false">AVERAGE(X348:X367)</f>
        <v>114.1</v>
      </c>
    </row>
    <row r="369" customFormat="false" ht="15" hidden="false" customHeight="false" outlineLevel="0" collapsed="false">
      <c r="C369" s="1" t="s">
        <v>44</v>
      </c>
      <c r="D369" s="5" t="n">
        <f aca="false">_xlfn.STDEV.P(D348:D367)*2*10000</f>
        <v>66.6407532970629</v>
      </c>
      <c r="E369" s="5" t="n">
        <f aca="false">_xlfn.STDEV.P(E348:E367)*2*10000</f>
        <v>316.555587535586</v>
      </c>
      <c r="F369" s="5" t="n">
        <f aca="false">_xlfn.STDEV.P(F348:F367)*2*10000</f>
        <v>123.349260232885</v>
      </c>
    </row>
    <row r="370" customFormat="false" ht="15" hidden="false" customHeight="false" outlineLevel="0" collapsed="false">
      <c r="C370" s="1" t="s">
        <v>45</v>
      </c>
      <c r="D370" s="5" t="n">
        <f aca="false">S368/3*2</f>
        <v>94.2333333333333</v>
      </c>
      <c r="E370" s="5" t="n">
        <f aca="false">T368/3*2</f>
        <v>374.666666666667</v>
      </c>
      <c r="F370" s="5" t="n">
        <f aca="false">U368/3*2</f>
        <v>101.6</v>
      </c>
    </row>
    <row r="371" customFormat="false" ht="15" hidden="false" customHeight="false" outlineLevel="0" collapsed="false">
      <c r="C371" s="1" t="s">
        <v>46</v>
      </c>
      <c r="D371" s="5" t="n">
        <f aca="false">V368</f>
        <v>95.75</v>
      </c>
      <c r="E371" s="5" t="n">
        <f aca="false">W368</f>
        <v>523.5</v>
      </c>
      <c r="F371" s="5" t="n">
        <f aca="false">X368</f>
        <v>114.1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X74"/>
  <sheetViews>
    <sheetView showFormulas="false" showGridLines="true" showRowColHeaders="true" showZeros="true" rightToLeft="false" tabSelected="false" showOutlineSymbols="true" defaultGridColor="true" view="normal" topLeftCell="A1" colorId="64" zoomScale="55" zoomScaleNormal="55" zoomScalePageLayoutView="100" workbookViewId="0">
      <pane xSplit="1" ySplit="3" topLeftCell="B32" activePane="bottomRight" state="frozen"/>
      <selection pane="topLeft" activeCell="A1" activeCellId="0" sqref="A1"/>
      <selection pane="topRight" activeCell="B1" activeCellId="0" sqref="B1"/>
      <selection pane="bottomLeft" activeCell="A32" activeCellId="0" sqref="A32"/>
      <selection pane="bottomRight" activeCell="F60" activeCellId="0" sqref="F60"/>
    </sheetView>
  </sheetViews>
  <sheetFormatPr defaultColWidth="10.41796875" defaultRowHeight="12.75" zeroHeight="false" outlineLevelRow="0" outlineLevelCol="0"/>
  <cols>
    <col collapsed="false" customWidth="true" hidden="false" outlineLevel="0" max="1" min="1" style="22" width="24.69"/>
    <col collapsed="false" customWidth="true" hidden="false" outlineLevel="0" max="2" min="2" style="22" width="12.7"/>
    <col collapsed="false" customWidth="true" hidden="false" outlineLevel="0" max="3" min="3" style="22" width="4.1"/>
    <col collapsed="false" customWidth="true" hidden="false" outlineLevel="0" max="4" min="4" style="22" width="8.9"/>
    <col collapsed="false" customWidth="true" hidden="false" outlineLevel="0" max="5" min="5" style="22" width="12.2"/>
    <col collapsed="false" customWidth="true" hidden="false" outlineLevel="0" max="6" min="6" style="22" width="11.4"/>
    <col collapsed="false" customWidth="true" hidden="false" outlineLevel="0" max="7" min="7" style="22" width="8.9"/>
    <col collapsed="false" customWidth="true" hidden="false" outlineLevel="0" max="8" min="8" style="22" width="2.7"/>
    <col collapsed="false" customWidth="true" hidden="false" outlineLevel="0" max="9" min="9" style="22" width="4.5"/>
    <col collapsed="false" customWidth="true" hidden="false" outlineLevel="0" max="10" min="10" style="22" width="10.7"/>
    <col collapsed="false" customWidth="true" hidden="false" outlineLevel="0" max="11" min="11" style="22" width="11.3"/>
    <col collapsed="false" customWidth="true" hidden="false" outlineLevel="0" max="12" min="12" style="22" width="7.8"/>
    <col collapsed="false" customWidth="true" hidden="false" outlineLevel="0" max="13" min="13" style="22" width="11.2"/>
    <col collapsed="false" customWidth="false" hidden="false" outlineLevel="0" max="14" min="14" style="22" width="10.4"/>
    <col collapsed="false" customWidth="true" hidden="false" outlineLevel="0" max="15" min="15" style="22" width="17.4"/>
    <col collapsed="false" customWidth="false" hidden="false" outlineLevel="0" max="1024" min="16" style="22" width="10.4"/>
  </cols>
  <sheetData>
    <row r="1" customFormat="false" ht="12.75" hidden="false" customHeight="false" outlineLevel="0" collapsed="false">
      <c r="A1" s="23" t="s">
        <v>510</v>
      </c>
      <c r="B1" s="24"/>
      <c r="C1" s="24"/>
      <c r="D1" s="24"/>
      <c r="E1" s="24"/>
      <c r="F1" s="24"/>
      <c r="G1" s="25"/>
      <c r="H1" s="25"/>
      <c r="I1" s="25"/>
      <c r="J1" s="25"/>
      <c r="K1" s="25"/>
      <c r="L1" s="25"/>
      <c r="M1" s="25"/>
      <c r="N1" s="25"/>
      <c r="O1" s="25"/>
    </row>
    <row r="2" customFormat="false" ht="12.75" hidden="false" customHeight="false" outlineLevel="0" collapsed="false">
      <c r="A2" s="26" t="s">
        <v>511</v>
      </c>
      <c r="B2" s="24" t="s">
        <v>512</v>
      </c>
      <c r="C2" s="24"/>
      <c r="D2" s="27"/>
      <c r="E2" s="27"/>
      <c r="F2" s="27"/>
      <c r="G2" s="27"/>
      <c r="H2" s="25"/>
      <c r="I2" s="28" t="s">
        <v>513</v>
      </c>
      <c r="J2" s="28"/>
      <c r="K2" s="28"/>
      <c r="L2" s="28"/>
      <c r="M2" s="23"/>
      <c r="N2" s="25"/>
      <c r="O2" s="25"/>
    </row>
    <row r="3" customFormat="false" ht="12.75" hidden="false" customHeight="false" outlineLevel="0" collapsed="false">
      <c r="A3" s="25" t="s">
        <v>514</v>
      </c>
      <c r="B3" s="24" t="s">
        <v>515</v>
      </c>
      <c r="C3" s="24" t="s">
        <v>516</v>
      </c>
      <c r="D3" s="24" t="s">
        <v>517</v>
      </c>
      <c r="E3" s="24" t="s">
        <v>518</v>
      </c>
      <c r="F3" s="24" t="s">
        <v>25</v>
      </c>
      <c r="G3" s="24" t="s">
        <v>519</v>
      </c>
      <c r="H3" s="25"/>
      <c r="I3" s="24" t="s">
        <v>516</v>
      </c>
      <c r="J3" s="24" t="s">
        <v>520</v>
      </c>
      <c r="K3" s="24" t="s">
        <v>521</v>
      </c>
      <c r="L3" s="24" t="s">
        <v>522</v>
      </c>
      <c r="M3" s="29"/>
      <c r="N3" s="29"/>
      <c r="O3" s="29"/>
      <c r="W3" s="30"/>
      <c r="X3" s="30"/>
    </row>
    <row r="4" customFormat="false" ht="12.75" hidden="false" customHeight="false" outlineLevel="0" collapsed="false">
      <c r="A4" s="31" t="s">
        <v>523</v>
      </c>
      <c r="B4" s="24"/>
      <c r="C4" s="24"/>
      <c r="D4" s="24"/>
      <c r="E4" s="24"/>
      <c r="F4" s="24"/>
      <c r="G4" s="25"/>
      <c r="H4" s="25"/>
      <c r="I4" s="25"/>
      <c r="J4" s="32"/>
      <c r="K4" s="25"/>
      <c r="L4" s="25"/>
      <c r="M4" s="25"/>
      <c r="N4" s="33"/>
      <c r="O4" s="33"/>
      <c r="V4" s="34"/>
      <c r="W4" s="34"/>
      <c r="X4" s="34"/>
    </row>
    <row r="5" customFormat="false" ht="12.75" hidden="false" customHeight="false" outlineLevel="0" collapsed="false">
      <c r="A5" s="25" t="s">
        <v>524</v>
      </c>
      <c r="B5" s="24" t="n">
        <v>3</v>
      </c>
      <c r="C5" s="24" t="n">
        <f aca="false">30*6</f>
        <v>180</v>
      </c>
      <c r="D5" s="35" t="n">
        <v>0</v>
      </c>
      <c r="E5" s="35" t="n">
        <f aca="false">D5/(B5*C5)</f>
        <v>0</v>
      </c>
      <c r="F5" s="24" t="n">
        <v>0.023</v>
      </c>
      <c r="G5" s="24" t="n">
        <v>0.001</v>
      </c>
      <c r="H5" s="25"/>
      <c r="I5" s="24" t="n">
        <f aca="false">30*2</f>
        <v>60</v>
      </c>
      <c r="J5" s="35" t="n">
        <v>285558.08</v>
      </c>
      <c r="K5" s="36" t="n">
        <f aca="false">J5/(I5*B5)</f>
        <v>1586.43377777778</v>
      </c>
      <c r="L5" s="37" t="n">
        <f aca="false">E5/K5</f>
        <v>0</v>
      </c>
      <c r="M5" s="25"/>
      <c r="N5" s="33"/>
      <c r="O5" s="33"/>
      <c r="V5" s="30"/>
      <c r="W5" s="30"/>
      <c r="X5" s="30"/>
    </row>
    <row r="6" customFormat="false" ht="12.75" hidden="false" customHeight="false" outlineLevel="0" collapsed="false">
      <c r="A6" s="25" t="s">
        <v>525</v>
      </c>
      <c r="B6" s="24" t="n">
        <v>3</v>
      </c>
      <c r="C6" s="24" t="n">
        <f aca="false">30*6</f>
        <v>180</v>
      </c>
      <c r="D6" s="35" t="n">
        <v>3655021.3</v>
      </c>
      <c r="E6" s="35" t="n">
        <f aca="false">D6/(B6*C6)</f>
        <v>6768.55796296296</v>
      </c>
      <c r="F6" s="24" t="n">
        <v>2.21</v>
      </c>
      <c r="G6" s="24" t="n">
        <v>0.13</v>
      </c>
      <c r="H6" s="25"/>
      <c r="I6" s="24" t="n">
        <f aca="false">30*2</f>
        <v>60</v>
      </c>
      <c r="J6" s="35" t="n">
        <v>273291.85</v>
      </c>
      <c r="K6" s="36" t="n">
        <f aca="false">J6/(I6*B6)</f>
        <v>1518.28805555556</v>
      </c>
      <c r="L6" s="37" t="n">
        <f aca="false">E6/K6</f>
        <v>4.45801963480921</v>
      </c>
      <c r="M6" s="38"/>
      <c r="N6" s="39"/>
      <c r="O6" s="39"/>
      <c r="V6" s="30"/>
      <c r="W6" s="30"/>
      <c r="X6" s="30"/>
    </row>
    <row r="7" customFormat="false" ht="12.75" hidden="false" customHeight="false" outlineLevel="0" collapsed="false">
      <c r="A7" s="25" t="s">
        <v>526</v>
      </c>
      <c r="B7" s="24" t="n">
        <v>3</v>
      </c>
      <c r="C7" s="24" t="n">
        <f aca="false">30*6</f>
        <v>180</v>
      </c>
      <c r="D7" s="35" t="n">
        <v>3914450.1</v>
      </c>
      <c r="E7" s="35" t="n">
        <f aca="false">D7/(B7*C7)</f>
        <v>7248.98166666667</v>
      </c>
      <c r="F7" s="24" t="n">
        <v>2.48</v>
      </c>
      <c r="G7" s="40" t="n">
        <v>0.1</v>
      </c>
      <c r="H7" s="25"/>
      <c r="I7" s="24" t="n">
        <f aca="false">30*2</f>
        <v>60</v>
      </c>
      <c r="J7" s="35" t="n">
        <v>267189.07</v>
      </c>
      <c r="K7" s="36" t="n">
        <f aca="false">J7/(I7*B7)</f>
        <v>1484.38372222222</v>
      </c>
      <c r="L7" s="37" t="n">
        <f aca="false">E7/K7</f>
        <v>4.88349579569254</v>
      </c>
      <c r="M7" s="38"/>
      <c r="N7" s="39"/>
      <c r="O7" s="41"/>
      <c r="V7" s="30"/>
      <c r="W7" s="30"/>
      <c r="X7" s="42"/>
    </row>
    <row r="8" customFormat="false" ht="12.75" hidden="false" customHeight="false" outlineLevel="0" collapsed="false">
      <c r="A8" s="25" t="s">
        <v>527</v>
      </c>
      <c r="B8" s="24" t="n">
        <v>3</v>
      </c>
      <c r="C8" s="24" t="n">
        <f aca="false">30*6</f>
        <v>180</v>
      </c>
      <c r="D8" s="35" t="n">
        <v>2913047.5</v>
      </c>
      <c r="E8" s="35" t="n">
        <f aca="false">D8/(B8*C8)</f>
        <v>5394.53240740741</v>
      </c>
      <c r="F8" s="24" t="n">
        <v>1.92</v>
      </c>
      <c r="G8" s="24" t="n">
        <v>0.07</v>
      </c>
      <c r="H8" s="25"/>
      <c r="I8" s="24" t="n">
        <f aca="false">30*2</f>
        <v>60</v>
      </c>
      <c r="J8" s="35" t="n">
        <v>307121.6</v>
      </c>
      <c r="K8" s="36" t="n">
        <f aca="false">J8/(I8*B8)</f>
        <v>1706.23111111111</v>
      </c>
      <c r="L8" s="37" t="n">
        <f aca="false">E8/K8</f>
        <v>3.16166571590319</v>
      </c>
      <c r="M8" s="38"/>
      <c r="N8" s="39"/>
      <c r="O8" s="41"/>
      <c r="V8" s="42"/>
      <c r="W8" s="42"/>
      <c r="X8" s="42"/>
    </row>
    <row r="9" customFormat="false" ht="12.75" hidden="false" customHeight="false" outlineLevel="0" collapsed="false">
      <c r="A9" s="25"/>
      <c r="B9" s="24"/>
      <c r="C9" s="24"/>
      <c r="D9" s="36"/>
      <c r="E9" s="35"/>
      <c r="F9" s="24"/>
      <c r="G9" s="24"/>
      <c r="H9" s="25"/>
      <c r="I9" s="24"/>
      <c r="J9" s="35"/>
      <c r="K9" s="36"/>
      <c r="L9" s="37"/>
      <c r="M9" s="38"/>
      <c r="N9" s="33"/>
      <c r="O9" s="33"/>
      <c r="V9" s="42"/>
      <c r="W9" s="42"/>
      <c r="X9" s="42"/>
    </row>
    <row r="10" customFormat="false" ht="12.75" hidden="false" customHeight="false" outlineLevel="0" collapsed="false">
      <c r="A10" s="23" t="s">
        <v>528</v>
      </c>
      <c r="B10" s="24"/>
      <c r="C10" s="24"/>
      <c r="D10" s="36"/>
      <c r="E10" s="35"/>
      <c r="F10" s="24"/>
      <c r="G10" s="24"/>
      <c r="H10" s="25"/>
      <c r="I10" s="24"/>
      <c r="J10" s="35"/>
      <c r="K10" s="36"/>
      <c r="L10" s="37"/>
      <c r="M10" s="25"/>
      <c r="N10" s="33"/>
      <c r="O10" s="33"/>
      <c r="V10" s="42"/>
      <c r="W10" s="42"/>
      <c r="X10" s="42"/>
    </row>
    <row r="11" customFormat="false" ht="12.75" hidden="false" customHeight="false" outlineLevel="0" collapsed="false">
      <c r="A11" s="25" t="s">
        <v>529</v>
      </c>
      <c r="B11" s="24" t="n">
        <v>3</v>
      </c>
      <c r="C11" s="24" t="n">
        <f aca="false">30*6</f>
        <v>180</v>
      </c>
      <c r="D11" s="36" t="n">
        <v>0</v>
      </c>
      <c r="E11" s="35" t="n">
        <f aca="false">D11/(B11*C11)</f>
        <v>0</v>
      </c>
      <c r="F11" s="24" t="n">
        <v>0.023</v>
      </c>
      <c r="G11" s="24" t="n">
        <v>0.001</v>
      </c>
      <c r="H11" s="25"/>
      <c r="I11" s="24" t="n">
        <f aca="false">30*2</f>
        <v>60</v>
      </c>
      <c r="J11" s="35" t="n">
        <v>293222.38</v>
      </c>
      <c r="K11" s="36" t="n">
        <f aca="false">J11/(I11*B11)</f>
        <v>1629.01322222222</v>
      </c>
      <c r="L11" s="37" t="n">
        <f aca="false">E11/K11</f>
        <v>0</v>
      </c>
      <c r="M11" s="25"/>
      <c r="N11" s="33"/>
      <c r="O11" s="33"/>
      <c r="V11" s="42"/>
      <c r="W11" s="42"/>
      <c r="X11" s="42"/>
    </row>
    <row r="12" customFormat="false" ht="12.75" hidden="false" customHeight="false" outlineLevel="0" collapsed="false">
      <c r="A12" s="25" t="s">
        <v>530</v>
      </c>
      <c r="B12" s="24" t="n">
        <v>3</v>
      </c>
      <c r="C12" s="24" t="n">
        <f aca="false">30*6</f>
        <v>180</v>
      </c>
      <c r="D12" s="36" t="n">
        <v>3808323.7</v>
      </c>
      <c r="E12" s="35" t="n">
        <f aca="false">D12/(B12*C12)</f>
        <v>7052.4512962963</v>
      </c>
      <c r="F12" s="24" t="n">
        <v>2.21</v>
      </c>
      <c r="G12" s="24" t="n">
        <v>0.13</v>
      </c>
      <c r="H12" s="25"/>
      <c r="I12" s="24" t="n">
        <f aca="false">30*2</f>
        <v>60</v>
      </c>
      <c r="J12" s="35" t="n">
        <v>281856.29</v>
      </c>
      <c r="K12" s="36" t="n">
        <f aca="false">J12/(I12*B12)</f>
        <v>1565.86827777778</v>
      </c>
      <c r="L12" s="37" t="n">
        <f aca="false">E12/K12</f>
        <v>4.50385986891878</v>
      </c>
      <c r="M12" s="38"/>
      <c r="N12" s="33"/>
      <c r="O12" s="33"/>
      <c r="V12" s="42"/>
      <c r="W12" s="42"/>
      <c r="X12" s="42"/>
    </row>
    <row r="13" customFormat="false" ht="12.75" hidden="false" customHeight="false" outlineLevel="0" collapsed="false">
      <c r="A13" s="25" t="s">
        <v>531</v>
      </c>
      <c r="B13" s="24" t="n">
        <v>3</v>
      </c>
      <c r="C13" s="24" t="n">
        <f aca="false">30*6</f>
        <v>180</v>
      </c>
      <c r="D13" s="36" t="n">
        <v>4083341.9</v>
      </c>
      <c r="E13" s="35" t="n">
        <f aca="false">D13/(B13*C13)</f>
        <v>7561.74425925926</v>
      </c>
      <c r="F13" s="24" t="n">
        <v>2.48</v>
      </c>
      <c r="G13" s="40" t="n">
        <v>0.1</v>
      </c>
      <c r="H13" s="25"/>
      <c r="I13" s="24" t="n">
        <f aca="false">30*2</f>
        <v>60</v>
      </c>
      <c r="J13" s="35" t="n">
        <v>280360.2</v>
      </c>
      <c r="K13" s="36" t="n">
        <f aca="false">J13/(I13*B13)</f>
        <v>1557.55666666667</v>
      </c>
      <c r="L13" s="37" t="n">
        <f aca="false">E13/K13</f>
        <v>4.85487585850868</v>
      </c>
      <c r="M13" s="38"/>
      <c r="N13" s="33"/>
      <c r="O13" s="33"/>
      <c r="V13" s="42"/>
      <c r="W13" s="42"/>
      <c r="X13" s="42"/>
    </row>
    <row r="14" customFormat="false" ht="12.75" hidden="false" customHeight="false" outlineLevel="0" collapsed="false">
      <c r="A14" s="25" t="s">
        <v>532</v>
      </c>
      <c r="B14" s="24" t="n">
        <v>3</v>
      </c>
      <c r="C14" s="24" t="n">
        <f aca="false">30*6</f>
        <v>180</v>
      </c>
      <c r="D14" s="36" t="n">
        <v>2847500.1</v>
      </c>
      <c r="E14" s="35" t="n">
        <f aca="false">D14/(B14*C14)</f>
        <v>5273.14833333333</v>
      </c>
      <c r="F14" s="24" t="n">
        <v>1.92</v>
      </c>
      <c r="G14" s="24" t="n">
        <v>0.07</v>
      </c>
      <c r="H14" s="25"/>
      <c r="I14" s="24" t="n">
        <f aca="false">30*2</f>
        <v>60</v>
      </c>
      <c r="J14" s="35" t="n">
        <v>280042.62</v>
      </c>
      <c r="K14" s="36" t="n">
        <f aca="false">J14/(I14*B14)</f>
        <v>1555.79233333333</v>
      </c>
      <c r="L14" s="37" t="n">
        <f aca="false">E14/K14</f>
        <v>3.38936516163147</v>
      </c>
      <c r="M14" s="38"/>
      <c r="N14" s="33"/>
      <c r="O14" s="33"/>
      <c r="V14" s="42"/>
      <c r="W14" s="42"/>
      <c r="X14" s="42"/>
    </row>
    <row r="15" customFormat="false" ht="12.75" hidden="false" customHeight="false" outlineLevel="0" collapsed="false">
      <c r="A15" s="43"/>
      <c r="B15" s="43"/>
      <c r="C15" s="44"/>
      <c r="D15" s="43"/>
      <c r="E15" s="45"/>
      <c r="F15" s="43"/>
      <c r="G15" s="43"/>
      <c r="H15" s="25"/>
      <c r="I15" s="44"/>
      <c r="J15" s="45"/>
      <c r="K15" s="46"/>
      <c r="L15" s="47"/>
      <c r="M15" s="43"/>
      <c r="N15" s="43"/>
      <c r="O15" s="43"/>
    </row>
    <row r="16" customFormat="false" ht="12.75" hidden="false" customHeight="false" outlineLevel="0" collapsed="false">
      <c r="A16" s="23" t="s">
        <v>533</v>
      </c>
      <c r="B16" s="24"/>
      <c r="C16" s="24"/>
      <c r="D16" s="36"/>
      <c r="E16" s="35"/>
      <c r="F16" s="48" t="s">
        <v>534</v>
      </c>
      <c r="G16" s="24"/>
      <c r="H16" s="25"/>
      <c r="I16" s="24"/>
      <c r="J16" s="35"/>
      <c r="K16" s="36"/>
      <c r="L16" s="37"/>
      <c r="M16" s="48" t="s">
        <v>535</v>
      </c>
      <c r="N16" s="48" t="s">
        <v>536</v>
      </c>
      <c r="O16" s="24"/>
    </row>
    <row r="17" customFormat="false" ht="12.75" hidden="false" customHeight="false" outlineLevel="0" collapsed="false">
      <c r="A17" s="25" t="s">
        <v>537</v>
      </c>
      <c r="B17" s="24" t="n">
        <v>3</v>
      </c>
      <c r="C17" s="24" t="n">
        <f aca="false">30*6</f>
        <v>180</v>
      </c>
      <c r="D17" s="36" t="n">
        <v>1829578.7</v>
      </c>
      <c r="E17" s="35" t="n">
        <f aca="false">D17/(B17*C17)</f>
        <v>3388.1087037037</v>
      </c>
      <c r="F17" s="49" t="n">
        <f aca="false">(E17+93.51)/2983</f>
        <v>1.16715343737972</v>
      </c>
      <c r="G17" s="24"/>
      <c r="H17" s="25"/>
      <c r="I17" s="24" t="n">
        <f aca="false">30*2</f>
        <v>60</v>
      </c>
      <c r="J17" s="35" t="n">
        <v>267494.52</v>
      </c>
      <c r="K17" s="36" t="n">
        <f aca="false">J17/(I17*B17)</f>
        <v>1486.08066666667</v>
      </c>
      <c r="L17" s="37" t="n">
        <f aca="false">E17/K17</f>
        <v>2.27989555324971</v>
      </c>
      <c r="M17" s="50" t="n">
        <f aca="false">(L17+0.1265)/1.9613</f>
        <v>1.22693904718794</v>
      </c>
      <c r="N17" s="25"/>
      <c r="O17" s="49"/>
    </row>
    <row r="18" customFormat="false" ht="12.75" hidden="false" customHeight="false" outlineLevel="0" collapsed="false">
      <c r="A18" s="25" t="s">
        <v>538</v>
      </c>
      <c r="B18" s="24" t="n">
        <v>3</v>
      </c>
      <c r="C18" s="24" t="n">
        <f aca="false">30*4</f>
        <v>120</v>
      </c>
      <c r="D18" s="36" t="n">
        <v>1223494.7</v>
      </c>
      <c r="E18" s="35" t="n">
        <f aca="false">D18/(B18*C18)</f>
        <v>3398.59638888889</v>
      </c>
      <c r="F18" s="49" t="n">
        <f aca="false">(E18+93.51)/2983</f>
        <v>1.17066925541029</v>
      </c>
      <c r="G18" s="24"/>
      <c r="H18" s="25"/>
      <c r="I18" s="24" t="n">
        <f aca="false">30*2</f>
        <v>60</v>
      </c>
      <c r="J18" s="35" t="n">
        <v>228094.01</v>
      </c>
      <c r="K18" s="36" t="n">
        <f aca="false">J18/(I18*B18)</f>
        <v>1267.18894444444</v>
      </c>
      <c r="L18" s="37" t="n">
        <f aca="false">E18/K18</f>
        <v>2.68199655922573</v>
      </c>
      <c r="M18" s="51" t="n">
        <f aca="false">(L18+0.1265)/1.9613</f>
        <v>1.43195664060864</v>
      </c>
      <c r="N18" s="25"/>
      <c r="O18" s="49"/>
    </row>
    <row r="19" customFormat="false" ht="12.75" hidden="false" customHeight="false" outlineLevel="0" collapsed="false">
      <c r="A19" s="25" t="s">
        <v>539</v>
      </c>
      <c r="B19" s="24" t="n">
        <v>3</v>
      </c>
      <c r="C19" s="24" t="n">
        <f aca="false">30*4</f>
        <v>120</v>
      </c>
      <c r="D19" s="36" t="n">
        <v>1155773.9</v>
      </c>
      <c r="E19" s="35" t="n">
        <f aca="false">D19/(B19*C19)</f>
        <v>3210.48305555556</v>
      </c>
      <c r="F19" s="49" t="n">
        <f aca="false">(E19+93.51)/2983</f>
        <v>1.10760746079636</v>
      </c>
      <c r="G19" s="24"/>
      <c r="H19" s="25"/>
      <c r="I19" s="24" t="n">
        <f aca="false">30*2</f>
        <v>60</v>
      </c>
      <c r="J19" s="35" t="n">
        <v>258419.18</v>
      </c>
      <c r="K19" s="36" t="n">
        <f aca="false">J19/(I19*B19)</f>
        <v>1435.66211111111</v>
      </c>
      <c r="L19" s="37" t="n">
        <f aca="false">E19/K19</f>
        <v>2.23623861820164</v>
      </c>
      <c r="M19" s="50" t="n">
        <f aca="false">(L19+0.1265)/1.9613</f>
        <v>1.20467986447848</v>
      </c>
      <c r="N19" s="25"/>
      <c r="O19" s="49"/>
    </row>
    <row r="20" customFormat="false" ht="12.75" hidden="false" customHeight="false" outlineLevel="0" collapsed="false">
      <c r="A20" s="52" t="s">
        <v>540</v>
      </c>
      <c r="B20" s="24"/>
      <c r="C20" s="24"/>
      <c r="D20" s="36"/>
      <c r="E20" s="35"/>
      <c r="F20" s="25"/>
      <c r="G20" s="53" t="n">
        <f aca="false">AVERAGE(F17:F19)</f>
        <v>1.14847671786212</v>
      </c>
      <c r="H20" s="25"/>
      <c r="I20" s="24"/>
      <c r="J20" s="35"/>
      <c r="K20" s="36"/>
      <c r="L20" s="37"/>
      <c r="M20" s="25"/>
      <c r="N20" s="53" t="n">
        <f aca="false">AVERAGE(F17:F19,M17,M19)</f>
        <v>1.17540981305056</v>
      </c>
      <c r="O20" s="25"/>
    </row>
    <row r="21" customFormat="false" ht="12.75" hidden="false" customHeight="false" outlineLevel="0" collapsed="false">
      <c r="A21" s="52" t="s">
        <v>541</v>
      </c>
      <c r="B21" s="24"/>
      <c r="C21" s="24"/>
      <c r="D21" s="36"/>
      <c r="E21" s="35"/>
      <c r="F21" s="25"/>
      <c r="G21" s="53" t="n">
        <f aca="false">_xlfn.STDEV.S(F17:F19)</f>
        <v>0.0354374431066402</v>
      </c>
      <c r="H21" s="25"/>
      <c r="I21" s="24"/>
      <c r="J21" s="35"/>
      <c r="K21" s="36"/>
      <c r="L21" s="37"/>
      <c r="M21" s="25"/>
      <c r="N21" s="53" t="n">
        <f aca="false">_xlfn.STDEV.S(F17:F19,M17,M19)</f>
        <v>0.0452763665683847</v>
      </c>
      <c r="O21" s="25"/>
    </row>
    <row r="22" customFormat="false" ht="12.75" hidden="false" customHeight="false" outlineLevel="0" collapsed="false">
      <c r="A22" s="25" t="s">
        <v>542</v>
      </c>
      <c r="B22" s="24" t="n">
        <v>3</v>
      </c>
      <c r="C22" s="24" t="n">
        <f aca="false">30*4</f>
        <v>120</v>
      </c>
      <c r="D22" s="36" t="n">
        <v>952099.85</v>
      </c>
      <c r="E22" s="35" t="n">
        <f aca="false">D22/(B22*C22)</f>
        <v>2644.72180555556</v>
      </c>
      <c r="F22" s="49" t="n">
        <f aca="false">(E22+93.51)/2983</f>
        <v>0.917945627071926</v>
      </c>
      <c r="G22" s="24"/>
      <c r="H22" s="25"/>
      <c r="I22" s="24" t="n">
        <f aca="false">30*2</f>
        <v>60</v>
      </c>
      <c r="J22" s="35" t="n">
        <v>270572.58</v>
      </c>
      <c r="K22" s="36" t="n">
        <f aca="false">J22/(I22*B22)</f>
        <v>1503.181</v>
      </c>
      <c r="L22" s="37" t="n">
        <f aca="false">E22/K22</f>
        <v>1.75941673394991</v>
      </c>
      <c r="M22" s="50" t="n">
        <f aca="false">(L22+0.1265)/1.9613</f>
        <v>0.961564642813393</v>
      </c>
      <c r="N22" s="25"/>
      <c r="O22" s="49"/>
    </row>
    <row r="23" customFormat="false" ht="12.75" hidden="false" customHeight="false" outlineLevel="0" collapsed="false">
      <c r="A23" s="25" t="s">
        <v>543</v>
      </c>
      <c r="B23" s="24" t="n">
        <v>3</v>
      </c>
      <c r="C23" s="24" t="n">
        <f aca="false">30*4</f>
        <v>120</v>
      </c>
      <c r="D23" s="36" t="n">
        <v>992926.11</v>
      </c>
      <c r="E23" s="35" t="n">
        <f aca="false">D23/(B23*C23)</f>
        <v>2758.12808333333</v>
      </c>
      <c r="F23" s="49" t="n">
        <f aca="false">(E23+93.51)/2983</f>
        <v>0.95596315230752</v>
      </c>
      <c r="G23" s="24"/>
      <c r="H23" s="25"/>
      <c r="I23" s="24" t="n">
        <f aca="false">30*2</f>
        <v>60</v>
      </c>
      <c r="J23" s="35" t="n">
        <v>278785.39</v>
      </c>
      <c r="K23" s="36" t="n">
        <f aca="false">J23/(I23*B23)</f>
        <v>1548.80772222222</v>
      </c>
      <c r="L23" s="37" t="n">
        <f aca="false">E23/K23</f>
        <v>1.78080729051117</v>
      </c>
      <c r="M23" s="50" t="n">
        <f aca="false">(L23+0.1265)/1.9613</f>
        <v>0.972470958298664</v>
      </c>
      <c r="N23" s="25"/>
      <c r="O23" s="49"/>
    </row>
    <row r="24" customFormat="false" ht="12.75" hidden="false" customHeight="false" outlineLevel="0" collapsed="false">
      <c r="A24" s="25" t="s">
        <v>544</v>
      </c>
      <c r="B24" s="24" t="n">
        <v>3</v>
      </c>
      <c r="C24" s="24" t="n">
        <f aca="false">30*4</f>
        <v>120</v>
      </c>
      <c r="D24" s="36" t="n">
        <v>1049713.9</v>
      </c>
      <c r="E24" s="35" t="n">
        <f aca="false">D24/(B24*C24)</f>
        <v>2915.87194444444</v>
      </c>
      <c r="F24" s="49" t="n">
        <f aca="false">(E24+93.51)/2983</f>
        <v>1.00884409803702</v>
      </c>
      <c r="G24" s="24"/>
      <c r="H24" s="25"/>
      <c r="I24" s="24" t="n">
        <f aca="false">30*2</f>
        <v>60</v>
      </c>
      <c r="J24" s="35" t="n">
        <v>265912.19</v>
      </c>
      <c r="K24" s="36" t="n">
        <f aca="false">J24/(I24*B24)</f>
        <v>1477.28994444444</v>
      </c>
      <c r="L24" s="37" t="n">
        <f aca="false">E24/K24</f>
        <v>1.97379800452172</v>
      </c>
      <c r="M24" s="50" t="n">
        <f aca="false">(L24+0.1265)/1.9613</f>
        <v>1.07087034340576</v>
      </c>
      <c r="N24" s="25"/>
      <c r="O24" s="49"/>
    </row>
    <row r="25" customFormat="false" ht="12.75" hidden="false" customHeight="false" outlineLevel="0" collapsed="false">
      <c r="A25" s="52" t="s">
        <v>540</v>
      </c>
      <c r="B25" s="24"/>
      <c r="C25" s="24"/>
      <c r="D25" s="36"/>
      <c r="E25" s="35"/>
      <c r="F25" s="25"/>
      <c r="G25" s="53" t="n">
        <f aca="false">AVERAGE(F22:F24)</f>
        <v>0.96091762580549</v>
      </c>
      <c r="H25" s="25"/>
      <c r="I25" s="24"/>
      <c r="J25" s="35"/>
      <c r="K25" s="36"/>
      <c r="L25" s="37"/>
      <c r="M25" s="25"/>
      <c r="N25" s="53" t="n">
        <f aca="false">AVERAGE(F22:F24,M22:M24)</f>
        <v>0.981276470322382</v>
      </c>
      <c r="O25" s="54"/>
    </row>
    <row r="26" customFormat="false" ht="12.75" hidden="false" customHeight="false" outlineLevel="0" collapsed="false">
      <c r="A26" s="52" t="s">
        <v>541</v>
      </c>
      <c r="B26" s="24"/>
      <c r="C26" s="24"/>
      <c r="D26" s="36"/>
      <c r="E26" s="35"/>
      <c r="F26" s="25"/>
      <c r="G26" s="53" t="n">
        <f aca="false">_xlfn.STDEV.S(F22:F24)</f>
        <v>0.0456513210288571</v>
      </c>
      <c r="H26" s="25"/>
      <c r="I26" s="24"/>
      <c r="J26" s="35"/>
      <c r="K26" s="36"/>
      <c r="L26" s="37"/>
      <c r="M26" s="55"/>
      <c r="N26" s="53" t="n">
        <f aca="false">_xlfn.STDEV.S(F22:F24,M22:M24)</f>
        <v>0.0527345980422207</v>
      </c>
      <c r="O26" s="54"/>
    </row>
    <row r="27" customFormat="false" ht="12.75" hidden="false" customHeight="false" outlineLevel="0" collapsed="false">
      <c r="A27" s="25" t="s">
        <v>545</v>
      </c>
      <c r="B27" s="24" t="n">
        <v>3</v>
      </c>
      <c r="C27" s="24" t="n">
        <f aca="false">30*4</f>
        <v>120</v>
      </c>
      <c r="D27" s="36" t="n">
        <v>982895.04</v>
      </c>
      <c r="E27" s="35" t="n">
        <f aca="false">D27/(B27*C27)</f>
        <v>2730.264</v>
      </c>
      <c r="F27" s="49" t="n">
        <f aca="false">(E27+93.51)/2983</f>
        <v>0.946622192423735</v>
      </c>
      <c r="G27" s="24"/>
      <c r="H27" s="25"/>
      <c r="I27" s="24"/>
      <c r="J27" s="35"/>
      <c r="K27" s="36"/>
      <c r="L27" s="37"/>
      <c r="M27" s="50"/>
      <c r="N27" s="25"/>
      <c r="O27" s="40" t="s">
        <v>546</v>
      </c>
    </row>
    <row r="28" customFormat="false" ht="12.75" hidden="false" customHeight="false" outlineLevel="0" collapsed="false">
      <c r="A28" s="25" t="s">
        <v>547</v>
      </c>
      <c r="B28" s="24" t="n">
        <v>3</v>
      </c>
      <c r="C28" s="24" t="n">
        <f aca="false">30*4</f>
        <v>120</v>
      </c>
      <c r="D28" s="36" t="n">
        <v>1113198.4</v>
      </c>
      <c r="E28" s="35" t="n">
        <f aca="false">D28/(B28*C28)</f>
        <v>3092.21777777778</v>
      </c>
      <c r="F28" s="49" t="n">
        <f aca="false">(E28+93.51)/2983</f>
        <v>1.0679610384773</v>
      </c>
      <c r="G28" s="24"/>
      <c r="H28" s="25"/>
      <c r="I28" s="24" t="n">
        <f aca="false">30*2</f>
        <v>60</v>
      </c>
      <c r="J28" s="35" t="n">
        <v>335587.8</v>
      </c>
      <c r="K28" s="36" t="n">
        <f aca="false">J28/(I28*B28)</f>
        <v>1864.37666666667</v>
      </c>
      <c r="L28" s="37" t="n">
        <f aca="false">E28/K28</f>
        <v>1.65857996029653</v>
      </c>
      <c r="M28" s="50" t="n">
        <f aca="false">(L28+0.1265)/1.9613</f>
        <v>0.910151409930419</v>
      </c>
      <c r="N28" s="25"/>
      <c r="O28" s="49"/>
    </row>
    <row r="29" customFormat="false" ht="12.75" hidden="false" customHeight="false" outlineLevel="0" collapsed="false">
      <c r="A29" s="25" t="s">
        <v>548</v>
      </c>
      <c r="B29" s="24" t="n">
        <v>3</v>
      </c>
      <c r="C29" s="24" t="n">
        <f aca="false">30*4</f>
        <v>120</v>
      </c>
      <c r="D29" s="36" t="n">
        <v>1077891.4</v>
      </c>
      <c r="E29" s="35" t="n">
        <f aca="false">D29/(B29*C29)</f>
        <v>2994.14277777778</v>
      </c>
      <c r="F29" s="49" t="n">
        <f aca="false">(E29+93.51)/2983</f>
        <v>1.03508306328454</v>
      </c>
      <c r="G29" s="24"/>
      <c r="H29" s="25"/>
      <c r="I29" s="24" t="n">
        <f aca="false">30*2</f>
        <v>60</v>
      </c>
      <c r="J29" s="35" t="n">
        <v>314229.06</v>
      </c>
      <c r="K29" s="36" t="n">
        <f aca="false">J29/(I29*B29)</f>
        <v>1745.717</v>
      </c>
      <c r="L29" s="37" t="n">
        <f aca="false">E29/K29</f>
        <v>1.71513640399777</v>
      </c>
      <c r="M29" s="50" t="n">
        <f aca="false">(L29+0.1265)/1.9613</f>
        <v>0.938987612296829</v>
      </c>
      <c r="N29" s="25"/>
      <c r="O29" s="49"/>
    </row>
    <row r="30" customFormat="false" ht="12.75" hidden="false" customHeight="false" outlineLevel="0" collapsed="false">
      <c r="A30" s="32" t="s">
        <v>549</v>
      </c>
      <c r="B30" s="56" t="n">
        <v>3</v>
      </c>
      <c r="C30" s="56" t="n">
        <f aca="false">30*4</f>
        <v>120</v>
      </c>
      <c r="D30" s="35" t="n">
        <v>1116838.8</v>
      </c>
      <c r="E30" s="35" t="n">
        <f aca="false">D30/(B30*C30)</f>
        <v>3102.33</v>
      </c>
      <c r="F30" s="49" t="n">
        <f aca="false">(E30+93.51)/2983</f>
        <v>1.07135098893731</v>
      </c>
      <c r="G30" s="24"/>
      <c r="H30" s="25"/>
      <c r="I30" s="56" t="n">
        <f aca="false">30*2</f>
        <v>60</v>
      </c>
      <c r="J30" s="35" t="n">
        <v>307267.49</v>
      </c>
      <c r="K30" s="36" t="n">
        <f aca="false">J30/(I30*B30)</f>
        <v>1707.04161111111</v>
      </c>
      <c r="L30" s="37" t="n">
        <f aca="false">E30/K30</f>
        <v>1.81737221858388</v>
      </c>
      <c r="M30" s="50" t="n">
        <f aca="false">(L30+0.1265)/1.9613</f>
        <v>0.991114168451476</v>
      </c>
      <c r="N30" s="25"/>
      <c r="O30" s="49"/>
    </row>
    <row r="31" customFormat="false" ht="12.75" hidden="false" customHeight="false" outlineLevel="0" collapsed="false">
      <c r="A31" s="52" t="s">
        <v>540</v>
      </c>
      <c r="B31" s="56"/>
      <c r="C31" s="56"/>
      <c r="D31" s="35"/>
      <c r="E31" s="35"/>
      <c r="F31" s="25"/>
      <c r="G31" s="53" t="n">
        <f aca="false">AVERAGE(F27:F30)</f>
        <v>1.03025432078072</v>
      </c>
      <c r="H31" s="25"/>
      <c r="I31" s="56"/>
      <c r="J31" s="35"/>
      <c r="K31" s="36"/>
      <c r="L31" s="37"/>
      <c r="M31" s="50"/>
      <c r="N31" s="53" t="n">
        <f aca="false">AVERAGE(F27:F30,M28:M30)</f>
        <v>0.994467210543086</v>
      </c>
      <c r="O31" s="49"/>
    </row>
    <row r="32" customFormat="false" ht="12.75" hidden="false" customHeight="false" outlineLevel="0" collapsed="false">
      <c r="A32" s="52" t="s">
        <v>541</v>
      </c>
      <c r="B32" s="57"/>
      <c r="C32" s="57"/>
      <c r="D32" s="58"/>
      <c r="E32" s="58"/>
      <c r="F32" s="25"/>
      <c r="G32" s="53" t="n">
        <f aca="false">_xlfn.STDEV.S(F27:F30)</f>
        <v>0.0581044529008172</v>
      </c>
      <c r="H32" s="25"/>
      <c r="I32" s="57"/>
      <c r="J32" s="35"/>
      <c r="K32" s="36"/>
      <c r="L32" s="37"/>
      <c r="M32" s="25"/>
      <c r="N32" s="53" t="n">
        <f aca="false">_xlfn.STDEV.S(F27:F30,M28:M30)</f>
        <v>0.0651276110457275</v>
      </c>
      <c r="O32" s="54"/>
    </row>
    <row r="33" customFormat="false" ht="12.75" hidden="false" customHeight="false" outlineLevel="0" collapsed="false">
      <c r="A33" s="25" t="s">
        <v>550</v>
      </c>
      <c r="B33" s="24" t="n">
        <v>3</v>
      </c>
      <c r="C33" s="24" t="n">
        <f aca="false">30*4</f>
        <v>120</v>
      </c>
      <c r="D33" s="36" t="n">
        <v>1221743.7</v>
      </c>
      <c r="E33" s="35" t="n">
        <f aca="false">D33/(B33*C33)</f>
        <v>3393.7325</v>
      </c>
      <c r="F33" s="49" t="n">
        <f aca="false">(E33+93.51)/2983</f>
        <v>1.16903871940999</v>
      </c>
      <c r="G33" s="24"/>
      <c r="H33" s="25"/>
      <c r="I33" s="24" t="n">
        <f aca="false">30*2</f>
        <v>60</v>
      </c>
      <c r="J33" s="35" t="n">
        <v>279530.35</v>
      </c>
      <c r="K33" s="36" t="n">
        <f aca="false">J33/(I33*B33)</f>
        <v>1552.94638888889</v>
      </c>
      <c r="L33" s="37" t="n">
        <f aca="false">E33/K33</f>
        <v>2.18535071415322</v>
      </c>
      <c r="M33" s="50" t="n">
        <f aca="false">(L33+0.1265)/1.9613</f>
        <v>1.1787338572137</v>
      </c>
      <c r="N33" s="25"/>
      <c r="O33" s="49"/>
    </row>
    <row r="34" customFormat="false" ht="12.75" hidden="false" customHeight="false" outlineLevel="0" collapsed="false">
      <c r="A34" s="25" t="s">
        <v>551</v>
      </c>
      <c r="B34" s="24" t="n">
        <v>3</v>
      </c>
      <c r="C34" s="24" t="n">
        <f aca="false">30*4</f>
        <v>120</v>
      </c>
      <c r="D34" s="35" t="n">
        <v>1227373.8</v>
      </c>
      <c r="E34" s="35" t="n">
        <f aca="false">D34/(B34*C34)</f>
        <v>3409.37166666667</v>
      </c>
      <c r="F34" s="49" t="n">
        <f aca="false">(E34+93.51)/2983</f>
        <v>1.17428148396469</v>
      </c>
      <c r="G34" s="24"/>
      <c r="H34" s="25"/>
      <c r="I34" s="24" t="n">
        <f aca="false">30*2</f>
        <v>60</v>
      </c>
      <c r="J34" s="35" t="n">
        <v>273469.63</v>
      </c>
      <c r="K34" s="36" t="n">
        <f aca="false">J34/(I34*B34)</f>
        <v>1519.27572222222</v>
      </c>
      <c r="L34" s="37" t="n">
        <f aca="false">E34/K34</f>
        <v>2.24407697483629</v>
      </c>
      <c r="M34" s="50" t="n">
        <f aca="false">(L34+0.1265)/1.9613</f>
        <v>1.20867637527981</v>
      </c>
      <c r="N34" s="25"/>
      <c r="O34" s="49"/>
    </row>
    <row r="35" customFormat="false" ht="12.75" hidden="false" customHeight="false" outlineLevel="0" collapsed="false">
      <c r="A35" s="25" t="s">
        <v>552</v>
      </c>
      <c r="B35" s="24" t="n">
        <v>3</v>
      </c>
      <c r="C35" s="24" t="n">
        <f aca="false">30*4</f>
        <v>120</v>
      </c>
      <c r="D35" s="35" t="n">
        <v>1192740.9</v>
      </c>
      <c r="E35" s="35" t="n">
        <f aca="false">D35/(B35*C35)</f>
        <v>3313.16916666667</v>
      </c>
      <c r="F35" s="49" t="n">
        <f aca="false">(E35+93.51)/2983</f>
        <v>1.14203123253995</v>
      </c>
      <c r="G35" s="24"/>
      <c r="H35" s="25"/>
      <c r="I35" s="24" t="n">
        <f aca="false">30*2</f>
        <v>60</v>
      </c>
      <c r="J35" s="35" t="n">
        <v>274573.25</v>
      </c>
      <c r="K35" s="36" t="n">
        <f aca="false">J35/(I35*B35)</f>
        <v>1525.40694444444</v>
      </c>
      <c r="L35" s="37" t="n">
        <f aca="false">E35/K35</f>
        <v>2.17199035230125</v>
      </c>
      <c r="M35" s="50" t="n">
        <f aca="false">(L35+0.1265)/1.9613</f>
        <v>1.17192186422335</v>
      </c>
      <c r="N35" s="25"/>
      <c r="O35" s="49"/>
    </row>
    <row r="36" customFormat="false" ht="12.75" hidden="false" customHeight="false" outlineLevel="0" collapsed="false">
      <c r="A36" s="25" t="s">
        <v>553</v>
      </c>
      <c r="B36" s="24" t="n">
        <v>3</v>
      </c>
      <c r="C36" s="24" t="n">
        <f aca="false">30*4</f>
        <v>120</v>
      </c>
      <c r="D36" s="35" t="n">
        <v>1108404.5</v>
      </c>
      <c r="E36" s="35" t="n">
        <f aca="false">D36/(B36*C36)</f>
        <v>3078.90138888889</v>
      </c>
      <c r="F36" s="49" t="n">
        <f aca="false">(E36+93.51)/2983</f>
        <v>1.06349694565501</v>
      </c>
      <c r="G36" s="24"/>
      <c r="H36" s="25"/>
      <c r="I36" s="24" t="n">
        <f aca="false">30*2</f>
        <v>60</v>
      </c>
      <c r="J36" s="35" t="n">
        <v>266561.59</v>
      </c>
      <c r="K36" s="36" t="n">
        <f aca="false">J36/(I36*B36)</f>
        <v>1480.89772222222</v>
      </c>
      <c r="L36" s="37" t="n">
        <f aca="false">E36/K36</f>
        <v>2.07907767206821</v>
      </c>
      <c r="M36" s="50" t="n">
        <f aca="false">(L36+0.1265)/1.9613</f>
        <v>1.12454885640555</v>
      </c>
      <c r="N36" s="25"/>
      <c r="O36" s="49"/>
    </row>
    <row r="37" customFormat="false" ht="12.75" hidden="false" customHeight="false" outlineLevel="0" collapsed="false">
      <c r="A37" s="52" t="s">
        <v>540</v>
      </c>
      <c r="B37" s="24"/>
      <c r="C37" s="24"/>
      <c r="D37" s="35"/>
      <c r="E37" s="35"/>
      <c r="F37" s="25"/>
      <c r="G37" s="53" t="n">
        <f aca="false">AVERAGE(F33:F36)</f>
        <v>1.13721209539241</v>
      </c>
      <c r="H37" s="25"/>
      <c r="I37" s="24"/>
      <c r="J37" s="35" t="n">
        <v>279530.35</v>
      </c>
      <c r="K37" s="36"/>
      <c r="L37" s="37"/>
      <c r="M37" s="50"/>
      <c r="N37" s="53" t="n">
        <f aca="false">AVERAGE(F33:F36,M33:M36)</f>
        <v>1.15409116683651</v>
      </c>
      <c r="O37" s="49"/>
    </row>
    <row r="38" customFormat="false" ht="12.75" hidden="false" customHeight="false" outlineLevel="0" collapsed="false">
      <c r="A38" s="52" t="s">
        <v>541</v>
      </c>
      <c r="B38" s="24"/>
      <c r="C38" s="24"/>
      <c r="D38" s="35"/>
      <c r="E38" s="35"/>
      <c r="F38" s="25"/>
      <c r="G38" s="53" t="n">
        <f aca="false">_xlfn.STDEV.S(F33:F36)</f>
        <v>0.0511345315455006</v>
      </c>
      <c r="H38" s="25"/>
      <c r="I38" s="24"/>
      <c r="J38" s="35"/>
      <c r="K38" s="36"/>
      <c r="L38" s="37"/>
      <c r="M38" s="50"/>
      <c r="N38" s="53" t="n">
        <f aca="false">_xlfn.STDEV.S(F33:F36,M33:M36)</f>
        <v>0.0443385066523416</v>
      </c>
      <c r="O38" s="49"/>
    </row>
    <row r="39" customFormat="false" ht="12.75" hidden="false" customHeight="false" outlineLevel="0" collapsed="false">
      <c r="A39" s="25" t="s">
        <v>554</v>
      </c>
      <c r="B39" s="24" t="n">
        <v>3</v>
      </c>
      <c r="C39" s="24" t="n">
        <f aca="false">30*4</f>
        <v>120</v>
      </c>
      <c r="D39" s="35" t="n">
        <v>1304131</v>
      </c>
      <c r="E39" s="35" t="n">
        <f aca="false">D39/(B39*C39)</f>
        <v>3622.58611111111</v>
      </c>
      <c r="F39" s="49" t="n">
        <f aca="false">(E39+93.51)/2983</f>
        <v>1.24575799903155</v>
      </c>
      <c r="G39" s="24"/>
      <c r="H39" s="25"/>
      <c r="I39" s="24" t="n">
        <f aca="false">30*2</f>
        <v>60</v>
      </c>
      <c r="J39" s="35" t="n">
        <v>286045.75</v>
      </c>
      <c r="K39" s="36" t="n">
        <f aca="false">J39/(I39*B39)</f>
        <v>1589.14305555556</v>
      </c>
      <c r="L39" s="37" t="n">
        <f aca="false">E39/K39</f>
        <v>2.27958464686156</v>
      </c>
      <c r="M39" s="50" t="n">
        <f aca="false">(L39+0.1265)/1.9613</f>
        <v>1.22678052662089</v>
      </c>
      <c r="N39" s="25"/>
      <c r="O39" s="49"/>
    </row>
    <row r="40" customFormat="false" ht="12.75" hidden="false" customHeight="false" outlineLevel="0" collapsed="false">
      <c r="A40" s="25" t="s">
        <v>555</v>
      </c>
      <c r="B40" s="24" t="n">
        <v>3</v>
      </c>
      <c r="C40" s="24" t="n">
        <f aca="false">30*4</f>
        <v>120</v>
      </c>
      <c r="D40" s="36" t="n">
        <v>1375928.2</v>
      </c>
      <c r="E40" s="35" t="n">
        <f aca="false">D40/(B40*C40)</f>
        <v>3822.02277777778</v>
      </c>
      <c r="F40" s="49" t="n">
        <f aca="false">(E40+93.51)/2983</f>
        <v>1.31261574850076</v>
      </c>
      <c r="G40" s="24"/>
      <c r="H40" s="25"/>
      <c r="I40" s="24" t="n">
        <f aca="false">30*2</f>
        <v>60</v>
      </c>
      <c r="J40" s="35" t="n">
        <v>289087.26</v>
      </c>
      <c r="K40" s="36" t="n">
        <f aca="false">J40/(I40*B40)</f>
        <v>1606.04033333333</v>
      </c>
      <c r="L40" s="37" t="n">
        <f aca="false">E40/K40</f>
        <v>2.37978007055724</v>
      </c>
      <c r="M40" s="50" t="n">
        <f aca="false">(L40+0.1265)/1.9613</f>
        <v>1.2778667570271</v>
      </c>
      <c r="N40" s="25"/>
      <c r="O40" s="25"/>
    </row>
    <row r="41" customFormat="false" ht="12.75" hidden="false" customHeight="false" outlineLevel="0" collapsed="false">
      <c r="A41" s="25" t="s">
        <v>556</v>
      </c>
      <c r="B41" s="24" t="n">
        <v>3</v>
      </c>
      <c r="C41" s="24" t="n">
        <f aca="false">30*4</f>
        <v>120</v>
      </c>
      <c r="D41" s="36" t="n">
        <v>1259356.3</v>
      </c>
      <c r="E41" s="35" t="n">
        <f aca="false">D41/(B41*C41)</f>
        <v>3498.21194444444</v>
      </c>
      <c r="F41" s="49" t="n">
        <f aca="false">(E41+93.51)/2983</f>
        <v>1.20406367564346</v>
      </c>
      <c r="G41" s="24"/>
      <c r="H41" s="25"/>
      <c r="I41" s="24" t="n">
        <f aca="false">30*2</f>
        <v>60</v>
      </c>
      <c r="J41" s="35" t="n">
        <v>251877.38</v>
      </c>
      <c r="K41" s="36" t="n">
        <f aca="false">J41/(I41*B41)</f>
        <v>1399.31877777778</v>
      </c>
      <c r="L41" s="37" t="n">
        <f aca="false">E41/K41</f>
        <v>2.4999392561571</v>
      </c>
      <c r="M41" s="50" t="n">
        <f aca="false">(L41+0.1265)/1.9613</f>
        <v>1.3391318289691</v>
      </c>
      <c r="N41" s="25"/>
      <c r="O41" s="25"/>
    </row>
    <row r="42" customFormat="false" ht="12.75" hidden="false" customHeight="false" outlineLevel="0" collapsed="false">
      <c r="A42" s="52" t="s">
        <v>540</v>
      </c>
      <c r="B42" s="24"/>
      <c r="C42" s="24"/>
      <c r="D42" s="36"/>
      <c r="E42" s="35"/>
      <c r="F42" s="25"/>
      <c r="G42" s="53" t="n">
        <f aca="false">AVERAGE(F39:F41)</f>
        <v>1.25414580772526</v>
      </c>
      <c r="H42" s="25"/>
      <c r="I42" s="24"/>
      <c r="J42" s="35"/>
      <c r="K42" s="36"/>
      <c r="L42" s="37"/>
      <c r="M42" s="50"/>
      <c r="N42" s="53" t="n">
        <f aca="false">AVERAGE(F39:F41,M39:M41)</f>
        <v>1.26770275596548</v>
      </c>
      <c r="O42" s="25"/>
    </row>
    <row r="43" customFormat="false" ht="12.75" hidden="false" customHeight="false" outlineLevel="0" collapsed="false">
      <c r="A43" s="52" t="s">
        <v>541</v>
      </c>
      <c r="B43" s="24"/>
      <c r="C43" s="24"/>
      <c r="D43" s="36"/>
      <c r="E43" s="35"/>
      <c r="F43" s="25"/>
      <c r="G43" s="53" t="n">
        <f aca="false">_xlfn.STDEV.S(F39:F41)</f>
        <v>0.0547599728945876</v>
      </c>
      <c r="H43" s="25"/>
      <c r="I43" s="24"/>
      <c r="J43" s="35"/>
      <c r="K43" s="36"/>
      <c r="L43" s="37"/>
      <c r="M43" s="50"/>
      <c r="N43" s="53" t="n">
        <f aca="false">_xlfn.STDEV.S(F39:F41,M39:M41)</f>
        <v>0.0518241836247606</v>
      </c>
      <c r="O43" s="25"/>
    </row>
    <row r="44" customFormat="false" ht="12.75" hidden="false" customHeight="false" outlineLevel="0" collapsed="false">
      <c r="A44" s="25" t="s">
        <v>557</v>
      </c>
      <c r="B44" s="24" t="n">
        <v>3</v>
      </c>
      <c r="C44" s="24" t="n">
        <f aca="false">30*4</f>
        <v>120</v>
      </c>
      <c r="D44" s="36" t="n">
        <v>739552.03</v>
      </c>
      <c r="E44" s="35" t="n">
        <f aca="false">D44/(B44*C44)</f>
        <v>2054.31119444444</v>
      </c>
      <c r="F44" s="49" t="n">
        <f aca="false">(E44+93.51)/2983</f>
        <v>0.720020514396394</v>
      </c>
      <c r="G44" s="24"/>
      <c r="H44" s="25"/>
      <c r="I44" s="24" t="n">
        <f aca="false">30*2</f>
        <v>60</v>
      </c>
      <c r="J44" s="35" t="n">
        <v>291058.66</v>
      </c>
      <c r="K44" s="36" t="n">
        <f aca="false">J44/(I44*B44)</f>
        <v>1616.99255555556</v>
      </c>
      <c r="L44" s="37" t="n">
        <f aca="false">E44/K44</f>
        <v>1.27045185668071</v>
      </c>
      <c r="M44" s="50" t="n">
        <f aca="false">(L44+0.1265)/1.9613</f>
        <v>0.712258123020809</v>
      </c>
      <c r="N44" s="25"/>
      <c r="O44" s="25"/>
    </row>
    <row r="45" customFormat="false" ht="12.75" hidden="false" customHeight="false" outlineLevel="0" collapsed="false">
      <c r="A45" s="25" t="s">
        <v>558</v>
      </c>
      <c r="B45" s="24" t="n">
        <v>3</v>
      </c>
      <c r="C45" s="24" t="n">
        <f aca="false">30*4</f>
        <v>120</v>
      </c>
      <c r="D45" s="36" t="n">
        <f aca="false">747544.49-19391.564</f>
        <v>728152.926</v>
      </c>
      <c r="E45" s="35" t="n">
        <f aca="false">D45/(B45*C45)</f>
        <v>2022.64701666667</v>
      </c>
      <c r="F45" s="49" t="n">
        <f aca="false">(E45+93.51)/2983</f>
        <v>0.709405637501397</v>
      </c>
      <c r="G45" s="24"/>
      <c r="H45" s="25"/>
      <c r="I45" s="24" t="n">
        <f aca="false">30*2</f>
        <v>60</v>
      </c>
      <c r="J45" s="35" t="n">
        <v>264132</v>
      </c>
      <c r="K45" s="36" t="n">
        <f aca="false">J45/(I45*B45)</f>
        <v>1467.4</v>
      </c>
      <c r="L45" s="37" t="n">
        <f aca="false">E45/K45</f>
        <v>1.37838831720503</v>
      </c>
      <c r="M45" s="50" t="n">
        <f aca="false">(L45+0.1265)/1.9613</f>
        <v>0.767291244177349</v>
      </c>
      <c r="N45" s="25"/>
      <c r="O45" s="25" t="s">
        <v>559</v>
      </c>
    </row>
    <row r="46" customFormat="false" ht="12.75" hidden="false" customHeight="false" outlineLevel="0" collapsed="false">
      <c r="A46" s="25" t="s">
        <v>560</v>
      </c>
      <c r="B46" s="24" t="n">
        <v>3</v>
      </c>
      <c r="C46" s="24" t="n">
        <f aca="false">30*4</f>
        <v>120</v>
      </c>
      <c r="D46" s="36" t="n">
        <f aca="false">794047.58-15650</f>
        <v>778397.58</v>
      </c>
      <c r="E46" s="35" t="n">
        <f aca="false">D46/(B46*C46)</f>
        <v>2162.2155</v>
      </c>
      <c r="F46" s="49" t="n">
        <f aca="false">(E46+93.51)/2983</f>
        <v>0.75619359704995</v>
      </c>
      <c r="G46" s="24"/>
      <c r="H46" s="25"/>
      <c r="I46" s="24" t="n">
        <f aca="false">30*2</f>
        <v>60</v>
      </c>
      <c r="J46" s="35" t="n">
        <v>270697.7</v>
      </c>
      <c r="K46" s="36" t="n">
        <f aca="false">J46/(I46*B46)</f>
        <v>1503.87611111111</v>
      </c>
      <c r="L46" s="37" t="n">
        <f aca="false">E46/K46</f>
        <v>1.43776171722183</v>
      </c>
      <c r="M46" s="50" t="n">
        <f aca="false">(L46+0.1265)/1.9613</f>
        <v>0.797563716525687</v>
      </c>
      <c r="N46" s="25"/>
      <c r="O46" s="25" t="s">
        <v>559</v>
      </c>
    </row>
    <row r="47" customFormat="false" ht="12.75" hidden="false" customHeight="false" outlineLevel="0" collapsed="false">
      <c r="A47" s="25" t="s">
        <v>561</v>
      </c>
      <c r="B47" s="24" t="n">
        <v>3</v>
      </c>
      <c r="C47" s="24" t="n">
        <f aca="false">30*4</f>
        <v>120</v>
      </c>
      <c r="D47" s="36" t="n">
        <v>777594.83</v>
      </c>
      <c r="E47" s="35" t="n">
        <f aca="false">D47/(B47*C47)</f>
        <v>2159.98563888889</v>
      </c>
      <c r="F47" s="49" t="n">
        <f aca="false">(E47+93.51)/2983</f>
        <v>0.755446074049242</v>
      </c>
      <c r="G47" s="24"/>
      <c r="H47" s="25"/>
      <c r="I47" s="24" t="n">
        <f aca="false">30*2</f>
        <v>60</v>
      </c>
      <c r="J47" s="35" t="n">
        <v>283174.82</v>
      </c>
      <c r="K47" s="36" t="n">
        <f aca="false">J47/(I47*B47)</f>
        <v>1573.19344444444</v>
      </c>
      <c r="L47" s="37" t="n">
        <f aca="false">E47/K47</f>
        <v>1.37299430436647</v>
      </c>
      <c r="M47" s="50" t="n">
        <f aca="false">(L47+0.1265)/1.9613</f>
        <v>0.764541020938392</v>
      </c>
      <c r="N47" s="25"/>
      <c r="O47" s="25"/>
    </row>
    <row r="48" customFormat="false" ht="12.75" hidden="false" customHeight="false" outlineLevel="0" collapsed="false">
      <c r="A48" s="25" t="s">
        <v>562</v>
      </c>
      <c r="B48" s="24" t="n">
        <v>3</v>
      </c>
      <c r="C48" s="24" t="n">
        <f aca="false">30*4</f>
        <v>120</v>
      </c>
      <c r="D48" s="36" t="n">
        <v>743303.67</v>
      </c>
      <c r="E48" s="35" t="n">
        <f aca="false">D48/(B48*C48)</f>
        <v>2064.73241666667</v>
      </c>
      <c r="F48" s="49" t="n">
        <f aca="false">(E48+93.51)/2983</f>
        <v>0.723514051849369</v>
      </c>
      <c r="G48" s="24"/>
      <c r="H48" s="25"/>
      <c r="I48" s="24" t="n">
        <f aca="false">30*2</f>
        <v>60</v>
      </c>
      <c r="J48" s="35" t="n">
        <v>309419.49</v>
      </c>
      <c r="K48" s="36" t="n">
        <f aca="false">J48/(I48*B48)</f>
        <v>1718.99716666667</v>
      </c>
      <c r="L48" s="37" t="n">
        <f aca="false">E48/K48</f>
        <v>1.20112613138881</v>
      </c>
      <c r="M48" s="50" t="n">
        <f aca="false">(L48+0.1265)/1.9613</f>
        <v>0.67691129933657</v>
      </c>
      <c r="N48" s="25"/>
      <c r="O48" s="25" t="s">
        <v>563</v>
      </c>
    </row>
    <row r="49" customFormat="false" ht="12.75" hidden="false" customHeight="false" outlineLevel="0" collapsed="false">
      <c r="A49" s="52" t="s">
        <v>540</v>
      </c>
      <c r="B49" s="24"/>
      <c r="C49" s="24"/>
      <c r="D49" s="36"/>
      <c r="E49" s="35"/>
      <c r="F49" s="25"/>
      <c r="G49" s="53" t="n">
        <f aca="false">AVERAGE(F44:F48)</f>
        <v>0.73291597496927</v>
      </c>
      <c r="H49" s="25"/>
      <c r="I49" s="24"/>
      <c r="J49" s="35"/>
      <c r="K49" s="36"/>
      <c r="L49" s="37"/>
      <c r="M49" s="50"/>
      <c r="N49" s="53" t="n">
        <f aca="false">AVERAGE(F44:F48,M44:M48)</f>
        <v>0.738314527884516</v>
      </c>
      <c r="O49" s="25"/>
    </row>
    <row r="50" customFormat="false" ht="12.75" hidden="false" customHeight="false" outlineLevel="0" collapsed="false">
      <c r="A50" s="52" t="s">
        <v>541</v>
      </c>
      <c r="B50" s="24"/>
      <c r="C50" s="24"/>
      <c r="D50" s="36"/>
      <c r="E50" s="35"/>
      <c r="F50" s="25"/>
      <c r="G50" s="53" t="n">
        <f aca="false">_xlfn.STDEV.S(F44:F48)</f>
        <v>0.021545754128579</v>
      </c>
      <c r="H50" s="25"/>
      <c r="I50" s="24"/>
      <c r="J50" s="35"/>
      <c r="K50" s="36"/>
      <c r="L50" s="37"/>
      <c r="M50" s="50"/>
      <c r="N50" s="53" t="n">
        <f aca="false">_xlfn.STDEV.S(F44:F48,M44:M48)</f>
        <v>0.0357302207008148</v>
      </c>
      <c r="O50" s="25"/>
    </row>
    <row r="51" customFormat="false" ht="12.75" hidden="false" customHeight="false" outlineLevel="0" collapsed="false">
      <c r="A51" s="23" t="s">
        <v>564</v>
      </c>
      <c r="B51" s="24"/>
      <c r="C51" s="24"/>
      <c r="D51" s="36"/>
      <c r="E51" s="35"/>
      <c r="F51" s="49"/>
      <c r="G51" s="24"/>
      <c r="H51" s="25"/>
      <c r="I51" s="24"/>
      <c r="J51" s="35"/>
      <c r="K51" s="36"/>
      <c r="L51" s="37"/>
      <c r="M51" s="50"/>
      <c r="N51" s="25"/>
      <c r="O51" s="25"/>
    </row>
    <row r="52" customFormat="false" ht="12.75" hidden="false" customHeight="false" outlineLevel="0" collapsed="false">
      <c r="A52" s="25" t="s">
        <v>565</v>
      </c>
      <c r="B52" s="24" t="n">
        <v>3</v>
      </c>
      <c r="C52" s="24" t="n">
        <f aca="false">30*6</f>
        <v>180</v>
      </c>
      <c r="D52" s="36" t="n">
        <v>1459667.4</v>
      </c>
      <c r="E52" s="35" t="n">
        <f aca="false">D52/(B52*C52)</f>
        <v>2703.08777777778</v>
      </c>
      <c r="F52" s="49" t="n">
        <f aca="false">(E52+144.82)/3085.6</f>
        <v>0.922967260104284</v>
      </c>
      <c r="G52" s="24"/>
      <c r="H52" s="25"/>
      <c r="I52" s="24" t="n">
        <f aca="false">30*2</f>
        <v>60</v>
      </c>
      <c r="J52" s="35" t="n">
        <v>308092.57</v>
      </c>
      <c r="K52" s="36" t="n">
        <f aca="false">J52/(I52*B52)</f>
        <v>1711.62538888889</v>
      </c>
      <c r="L52" s="37" t="n">
        <f aca="false">E52/K52</f>
        <v>1.57925197611874</v>
      </c>
      <c r="M52" s="50" t="n">
        <f aca="false">(L52+0.0926)/1.9777</f>
        <v>0.845351659057863</v>
      </c>
      <c r="N52" s="25"/>
      <c r="O52" s="25"/>
    </row>
    <row r="53" customFormat="false" ht="12.75" hidden="false" customHeight="false" outlineLevel="0" collapsed="false">
      <c r="A53" s="25" t="s">
        <v>566</v>
      </c>
      <c r="B53" s="24" t="n">
        <v>3</v>
      </c>
      <c r="C53" s="24" t="n">
        <f aca="false">30*6</f>
        <v>180</v>
      </c>
      <c r="D53" s="36" t="n">
        <v>1461091.9</v>
      </c>
      <c r="E53" s="35" t="n">
        <f aca="false">D53/(B53*C53)</f>
        <v>2705.72574074074</v>
      </c>
      <c r="F53" s="49" t="n">
        <f aca="false">(E53+144.82)/3085.6</f>
        <v>0.923822187172913</v>
      </c>
      <c r="G53" s="24"/>
      <c r="H53" s="25"/>
      <c r="I53" s="24" t="n">
        <f aca="false">30*2</f>
        <v>60</v>
      </c>
      <c r="J53" s="35" t="n">
        <v>325310.79</v>
      </c>
      <c r="K53" s="36" t="n">
        <f aca="false">J53/(I53*B53)</f>
        <v>1807.28216666667</v>
      </c>
      <c r="L53" s="37" t="n">
        <f aca="false">E53/K53</f>
        <v>1.49712412961566</v>
      </c>
      <c r="M53" s="50" t="n">
        <f aca="false">(L53+0.0926)/1.9777</f>
        <v>0.803824710327988</v>
      </c>
      <c r="N53" s="25"/>
      <c r="O53" s="25"/>
    </row>
    <row r="54" customFormat="false" ht="12.75" hidden="false" customHeight="false" outlineLevel="0" collapsed="false">
      <c r="A54" s="25" t="s">
        <v>567</v>
      </c>
      <c r="B54" s="24" t="n">
        <v>3</v>
      </c>
      <c r="C54" s="24" t="n">
        <f aca="false">30*6</f>
        <v>180</v>
      </c>
      <c r="D54" s="36" t="n">
        <v>1568386.2</v>
      </c>
      <c r="E54" s="35" t="n">
        <f aca="false">D54/(B54*C54)</f>
        <v>2904.41888888889</v>
      </c>
      <c r="F54" s="49" t="n">
        <f aca="false">(E54+144.82)/3085.6</f>
        <v>0.988215870135108</v>
      </c>
      <c r="G54" s="24"/>
      <c r="H54" s="25"/>
      <c r="I54" s="24" t="n">
        <f aca="false">30*2</f>
        <v>60</v>
      </c>
      <c r="J54" s="35" t="n">
        <v>318566.19</v>
      </c>
      <c r="K54" s="36" t="n">
        <f aca="false">J54/(I54*B54)</f>
        <v>1769.81216666667</v>
      </c>
      <c r="L54" s="37" t="n">
        <f aca="false">E54/K54</f>
        <v>1.64108877969756</v>
      </c>
      <c r="M54" s="50" t="n">
        <f aca="false">(L54+0.0926)/1.9777</f>
        <v>0.876618688222459</v>
      </c>
      <c r="N54" s="25"/>
      <c r="O54" s="25"/>
    </row>
    <row r="55" customFormat="false" ht="12.75" hidden="false" customHeight="false" outlineLevel="0" collapsed="false">
      <c r="A55" s="52" t="s">
        <v>540</v>
      </c>
      <c r="B55" s="24"/>
      <c r="C55" s="24"/>
      <c r="D55" s="36"/>
      <c r="E55" s="35"/>
      <c r="F55" s="25"/>
      <c r="G55" s="53" t="n">
        <f aca="false">AVERAGE(F52:F54)</f>
        <v>0.945001772470768</v>
      </c>
      <c r="H55" s="25"/>
      <c r="I55" s="24"/>
      <c r="J55" s="35"/>
      <c r="K55" s="36"/>
      <c r="L55" s="37"/>
      <c r="M55" s="50"/>
      <c r="N55" s="53" t="n">
        <f aca="false">AVERAGE(F52:F54,M52:M54)</f>
        <v>0.893466729170103</v>
      </c>
      <c r="O55" s="25"/>
    </row>
    <row r="56" customFormat="false" ht="12.75" hidden="false" customHeight="false" outlineLevel="0" collapsed="false">
      <c r="A56" s="52" t="s">
        <v>541</v>
      </c>
      <c r="B56" s="24"/>
      <c r="C56" s="24"/>
      <c r="D56" s="36"/>
      <c r="E56" s="35"/>
      <c r="F56" s="25"/>
      <c r="G56" s="53" t="n">
        <f aca="false">_xlfn.STDEV.S(F52:F54)</f>
        <v>0.0374269475482637</v>
      </c>
      <c r="H56" s="25"/>
      <c r="I56" s="24"/>
      <c r="J56" s="35"/>
      <c r="K56" s="36"/>
      <c r="L56" s="37"/>
      <c r="M56" s="50"/>
      <c r="N56" s="53" t="n">
        <f aca="false">_xlfn.STDEV.S(F52:F54,M52:M54)</f>
        <v>0.0654274298247068</v>
      </c>
      <c r="O56" s="25"/>
    </row>
    <row r="57" customFormat="false" ht="12.75" hidden="false" customHeight="false" outlineLevel="0" collapsed="false">
      <c r="A57" s="25" t="s">
        <v>568</v>
      </c>
      <c r="B57" s="24" t="n">
        <v>3</v>
      </c>
      <c r="C57" s="24" t="n">
        <f aca="false">30*6</f>
        <v>180</v>
      </c>
      <c r="D57" s="36" t="n">
        <v>1943675.4</v>
      </c>
      <c r="E57" s="35" t="n">
        <f aca="false">D57/(B57*C57)</f>
        <v>3599.39888888889</v>
      </c>
      <c r="F57" s="49" t="n">
        <f aca="false">(E57+144.82)/3085.6</f>
        <v>1.21344921211074</v>
      </c>
      <c r="G57" s="24"/>
      <c r="H57" s="25"/>
      <c r="I57" s="24" t="n">
        <f aca="false">30*2</f>
        <v>60</v>
      </c>
      <c r="J57" s="35" t="n">
        <v>281296.38</v>
      </c>
      <c r="K57" s="36" t="n">
        <f aca="false">J57/(I57*B57)</f>
        <v>1562.75766666667</v>
      </c>
      <c r="L57" s="37" t="n">
        <f aca="false">E57/K57</f>
        <v>2.30323547000498</v>
      </c>
      <c r="M57" s="50" t="n">
        <f aca="false">(L57+0.0926)/1.9777</f>
        <v>1.21142512514789</v>
      </c>
      <c r="N57" s="25"/>
      <c r="O57" s="32"/>
    </row>
    <row r="58" customFormat="false" ht="12.75" hidden="false" customHeight="false" outlineLevel="0" collapsed="false">
      <c r="A58" s="25" t="s">
        <v>569</v>
      </c>
      <c r="B58" s="24" t="n">
        <v>3</v>
      </c>
      <c r="C58" s="24" t="n">
        <f aca="false">30*6</f>
        <v>180</v>
      </c>
      <c r="D58" s="36" t="n">
        <v>1987168.4</v>
      </c>
      <c r="E58" s="35" t="n">
        <f aca="false">D58/(B58*C58)</f>
        <v>3679.94148148148</v>
      </c>
      <c r="F58" s="49" t="n">
        <f aca="false">(E58+144.82)/3085.6</f>
        <v>1.23955194499659</v>
      </c>
      <c r="G58" s="24"/>
      <c r="H58" s="25"/>
      <c r="I58" s="24" t="n">
        <f aca="false">30*2</f>
        <v>60</v>
      </c>
      <c r="J58" s="35" t="n">
        <v>291510.57</v>
      </c>
      <c r="K58" s="36" t="n">
        <f aca="false">J58/(I58*B58)</f>
        <v>1619.50316666667</v>
      </c>
      <c r="L58" s="37" t="n">
        <f aca="false">E58/K58</f>
        <v>2.27226569062887</v>
      </c>
      <c r="M58" s="50" t="n">
        <f aca="false">(L58+0.0926)/1.9777</f>
        <v>1.19576563211249</v>
      </c>
      <c r="N58" s="25"/>
      <c r="O58" s="49"/>
    </row>
    <row r="59" customFormat="false" ht="12.75" hidden="false" customHeight="false" outlineLevel="0" collapsed="false">
      <c r="A59" s="25" t="s">
        <v>570</v>
      </c>
      <c r="B59" s="24" t="n">
        <v>3</v>
      </c>
      <c r="C59" s="24" t="n">
        <f aca="false">30*6</f>
        <v>180</v>
      </c>
      <c r="D59" s="35" t="n">
        <v>2110244.6</v>
      </c>
      <c r="E59" s="35" t="n">
        <f aca="false">D59/(B59*C59)</f>
        <v>3907.86037037037</v>
      </c>
      <c r="F59" s="49" t="n">
        <f aca="false">(E59+144.82)/3085.6</f>
        <v>1.31341728363053</v>
      </c>
      <c r="G59" s="24"/>
      <c r="H59" s="25"/>
      <c r="I59" s="24" t="n">
        <f aca="false">30*2</f>
        <v>60</v>
      </c>
      <c r="J59" s="35" t="n">
        <v>287913.64</v>
      </c>
      <c r="K59" s="36" t="n">
        <f aca="false">J59/(I59*B59)</f>
        <v>1599.52022222222</v>
      </c>
      <c r="L59" s="37" t="n">
        <f aca="false">E59/K59</f>
        <v>2.44314533575647</v>
      </c>
      <c r="M59" s="50" t="n">
        <f aca="false">(L59+0.0926)/1.9777</f>
        <v>1.282168850562</v>
      </c>
      <c r="N59" s="25"/>
      <c r="O59" s="49"/>
    </row>
    <row r="60" customFormat="false" ht="12.75" hidden="false" customHeight="false" outlineLevel="0" collapsed="false">
      <c r="A60" s="25" t="s">
        <v>571</v>
      </c>
      <c r="B60" s="24" t="n">
        <v>3</v>
      </c>
      <c r="C60" s="24" t="n">
        <f aca="false">30*6</f>
        <v>180</v>
      </c>
      <c r="D60" s="36" t="n">
        <v>2027754.5</v>
      </c>
      <c r="E60" s="35" t="n">
        <f aca="false">D60/(B60*C60)</f>
        <v>3755.10092592593</v>
      </c>
      <c r="F60" s="49" t="n">
        <f aca="false">(E60+144.82)/3085.6</f>
        <v>1.26391007451579</v>
      </c>
      <c r="G60" s="24"/>
      <c r="H60" s="25"/>
      <c r="I60" s="24" t="n">
        <f aca="false">30*2</f>
        <v>60</v>
      </c>
      <c r="J60" s="35" t="n">
        <v>288742.93</v>
      </c>
      <c r="K60" s="36" t="n">
        <f aca="false">J60/(I60*B60)</f>
        <v>1604.12738888889</v>
      </c>
      <c r="L60" s="37" t="n">
        <f aca="false">E60/K60</f>
        <v>2.34089945221054</v>
      </c>
      <c r="M60" s="50" t="n">
        <f aca="false">(L60+0.0926)/1.9777</f>
        <v>1.23046946059086</v>
      </c>
      <c r="N60" s="25"/>
      <c r="O60" s="49"/>
    </row>
    <row r="61" customFormat="false" ht="12.75" hidden="false" customHeight="false" outlineLevel="0" collapsed="false">
      <c r="A61" s="52" t="s">
        <v>540</v>
      </c>
      <c r="B61" s="24"/>
      <c r="C61" s="24"/>
      <c r="D61" s="36"/>
      <c r="E61" s="35"/>
      <c r="F61" s="25"/>
      <c r="G61" s="53" t="n">
        <f aca="false">AVERAGE(F57:F60)</f>
        <v>1.25758212881341</v>
      </c>
      <c r="H61" s="25"/>
      <c r="I61" s="24"/>
      <c r="J61" s="35"/>
      <c r="K61" s="36"/>
      <c r="L61" s="37"/>
      <c r="M61" s="50"/>
      <c r="N61" s="53" t="n">
        <f aca="false">AVERAGE(F57:F60,M57:M60)</f>
        <v>1.24376969795836</v>
      </c>
      <c r="O61" s="49"/>
    </row>
    <row r="62" customFormat="false" ht="12.75" hidden="false" customHeight="false" outlineLevel="0" collapsed="false">
      <c r="A62" s="52" t="s">
        <v>541</v>
      </c>
      <c r="B62" s="24"/>
      <c r="C62" s="24"/>
      <c r="D62" s="36"/>
      <c r="E62" s="35"/>
      <c r="F62" s="25"/>
      <c r="G62" s="53" t="n">
        <f aca="false">_xlfn.STDEV.S(F57:F60)</f>
        <v>0.0425456980802905</v>
      </c>
      <c r="H62" s="25"/>
      <c r="I62" s="24"/>
      <c r="J62" s="35"/>
      <c r="K62" s="36"/>
      <c r="L62" s="37"/>
      <c r="M62" s="50"/>
      <c r="N62" s="53" t="n">
        <f aca="false">_xlfn.STDEV.S(F57:F60,M57:M60)</f>
        <v>0.0399919549457066</v>
      </c>
      <c r="O62" s="49"/>
    </row>
    <row r="63" customFormat="false" ht="12.75" hidden="false" customHeight="false" outlineLevel="0" collapsed="false">
      <c r="A63" s="25" t="s">
        <v>572</v>
      </c>
      <c r="B63" s="24" t="n">
        <v>3</v>
      </c>
      <c r="C63" s="24" t="n">
        <f aca="false">30*6</f>
        <v>180</v>
      </c>
      <c r="D63" s="36" t="n">
        <v>1404489.6</v>
      </c>
      <c r="E63" s="35" t="n">
        <f aca="false">D63/(B63*C63)</f>
        <v>2600.90666666667</v>
      </c>
      <c r="F63" s="49" t="n">
        <f aca="false">(E63+144.82)/3085.6</f>
        <v>0.889851784633999</v>
      </c>
      <c r="G63" s="24"/>
      <c r="H63" s="25"/>
      <c r="I63" s="24"/>
      <c r="J63" s="35"/>
      <c r="K63" s="36"/>
      <c r="L63" s="25"/>
      <c r="M63" s="25"/>
      <c r="N63" s="25"/>
      <c r="O63" s="25" t="s">
        <v>573</v>
      </c>
    </row>
    <row r="64" customFormat="false" ht="12.75" hidden="false" customHeight="false" outlineLevel="0" collapsed="false">
      <c r="A64" s="25" t="s">
        <v>574</v>
      </c>
      <c r="B64" s="24" t="n">
        <v>3</v>
      </c>
      <c r="C64" s="24" t="n">
        <f aca="false">30*6</f>
        <v>180</v>
      </c>
      <c r="D64" s="36" t="n">
        <v>1346436.2</v>
      </c>
      <c r="E64" s="35" t="n">
        <f aca="false">D64/(B64*C64)</f>
        <v>2493.40037037037</v>
      </c>
      <c r="F64" s="49" t="n">
        <f aca="false">(E64+144.82)/3085.6</f>
        <v>0.855010490786353</v>
      </c>
      <c r="G64" s="24"/>
      <c r="H64" s="25"/>
      <c r="I64" s="24"/>
      <c r="J64" s="35"/>
      <c r="K64" s="36"/>
      <c r="L64" s="25"/>
      <c r="M64" s="25"/>
      <c r="N64" s="25"/>
      <c r="O64" s="25" t="s">
        <v>573</v>
      </c>
    </row>
    <row r="65" customFormat="false" ht="12.75" hidden="false" customHeight="false" outlineLevel="0" collapsed="false">
      <c r="A65" s="25" t="s">
        <v>575</v>
      </c>
      <c r="B65" s="24" t="n">
        <v>3</v>
      </c>
      <c r="C65" s="24" t="n">
        <f aca="false">30*6</f>
        <v>180</v>
      </c>
      <c r="D65" s="36" t="n">
        <v>1389472.3</v>
      </c>
      <c r="E65" s="35" t="n">
        <f aca="false">D65/(B65*C65)</f>
        <v>2573.09685185185</v>
      </c>
      <c r="F65" s="49" t="n">
        <f aca="false">(E65+144.82)/3085.6</f>
        <v>0.880839010841279</v>
      </c>
      <c r="G65" s="24"/>
      <c r="H65" s="25"/>
      <c r="I65" s="24"/>
      <c r="J65" s="35"/>
      <c r="K65" s="36"/>
      <c r="L65" s="25"/>
      <c r="M65" s="25"/>
      <c r="N65" s="25"/>
      <c r="O65" s="25" t="s">
        <v>573</v>
      </c>
    </row>
    <row r="66" customFormat="false" ht="12.75" hidden="false" customHeight="false" outlineLevel="0" collapsed="false">
      <c r="A66" s="25" t="s">
        <v>576</v>
      </c>
      <c r="B66" s="24" t="n">
        <v>3</v>
      </c>
      <c r="C66" s="24" t="n">
        <f aca="false">30*6</f>
        <v>180</v>
      </c>
      <c r="D66" s="36" t="n">
        <v>1403493</v>
      </c>
      <c r="E66" s="35" t="n">
        <f aca="false">D66/(B66*C66)</f>
        <v>2599.06111111111</v>
      </c>
      <c r="F66" s="49" t="n">
        <f aca="false">(E66+144.82)/3085.6</f>
        <v>0.88925366577363</v>
      </c>
      <c r="G66" s="24"/>
      <c r="H66" s="25"/>
      <c r="I66" s="24"/>
      <c r="J66" s="35"/>
      <c r="K66" s="36"/>
      <c r="L66" s="25"/>
      <c r="M66" s="25"/>
      <c r="N66" s="25"/>
      <c r="O66" s="25" t="s">
        <v>573</v>
      </c>
    </row>
    <row r="67" customFormat="false" ht="12.75" hidden="false" customHeight="false" outlineLevel="0" collapsed="false">
      <c r="A67" s="52" t="s">
        <v>540</v>
      </c>
      <c r="B67" s="24"/>
      <c r="C67" s="24"/>
      <c r="D67" s="36"/>
      <c r="E67" s="35"/>
      <c r="F67" s="25"/>
      <c r="G67" s="53" t="n">
        <f aca="false">AVERAGE(F63:F66,M64:M66)</f>
        <v>0.878738738008815</v>
      </c>
      <c r="H67" s="25"/>
      <c r="I67" s="24"/>
      <c r="J67" s="25"/>
      <c r="K67" s="25"/>
      <c r="L67" s="25"/>
      <c r="M67" s="25"/>
      <c r="N67" s="25"/>
      <c r="O67" s="25"/>
    </row>
    <row r="68" customFormat="false" ht="12.75" hidden="false" customHeight="false" outlineLevel="0" collapsed="false">
      <c r="A68" s="52" t="s">
        <v>541</v>
      </c>
      <c r="B68" s="24"/>
      <c r="C68" s="24"/>
      <c r="D68" s="36"/>
      <c r="E68" s="35"/>
      <c r="F68" s="25"/>
      <c r="G68" s="53" t="n">
        <f aca="false">_xlfn.STDEV.S(F63:F66)</f>
        <v>0.0163452783540472</v>
      </c>
      <c r="H68" s="25"/>
      <c r="I68" s="24"/>
      <c r="J68" s="25"/>
      <c r="K68" s="25"/>
      <c r="L68" s="25"/>
      <c r="M68" s="25"/>
      <c r="N68" s="25"/>
      <c r="O68" s="25"/>
    </row>
    <row r="69" customFormat="false" ht="12.75" hidden="false" customHeight="false" outlineLevel="0" collapsed="false">
      <c r="B69" s="30"/>
      <c r="C69" s="30"/>
      <c r="D69" s="42"/>
      <c r="E69" s="42"/>
      <c r="F69" s="59"/>
      <c r="G69" s="60"/>
    </row>
    <row r="70" customFormat="false" ht="12.75" hidden="false" customHeight="false" outlineLevel="0" collapsed="false">
      <c r="B70" s="30"/>
      <c r="C70" s="30"/>
      <c r="D70" s="42"/>
      <c r="E70" s="42"/>
      <c r="F70" s="59"/>
      <c r="G70" s="60"/>
    </row>
    <row r="71" customFormat="false" ht="12.75" hidden="false" customHeight="false" outlineLevel="0" collapsed="false">
      <c r="B71" s="30"/>
      <c r="C71" s="30"/>
      <c r="D71" s="42"/>
      <c r="E71" s="42"/>
      <c r="F71" s="59"/>
      <c r="G71" s="60"/>
    </row>
    <row r="72" customFormat="false" ht="12.75" hidden="false" customHeight="false" outlineLevel="0" collapsed="false">
      <c r="B72" s="30"/>
      <c r="C72" s="30"/>
      <c r="D72" s="42"/>
      <c r="E72" s="42"/>
      <c r="F72" s="59"/>
      <c r="G72" s="60"/>
    </row>
    <row r="73" customFormat="false" ht="12.75" hidden="false" customHeight="false" outlineLevel="0" collapsed="false">
      <c r="B73" s="30"/>
      <c r="C73" s="30"/>
      <c r="D73" s="42"/>
      <c r="E73" s="42"/>
      <c r="F73" s="59"/>
      <c r="G73" s="60"/>
    </row>
    <row r="74" customFormat="false" ht="12.75" hidden="false" customHeight="false" outlineLevel="0" collapsed="false">
      <c r="B74" s="30"/>
      <c r="C74" s="30"/>
      <c r="D74" s="42"/>
      <c r="E74" s="42"/>
      <c r="F74" s="59"/>
      <c r="G74" s="60"/>
    </row>
  </sheetData>
  <mergeCells count="2">
    <mergeCell ref="D2:G2"/>
    <mergeCell ref="I2:L2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landscape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65</TotalTime>
  <Application>LibreOffice/7.5.9.2$MacOSX_X86_64 LibreOffice_project/cdeefe45c17511d326101eed8008ac4092f278a9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2022-11-15T10:45:24Z</dcterms:created>
  <dc:creator>SX</dc:creator>
  <dc:description/>
  <dc:language>en-US</dc:language>
  <cp:lastModifiedBy>Charles Le Losq</cp:lastModifiedBy>
  <dcterms:modified xsi:type="dcterms:W3CDTF">2025-07-09T17:16:42Z</dcterms:modified>
  <cp:revision>12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